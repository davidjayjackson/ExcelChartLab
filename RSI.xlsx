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ChartLab\"/>
    </mc:Choice>
  </mc:AlternateContent>
  <xr:revisionPtr revIDLastSave="0" documentId="13_ncr:1_{7682EDDF-6CC0-494D-AD9D-5FFF512B1F89}" xr6:coauthVersionLast="47" xr6:coauthVersionMax="47" xr10:uidLastSave="{00000000-0000-0000-0000-000000000000}"/>
  <bookViews>
    <workbookView xWindow="-105" yWindow="0" windowWidth="12510" windowHeight="10905" xr2:uid="{7DA8AA1C-0428-40DF-959F-9F43E48575A5}"/>
  </bookViews>
  <sheets>
    <sheet name="ConEd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6" i="1" l="1"/>
  <c r="A1" i="1" l="1" a="1"/>
  <c r="C4" i="1" l="1"/>
  <c r="C12" i="1"/>
  <c r="C20" i="1"/>
  <c r="C28" i="1"/>
  <c r="C36" i="1"/>
  <c r="C44" i="1"/>
  <c r="C52" i="1"/>
  <c r="C60" i="1"/>
  <c r="C68" i="1"/>
  <c r="C76" i="1"/>
  <c r="C84" i="1"/>
  <c r="C5" i="1"/>
  <c r="C13" i="1"/>
  <c r="C21" i="1"/>
  <c r="C29" i="1"/>
  <c r="C37" i="1"/>
  <c r="C45" i="1"/>
  <c r="C53" i="1"/>
  <c r="C61" i="1"/>
  <c r="C69" i="1"/>
  <c r="C77" i="1"/>
  <c r="C85" i="1"/>
  <c r="C93" i="1"/>
  <c r="C101" i="1"/>
  <c r="C109" i="1"/>
  <c r="C117" i="1"/>
  <c r="C125" i="1"/>
  <c r="C133" i="1"/>
  <c r="C141" i="1"/>
  <c r="C149" i="1"/>
  <c r="C157" i="1"/>
  <c r="C165" i="1"/>
  <c r="C173" i="1"/>
  <c r="C181" i="1"/>
  <c r="C189" i="1"/>
  <c r="C197" i="1"/>
  <c r="C205" i="1"/>
  <c r="C213" i="1"/>
  <c r="C221" i="1"/>
  <c r="C229" i="1"/>
  <c r="C237" i="1"/>
  <c r="C245" i="1"/>
  <c r="C253" i="1"/>
  <c r="C261" i="1"/>
  <c r="C269" i="1"/>
  <c r="C277" i="1"/>
  <c r="C285" i="1"/>
  <c r="C293" i="1"/>
  <c r="C301" i="1"/>
  <c r="C309" i="1"/>
  <c r="C317" i="1"/>
  <c r="C325" i="1"/>
  <c r="C333" i="1"/>
  <c r="C341" i="1"/>
  <c r="C349" i="1"/>
  <c r="C357" i="1"/>
  <c r="C365" i="1"/>
  <c r="C373" i="1"/>
  <c r="C381" i="1"/>
  <c r="C389" i="1"/>
  <c r="C397" i="1"/>
  <c r="C405" i="1"/>
  <c r="C413" i="1"/>
  <c r="C421" i="1"/>
  <c r="C429" i="1"/>
  <c r="C437" i="1"/>
  <c r="C445" i="1"/>
  <c r="C453" i="1"/>
  <c r="C461" i="1"/>
  <c r="C469" i="1"/>
  <c r="C477" i="1"/>
  <c r="C485" i="1"/>
  <c r="C493" i="1"/>
  <c r="C14" i="1"/>
  <c r="C22" i="1"/>
  <c r="C30" i="1"/>
  <c r="C38" i="1"/>
  <c r="C46" i="1"/>
  <c r="C54" i="1"/>
  <c r="C62" i="1"/>
  <c r="C70" i="1"/>
  <c r="C78" i="1"/>
  <c r="C86" i="1"/>
  <c r="C94" i="1"/>
  <c r="C102" i="1"/>
  <c r="C110" i="1"/>
  <c r="C118" i="1"/>
  <c r="C134" i="1"/>
  <c r="C142" i="1"/>
  <c r="C158" i="1"/>
  <c r="C174" i="1"/>
  <c r="C190" i="1"/>
  <c r="C6" i="1"/>
  <c r="C126" i="1"/>
  <c r="C150" i="1"/>
  <c r="C166" i="1"/>
  <c r="C182" i="1"/>
  <c r="C198" i="1"/>
  <c r="C7" i="1"/>
  <c r="C15" i="1"/>
  <c r="C23" i="1"/>
  <c r="C31" i="1"/>
  <c r="C39" i="1"/>
  <c r="C47" i="1"/>
  <c r="C55" i="1"/>
  <c r="C63" i="1"/>
  <c r="C71" i="1"/>
  <c r="C79" i="1"/>
  <c r="C87" i="1"/>
  <c r="C95" i="1"/>
  <c r="C103" i="1"/>
  <c r="C111" i="1"/>
  <c r="C119" i="1"/>
  <c r="C127" i="1"/>
  <c r="C135" i="1"/>
  <c r="C143" i="1"/>
  <c r="C151" i="1"/>
  <c r="C159" i="1"/>
  <c r="C167" i="1"/>
  <c r="C175" i="1"/>
  <c r="C183" i="1"/>
  <c r="C191" i="1"/>
  <c r="C199" i="1"/>
  <c r="C207" i="1"/>
  <c r="C215" i="1"/>
  <c r="C223" i="1"/>
  <c r="C231" i="1"/>
  <c r="C239" i="1"/>
  <c r="C247" i="1"/>
  <c r="C255" i="1"/>
  <c r="C263" i="1"/>
  <c r="C271" i="1"/>
  <c r="C279" i="1"/>
  <c r="C287" i="1"/>
  <c r="C295" i="1"/>
  <c r="C303" i="1"/>
  <c r="C311" i="1"/>
  <c r="C319" i="1"/>
  <c r="C327" i="1"/>
  <c r="C335" i="1"/>
  <c r="C343" i="1"/>
  <c r="C351" i="1"/>
  <c r="C359" i="1"/>
  <c r="C367" i="1"/>
  <c r="C375" i="1"/>
  <c r="C383" i="1"/>
  <c r="C391" i="1"/>
  <c r="C399" i="1"/>
  <c r="C407" i="1"/>
  <c r="C415" i="1"/>
  <c r="C423" i="1"/>
  <c r="C431" i="1"/>
  <c r="C439" i="1"/>
  <c r="C447" i="1"/>
  <c r="C455" i="1"/>
  <c r="C463" i="1"/>
  <c r="C471" i="1"/>
  <c r="C479" i="1"/>
  <c r="C487" i="1"/>
  <c r="C495" i="1"/>
  <c r="C416" i="1"/>
  <c r="C432" i="1"/>
  <c r="C448" i="1"/>
  <c r="C456" i="1"/>
  <c r="C464" i="1"/>
  <c r="C480" i="1"/>
  <c r="C488" i="1"/>
  <c r="C496" i="1"/>
  <c r="C225" i="1"/>
  <c r="C345" i="1"/>
  <c r="C377" i="1"/>
  <c r="C385" i="1"/>
  <c r="C401" i="1"/>
  <c r="C417" i="1"/>
  <c r="C433" i="1"/>
  <c r="C449" i="1"/>
  <c r="C457" i="1"/>
  <c r="C473" i="1"/>
  <c r="C489" i="1"/>
  <c r="C10" i="1"/>
  <c r="C34" i="1"/>
  <c r="C50" i="1"/>
  <c r="C66" i="1"/>
  <c r="C8" i="1"/>
  <c r="C16" i="1"/>
  <c r="C24" i="1"/>
  <c r="C32" i="1"/>
  <c r="C40" i="1"/>
  <c r="C48" i="1"/>
  <c r="C56" i="1"/>
  <c r="C64" i="1"/>
  <c r="C72" i="1"/>
  <c r="C80" i="1"/>
  <c r="C88" i="1"/>
  <c r="C96" i="1"/>
  <c r="C104" i="1"/>
  <c r="C112" i="1"/>
  <c r="C120" i="1"/>
  <c r="C128" i="1"/>
  <c r="C136" i="1"/>
  <c r="C144" i="1"/>
  <c r="C152" i="1"/>
  <c r="C160" i="1"/>
  <c r="C168" i="1"/>
  <c r="C176" i="1"/>
  <c r="C184" i="1"/>
  <c r="C192" i="1"/>
  <c r="C200" i="1"/>
  <c r="C208" i="1"/>
  <c r="C216" i="1"/>
  <c r="C224" i="1"/>
  <c r="C232" i="1"/>
  <c r="C240" i="1"/>
  <c r="C248" i="1"/>
  <c r="C256" i="1"/>
  <c r="C264" i="1"/>
  <c r="C272" i="1"/>
  <c r="C280" i="1"/>
  <c r="C288" i="1"/>
  <c r="C296" i="1"/>
  <c r="C304" i="1"/>
  <c r="C312" i="1"/>
  <c r="C320" i="1"/>
  <c r="C328" i="1"/>
  <c r="C336" i="1"/>
  <c r="C344" i="1"/>
  <c r="C352" i="1"/>
  <c r="C360" i="1"/>
  <c r="C368" i="1"/>
  <c r="C376" i="1"/>
  <c r="C384" i="1"/>
  <c r="C392" i="1"/>
  <c r="C400" i="1"/>
  <c r="C408" i="1"/>
  <c r="C424" i="1"/>
  <c r="C440" i="1"/>
  <c r="C472" i="1"/>
  <c r="C217" i="1"/>
  <c r="C257" i="1"/>
  <c r="C273" i="1"/>
  <c r="C289" i="1"/>
  <c r="C313" i="1"/>
  <c r="C329" i="1"/>
  <c r="C353" i="1"/>
  <c r="C369" i="1"/>
  <c r="C393" i="1"/>
  <c r="C425" i="1"/>
  <c r="C465" i="1"/>
  <c r="C26" i="1"/>
  <c r="C74" i="1"/>
  <c r="C9" i="1"/>
  <c r="C17" i="1"/>
  <c r="C25" i="1"/>
  <c r="C33" i="1"/>
  <c r="C41" i="1"/>
  <c r="C49" i="1"/>
  <c r="C57" i="1"/>
  <c r="C65" i="1"/>
  <c r="C73" i="1"/>
  <c r="C81" i="1"/>
  <c r="C89" i="1"/>
  <c r="C97" i="1"/>
  <c r="C105" i="1"/>
  <c r="C113" i="1"/>
  <c r="C121" i="1"/>
  <c r="C129" i="1"/>
  <c r="C137" i="1"/>
  <c r="C145" i="1"/>
  <c r="C153" i="1"/>
  <c r="C161" i="1"/>
  <c r="C169" i="1"/>
  <c r="C177" i="1"/>
  <c r="C185" i="1"/>
  <c r="C193" i="1"/>
  <c r="C201" i="1"/>
  <c r="C209" i="1"/>
  <c r="C233" i="1"/>
  <c r="C241" i="1"/>
  <c r="C249" i="1"/>
  <c r="C265" i="1"/>
  <c r="C281" i="1"/>
  <c r="C297" i="1"/>
  <c r="C305" i="1"/>
  <c r="C321" i="1"/>
  <c r="C337" i="1"/>
  <c r="C361" i="1"/>
  <c r="C409" i="1"/>
  <c r="C441" i="1"/>
  <c r="C481" i="1"/>
  <c r="C18" i="1"/>
  <c r="C42" i="1"/>
  <c r="C58" i="1"/>
  <c r="C82" i="1"/>
  <c r="C98" i="1"/>
  <c r="C114" i="1"/>
  <c r="C11" i="1"/>
  <c r="C19" i="1"/>
  <c r="C35" i="1"/>
  <c r="C91" i="1"/>
  <c r="C116" i="1"/>
  <c r="C139" i="1"/>
  <c r="C162" i="1"/>
  <c r="C180" i="1"/>
  <c r="C203" i="1"/>
  <c r="C219" i="1"/>
  <c r="C235" i="1"/>
  <c r="C251" i="1"/>
  <c r="C267" i="1"/>
  <c r="C283" i="1"/>
  <c r="C299" i="1"/>
  <c r="C315" i="1"/>
  <c r="C331" i="1"/>
  <c r="C347" i="1"/>
  <c r="C363" i="1"/>
  <c r="C379" i="1"/>
  <c r="C395" i="1"/>
  <c r="C411" i="1"/>
  <c r="C427" i="1"/>
  <c r="C443" i="1"/>
  <c r="C459" i="1"/>
  <c r="C475" i="1"/>
  <c r="C491" i="1"/>
  <c r="C43" i="1"/>
  <c r="C92" i="1"/>
  <c r="C122" i="1"/>
  <c r="C140" i="1"/>
  <c r="C163" i="1"/>
  <c r="C186" i="1"/>
  <c r="C204" i="1"/>
  <c r="C220" i="1"/>
  <c r="C236" i="1"/>
  <c r="C252" i="1"/>
  <c r="C268" i="1"/>
  <c r="C284" i="1"/>
  <c r="C300" i="1"/>
  <c r="C316" i="1"/>
  <c r="C332" i="1"/>
  <c r="C348" i="1"/>
  <c r="C364" i="1"/>
  <c r="C380" i="1"/>
  <c r="C396" i="1"/>
  <c r="C412" i="1"/>
  <c r="C428" i="1"/>
  <c r="C444" i="1"/>
  <c r="C460" i="1"/>
  <c r="C476" i="1"/>
  <c r="C492" i="1"/>
  <c r="C430" i="1"/>
  <c r="C462" i="1"/>
  <c r="C494" i="1"/>
  <c r="C100" i="1"/>
  <c r="C147" i="1"/>
  <c r="C188" i="1"/>
  <c r="C210" i="1"/>
  <c r="C242" i="1"/>
  <c r="C290" i="1"/>
  <c r="C322" i="1"/>
  <c r="C354" i="1"/>
  <c r="C386" i="1"/>
  <c r="C434" i="1"/>
  <c r="C466" i="1"/>
  <c r="C67" i="1"/>
  <c r="C148" i="1"/>
  <c r="C194" i="1"/>
  <c r="C227" i="1"/>
  <c r="C259" i="1"/>
  <c r="C291" i="1"/>
  <c r="C323" i="1"/>
  <c r="C355" i="1"/>
  <c r="C387" i="1"/>
  <c r="C419" i="1"/>
  <c r="C451" i="1"/>
  <c r="C483" i="1"/>
  <c r="C131" i="1"/>
  <c r="C172" i="1"/>
  <c r="C212" i="1"/>
  <c r="C244" i="1"/>
  <c r="C276" i="1"/>
  <c r="C308" i="1"/>
  <c r="C340" i="1"/>
  <c r="C372" i="1"/>
  <c r="C388" i="1"/>
  <c r="C51" i="1"/>
  <c r="C99" i="1"/>
  <c r="C123" i="1"/>
  <c r="C146" i="1"/>
  <c r="C164" i="1"/>
  <c r="C187" i="1"/>
  <c r="C206" i="1"/>
  <c r="C222" i="1"/>
  <c r="C238" i="1"/>
  <c r="C254" i="1"/>
  <c r="C270" i="1"/>
  <c r="C286" i="1"/>
  <c r="C302" i="1"/>
  <c r="C318" i="1"/>
  <c r="C334" i="1"/>
  <c r="C350" i="1"/>
  <c r="C366" i="1"/>
  <c r="C382" i="1"/>
  <c r="C398" i="1"/>
  <c r="C414" i="1"/>
  <c r="C446" i="1"/>
  <c r="C478" i="1"/>
  <c r="C59" i="1"/>
  <c r="C124" i="1"/>
  <c r="C170" i="1"/>
  <c r="C226" i="1"/>
  <c r="C258" i="1"/>
  <c r="C274" i="1"/>
  <c r="C306" i="1"/>
  <c r="C338" i="1"/>
  <c r="C370" i="1"/>
  <c r="C418" i="1"/>
  <c r="C450" i="1"/>
  <c r="C482" i="1"/>
  <c r="C106" i="1"/>
  <c r="C130" i="1"/>
  <c r="C171" i="1"/>
  <c r="C211" i="1"/>
  <c r="C243" i="1"/>
  <c r="C275" i="1"/>
  <c r="C307" i="1"/>
  <c r="C339" i="1"/>
  <c r="C371" i="1"/>
  <c r="C403" i="1"/>
  <c r="C435" i="1"/>
  <c r="C467" i="1"/>
  <c r="C107" i="1"/>
  <c r="C195" i="1"/>
  <c r="C228" i="1"/>
  <c r="C260" i="1"/>
  <c r="C292" i="1"/>
  <c r="C324" i="1"/>
  <c r="C356" i="1"/>
  <c r="C420" i="1"/>
  <c r="C402" i="1"/>
  <c r="C154" i="1"/>
  <c r="C75" i="1"/>
  <c r="C83" i="1"/>
  <c r="C178" i="1"/>
  <c r="C246" i="1"/>
  <c r="C310" i="1"/>
  <c r="C374" i="1"/>
  <c r="C426" i="1"/>
  <c r="C470" i="1"/>
  <c r="C90" i="1"/>
  <c r="C179" i="1"/>
  <c r="C250" i="1"/>
  <c r="C314" i="1"/>
  <c r="C436" i="1"/>
  <c r="C474" i="1"/>
  <c r="C108" i="1"/>
  <c r="C196" i="1"/>
  <c r="C262" i="1"/>
  <c r="C326" i="1"/>
  <c r="C390" i="1"/>
  <c r="C438" i="1"/>
  <c r="C484" i="1"/>
  <c r="C115" i="1"/>
  <c r="C202" i="1"/>
  <c r="C266" i="1"/>
  <c r="C394" i="1"/>
  <c r="C442" i="1"/>
  <c r="C486" i="1"/>
  <c r="C214" i="1"/>
  <c r="C404" i="1"/>
  <c r="C138" i="1"/>
  <c r="C282" i="1"/>
  <c r="C454" i="1"/>
  <c r="C155" i="1"/>
  <c r="C410" i="1"/>
  <c r="C27" i="1"/>
  <c r="C298" i="1"/>
  <c r="C422" i="1"/>
  <c r="C378" i="1"/>
  <c r="C278" i="1"/>
  <c r="C452" i="1"/>
  <c r="C346" i="1"/>
  <c r="C294" i="1"/>
  <c r="C458" i="1"/>
  <c r="C234" i="1"/>
  <c r="C330" i="1"/>
  <c r="C132" i="1"/>
  <c r="C342" i="1"/>
  <c r="C490" i="1"/>
  <c r="C218" i="1"/>
  <c r="C406" i="1"/>
  <c r="C230" i="1"/>
  <c r="C358" i="1"/>
  <c r="C156" i="1"/>
  <c r="C362" i="1"/>
  <c r="C468" i="1"/>
  <c r="C3" i="1"/>
  <c r="A1" i="1"/>
  <c r="D230" i="1" l="1"/>
  <c r="E230" i="1"/>
  <c r="D178" i="1"/>
  <c r="E178" i="1"/>
  <c r="D270" i="1"/>
  <c r="E270" i="1"/>
  <c r="D466" i="1"/>
  <c r="E466" i="1"/>
  <c r="D219" i="1"/>
  <c r="E219" i="1"/>
  <c r="D57" i="1"/>
  <c r="E57" i="1"/>
  <c r="D336" i="1"/>
  <c r="E336" i="1"/>
  <c r="D80" i="1"/>
  <c r="E80" i="1"/>
  <c r="D416" i="1"/>
  <c r="E416" i="1"/>
  <c r="D247" i="1"/>
  <c r="E247" i="1"/>
  <c r="D183" i="1"/>
  <c r="E183" i="1"/>
  <c r="D55" i="1"/>
  <c r="E55" i="1"/>
  <c r="D182" i="1"/>
  <c r="E182" i="1"/>
  <c r="D493" i="1"/>
  <c r="E493" i="1"/>
  <c r="D365" i="1"/>
  <c r="E365" i="1"/>
  <c r="D237" i="1"/>
  <c r="E237" i="1"/>
  <c r="D173" i="1"/>
  <c r="E173" i="1"/>
  <c r="D109" i="1"/>
  <c r="E109" i="1"/>
  <c r="D45" i="1"/>
  <c r="E45" i="1"/>
  <c r="D68" i="1"/>
  <c r="E68" i="1"/>
  <c r="D4" i="1"/>
  <c r="E4" i="1"/>
  <c r="D406" i="1"/>
  <c r="E406" i="1"/>
  <c r="D294" i="1"/>
  <c r="E294" i="1"/>
  <c r="D410" i="1"/>
  <c r="E410" i="1"/>
  <c r="D442" i="1"/>
  <c r="E442" i="1"/>
  <c r="D326" i="1"/>
  <c r="E326" i="1"/>
  <c r="D179" i="1"/>
  <c r="E179" i="1"/>
  <c r="D83" i="1"/>
  <c r="E83" i="1"/>
  <c r="D260" i="1"/>
  <c r="E260" i="1"/>
  <c r="D339" i="1"/>
  <c r="E339" i="1"/>
  <c r="D482" i="1"/>
  <c r="E482" i="1"/>
  <c r="D226" i="1"/>
  <c r="E226" i="1"/>
  <c r="D382" i="1"/>
  <c r="E382" i="1"/>
  <c r="D254" i="1"/>
  <c r="E254" i="1"/>
  <c r="D99" i="1"/>
  <c r="E99" i="1"/>
  <c r="D212" i="1"/>
  <c r="E212" i="1"/>
  <c r="D323" i="1"/>
  <c r="E323" i="1"/>
  <c r="D434" i="1"/>
  <c r="E434" i="1"/>
  <c r="D147" i="1"/>
  <c r="E147" i="1"/>
  <c r="D444" i="1"/>
  <c r="E444" i="1"/>
  <c r="D316" i="1"/>
  <c r="E316" i="1"/>
  <c r="D186" i="1"/>
  <c r="E186" i="1"/>
  <c r="D459" i="1"/>
  <c r="E459" i="1"/>
  <c r="D331" i="1"/>
  <c r="E331" i="1"/>
  <c r="D203" i="1"/>
  <c r="E203" i="1"/>
  <c r="D11" i="1"/>
  <c r="E11" i="1"/>
  <c r="D441" i="1"/>
  <c r="E441" i="1"/>
  <c r="D265" i="1"/>
  <c r="E265" i="1"/>
  <c r="D177" i="1"/>
  <c r="E177" i="1"/>
  <c r="D113" i="1"/>
  <c r="E113" i="1"/>
  <c r="D49" i="1"/>
  <c r="E49" i="1"/>
  <c r="D465" i="1"/>
  <c r="E465" i="1"/>
  <c r="D273" i="1"/>
  <c r="E273" i="1"/>
  <c r="D392" i="1"/>
  <c r="E392" i="1"/>
  <c r="D328" i="1"/>
  <c r="E328" i="1"/>
  <c r="D264" i="1"/>
  <c r="E264" i="1"/>
  <c r="D200" i="1"/>
  <c r="E200" i="1"/>
  <c r="D136" i="1"/>
  <c r="E136" i="1"/>
  <c r="D72" i="1"/>
  <c r="E72" i="1"/>
  <c r="D8" i="1"/>
  <c r="E8" i="1"/>
  <c r="D449" i="1"/>
  <c r="E449" i="1"/>
  <c r="D496" i="1"/>
  <c r="E496" i="1"/>
  <c r="D495" i="1"/>
  <c r="E495" i="1"/>
  <c r="D431" i="1"/>
  <c r="E431" i="1"/>
  <c r="D367" i="1"/>
  <c r="E367" i="1"/>
  <c r="D303" i="1"/>
  <c r="E303" i="1"/>
  <c r="D239" i="1"/>
  <c r="E239" i="1"/>
  <c r="D175" i="1"/>
  <c r="E175" i="1"/>
  <c r="D111" i="1"/>
  <c r="E111" i="1"/>
  <c r="D47" i="1"/>
  <c r="E47" i="1"/>
  <c r="D166" i="1"/>
  <c r="E166" i="1"/>
  <c r="D134" i="1"/>
  <c r="E134" i="1"/>
  <c r="D62" i="1"/>
  <c r="E62" i="1"/>
  <c r="D485" i="1"/>
  <c r="E485" i="1"/>
  <c r="D421" i="1"/>
  <c r="E421" i="1"/>
  <c r="D357" i="1"/>
  <c r="E357" i="1"/>
  <c r="D293" i="1"/>
  <c r="E293" i="1"/>
  <c r="D229" i="1"/>
  <c r="E229" i="1"/>
  <c r="D165" i="1"/>
  <c r="E165" i="1"/>
  <c r="D101" i="1"/>
  <c r="E101" i="1"/>
  <c r="D37" i="1"/>
  <c r="E37" i="1"/>
  <c r="D60" i="1"/>
  <c r="E60" i="1"/>
  <c r="D27" i="1"/>
  <c r="E27" i="1"/>
  <c r="D250" i="1"/>
  <c r="E250" i="1"/>
  <c r="D258" i="1"/>
  <c r="E258" i="1"/>
  <c r="D244" i="1"/>
  <c r="E244" i="1"/>
  <c r="D460" i="1"/>
  <c r="E460" i="1"/>
  <c r="D475" i="1"/>
  <c r="E475" i="1"/>
  <c r="D185" i="1"/>
  <c r="E185" i="1"/>
  <c r="D400" i="1"/>
  <c r="E400" i="1"/>
  <c r="D144" i="1"/>
  <c r="E144" i="1"/>
  <c r="D439" i="1"/>
  <c r="E439" i="1"/>
  <c r="D301" i="1"/>
  <c r="E301" i="1"/>
  <c r="D218" i="1"/>
  <c r="E218" i="1"/>
  <c r="D155" i="1"/>
  <c r="E155" i="1"/>
  <c r="D394" i="1"/>
  <c r="E394" i="1"/>
  <c r="D90" i="1"/>
  <c r="E90" i="1"/>
  <c r="D228" i="1"/>
  <c r="E228" i="1"/>
  <c r="D450" i="1"/>
  <c r="E450" i="1"/>
  <c r="D366" i="1"/>
  <c r="E366" i="1"/>
  <c r="D51" i="1"/>
  <c r="E51" i="1"/>
  <c r="D291" i="1"/>
  <c r="E291" i="1"/>
  <c r="D100" i="1"/>
  <c r="E100" i="1"/>
  <c r="D428" i="1"/>
  <c r="E428" i="1"/>
  <c r="D163" i="1"/>
  <c r="E163" i="1"/>
  <c r="D315" i="1"/>
  <c r="E315" i="1"/>
  <c r="D114" i="1"/>
  <c r="E114" i="1"/>
  <c r="D409" i="1"/>
  <c r="E409" i="1"/>
  <c r="D169" i="1"/>
  <c r="E169" i="1"/>
  <c r="D105" i="1"/>
  <c r="E105" i="1"/>
  <c r="D41" i="1"/>
  <c r="E41" i="1"/>
  <c r="D425" i="1"/>
  <c r="E425" i="1"/>
  <c r="D257" i="1"/>
  <c r="E257" i="1"/>
  <c r="D384" i="1"/>
  <c r="E384" i="1"/>
  <c r="D256" i="1"/>
  <c r="E256" i="1"/>
  <c r="D192" i="1"/>
  <c r="E192" i="1"/>
  <c r="D128" i="1"/>
  <c r="E128" i="1"/>
  <c r="D64" i="1"/>
  <c r="E64" i="1"/>
  <c r="D66" i="1"/>
  <c r="E66" i="1"/>
  <c r="D433" i="1"/>
  <c r="E433" i="1"/>
  <c r="D488" i="1"/>
  <c r="E488" i="1"/>
  <c r="D487" i="1"/>
  <c r="E487" i="1"/>
  <c r="D423" i="1"/>
  <c r="E423" i="1"/>
  <c r="D359" i="1"/>
  <c r="E359" i="1"/>
  <c r="D295" i="1"/>
  <c r="E295" i="1"/>
  <c r="D231" i="1"/>
  <c r="E231" i="1"/>
  <c r="D167" i="1"/>
  <c r="E167" i="1"/>
  <c r="D103" i="1"/>
  <c r="E103" i="1"/>
  <c r="D39" i="1"/>
  <c r="E39" i="1"/>
  <c r="D150" i="1"/>
  <c r="E150" i="1"/>
  <c r="D118" i="1"/>
  <c r="E118" i="1"/>
  <c r="D54" i="1"/>
  <c r="E54" i="1"/>
  <c r="D477" i="1"/>
  <c r="E477" i="1"/>
  <c r="D413" i="1"/>
  <c r="E413" i="1"/>
  <c r="D349" i="1"/>
  <c r="E349" i="1"/>
  <c r="D285" i="1"/>
  <c r="E285" i="1"/>
  <c r="D221" i="1"/>
  <c r="E221" i="1"/>
  <c r="D157" i="1"/>
  <c r="E157" i="1"/>
  <c r="D93" i="1"/>
  <c r="E93" i="1"/>
  <c r="D29" i="1"/>
  <c r="E29" i="1"/>
  <c r="D52" i="1"/>
  <c r="E52" i="1"/>
  <c r="D490" i="1"/>
  <c r="E490" i="1"/>
  <c r="D452" i="1"/>
  <c r="E452" i="1"/>
  <c r="D454" i="1"/>
  <c r="E454" i="1"/>
  <c r="D266" i="1"/>
  <c r="E266" i="1"/>
  <c r="D196" i="1"/>
  <c r="E196" i="1"/>
  <c r="D470" i="1"/>
  <c r="E470" i="1"/>
  <c r="D154" i="1"/>
  <c r="E154" i="1"/>
  <c r="D195" i="1"/>
  <c r="E195" i="1"/>
  <c r="D275" i="1"/>
  <c r="E275" i="1"/>
  <c r="D418" i="1"/>
  <c r="E418" i="1"/>
  <c r="D124" i="1"/>
  <c r="E124" i="1"/>
  <c r="D350" i="1"/>
  <c r="E350" i="1"/>
  <c r="D222" i="1"/>
  <c r="E222" i="1"/>
  <c r="D388" i="1"/>
  <c r="E388" i="1"/>
  <c r="D131" i="1"/>
  <c r="E131" i="1"/>
  <c r="D259" i="1"/>
  <c r="E259" i="1"/>
  <c r="D354" i="1"/>
  <c r="E354" i="1"/>
  <c r="D494" i="1"/>
  <c r="E494" i="1"/>
  <c r="D412" i="1"/>
  <c r="E412" i="1"/>
  <c r="D284" i="1"/>
  <c r="E284" i="1"/>
  <c r="D140" i="1"/>
  <c r="E140" i="1"/>
  <c r="D427" i="1"/>
  <c r="E427" i="1"/>
  <c r="D299" i="1"/>
  <c r="E299" i="1"/>
  <c r="D162" i="1"/>
  <c r="E162" i="1"/>
  <c r="D98" i="1"/>
  <c r="E98" i="1"/>
  <c r="D361" i="1"/>
  <c r="E361" i="1"/>
  <c r="D241" i="1"/>
  <c r="E241" i="1"/>
  <c r="D161" i="1"/>
  <c r="E161" i="1"/>
  <c r="D97" i="1"/>
  <c r="E97" i="1"/>
  <c r="D33" i="1"/>
  <c r="E33" i="1"/>
  <c r="D393" i="1"/>
  <c r="E393" i="1"/>
  <c r="D217" i="1"/>
  <c r="E217" i="1"/>
  <c r="D376" i="1"/>
  <c r="E376" i="1"/>
  <c r="D312" i="1"/>
  <c r="E312" i="1"/>
  <c r="D248" i="1"/>
  <c r="E248" i="1"/>
  <c r="D184" i="1"/>
  <c r="E184" i="1"/>
  <c r="D120" i="1"/>
  <c r="E120" i="1"/>
  <c r="D56" i="1"/>
  <c r="E56" i="1"/>
  <c r="D50" i="1"/>
  <c r="E50" i="1"/>
  <c r="D417" i="1"/>
  <c r="E417" i="1"/>
  <c r="D480" i="1"/>
  <c r="E480" i="1"/>
  <c r="D479" i="1"/>
  <c r="E479" i="1"/>
  <c r="D415" i="1"/>
  <c r="E415" i="1"/>
  <c r="D351" i="1"/>
  <c r="E351" i="1"/>
  <c r="D287" i="1"/>
  <c r="E287" i="1"/>
  <c r="D223" i="1"/>
  <c r="E223" i="1"/>
  <c r="D159" i="1"/>
  <c r="E159" i="1"/>
  <c r="D95" i="1"/>
  <c r="E95" i="1"/>
  <c r="D31" i="1"/>
  <c r="E31" i="1"/>
  <c r="D126" i="1"/>
  <c r="E126" i="1"/>
  <c r="D110" i="1"/>
  <c r="E110" i="1"/>
  <c r="D46" i="1"/>
  <c r="E46" i="1"/>
  <c r="D469" i="1"/>
  <c r="E469" i="1"/>
  <c r="D405" i="1"/>
  <c r="E405" i="1"/>
  <c r="D341" i="1"/>
  <c r="E341" i="1"/>
  <c r="D277" i="1"/>
  <c r="E277" i="1"/>
  <c r="D213" i="1"/>
  <c r="E213" i="1"/>
  <c r="D149" i="1"/>
  <c r="E149" i="1"/>
  <c r="D85" i="1"/>
  <c r="E85" i="1"/>
  <c r="D21" i="1"/>
  <c r="E21" i="1"/>
  <c r="D44" i="1"/>
  <c r="E44" i="1"/>
  <c r="D458" i="1"/>
  <c r="E458" i="1"/>
  <c r="D292" i="1"/>
  <c r="E292" i="1"/>
  <c r="D123" i="1"/>
  <c r="E123" i="1"/>
  <c r="D188" i="1"/>
  <c r="E188" i="1"/>
  <c r="D19" i="1"/>
  <c r="E19" i="1"/>
  <c r="D26" i="1"/>
  <c r="E26" i="1"/>
  <c r="D272" i="1"/>
  <c r="E272" i="1"/>
  <c r="D457" i="1"/>
  <c r="E457" i="1"/>
  <c r="D375" i="1"/>
  <c r="E375" i="1"/>
  <c r="D429" i="1"/>
  <c r="E429" i="1"/>
  <c r="D346" i="1"/>
  <c r="E346" i="1"/>
  <c r="D262" i="1"/>
  <c r="E262" i="1"/>
  <c r="D75" i="1"/>
  <c r="E75" i="1"/>
  <c r="D307" i="1"/>
  <c r="E307" i="1"/>
  <c r="D170" i="1"/>
  <c r="E170" i="1"/>
  <c r="D238" i="1"/>
  <c r="E238" i="1"/>
  <c r="D172" i="1"/>
  <c r="E172" i="1"/>
  <c r="D386" i="1"/>
  <c r="E386" i="1"/>
  <c r="D300" i="1"/>
  <c r="E300" i="1"/>
  <c r="D443" i="1"/>
  <c r="E443" i="1"/>
  <c r="D180" i="1"/>
  <c r="E180" i="1"/>
  <c r="D249" i="1"/>
  <c r="E249" i="1"/>
  <c r="D320" i="1"/>
  <c r="E320" i="1"/>
  <c r="D468" i="1"/>
  <c r="E468" i="1"/>
  <c r="D342" i="1"/>
  <c r="E342" i="1"/>
  <c r="D278" i="1"/>
  <c r="E278" i="1"/>
  <c r="D282" i="1"/>
  <c r="E282" i="1"/>
  <c r="D202" i="1"/>
  <c r="E202" i="1"/>
  <c r="D108" i="1"/>
  <c r="E108" i="1"/>
  <c r="D426" i="1"/>
  <c r="E426" i="1"/>
  <c r="D402" i="1"/>
  <c r="E402" i="1"/>
  <c r="D107" i="1"/>
  <c r="E107" i="1"/>
  <c r="D243" i="1"/>
  <c r="E243" i="1"/>
  <c r="D370" i="1"/>
  <c r="E370" i="1"/>
  <c r="D59" i="1"/>
  <c r="E59" i="1"/>
  <c r="D334" i="1"/>
  <c r="E334" i="1"/>
  <c r="D206" i="1"/>
  <c r="E206" i="1"/>
  <c r="D372" i="1"/>
  <c r="E372" i="1"/>
  <c r="D483" i="1"/>
  <c r="E483" i="1"/>
  <c r="D227" i="1"/>
  <c r="E227" i="1"/>
  <c r="D322" i="1"/>
  <c r="E322" i="1"/>
  <c r="D462" i="1"/>
  <c r="E462" i="1"/>
  <c r="D396" i="1"/>
  <c r="E396" i="1"/>
  <c r="D268" i="1"/>
  <c r="E268" i="1"/>
  <c r="D122" i="1"/>
  <c r="E122" i="1"/>
  <c r="D411" i="1"/>
  <c r="E411" i="1"/>
  <c r="D283" i="1"/>
  <c r="E283" i="1"/>
  <c r="D139" i="1"/>
  <c r="E139" i="1"/>
  <c r="D82" i="1"/>
  <c r="E82" i="1"/>
  <c r="D337" i="1"/>
  <c r="E337" i="1"/>
  <c r="D233" i="1"/>
  <c r="E233" i="1"/>
  <c r="D153" i="1"/>
  <c r="E153" i="1"/>
  <c r="D89" i="1"/>
  <c r="E89" i="1"/>
  <c r="D25" i="1"/>
  <c r="E25" i="1"/>
  <c r="D369" i="1"/>
  <c r="E369" i="1"/>
  <c r="D472" i="1"/>
  <c r="E472" i="1"/>
  <c r="D368" i="1"/>
  <c r="E368" i="1"/>
  <c r="D304" i="1"/>
  <c r="E304" i="1"/>
  <c r="D240" i="1"/>
  <c r="E240" i="1"/>
  <c r="D176" i="1"/>
  <c r="E176" i="1"/>
  <c r="D112" i="1"/>
  <c r="E112" i="1"/>
  <c r="D48" i="1"/>
  <c r="E48" i="1"/>
  <c r="D34" i="1"/>
  <c r="E34" i="1"/>
  <c r="D401" i="1"/>
  <c r="E401" i="1"/>
  <c r="D464" i="1"/>
  <c r="E464" i="1"/>
  <c r="D471" i="1"/>
  <c r="E471" i="1"/>
  <c r="D407" i="1"/>
  <c r="E407" i="1"/>
  <c r="D343" i="1"/>
  <c r="E343" i="1"/>
  <c r="D279" i="1"/>
  <c r="E279" i="1"/>
  <c r="D215" i="1"/>
  <c r="E215" i="1"/>
  <c r="D151" i="1"/>
  <c r="E151" i="1"/>
  <c r="D87" i="1"/>
  <c r="E87" i="1"/>
  <c r="D23" i="1"/>
  <c r="E23" i="1"/>
  <c r="D6" i="1"/>
  <c r="E6" i="1"/>
  <c r="D102" i="1"/>
  <c r="E102" i="1"/>
  <c r="D38" i="1"/>
  <c r="E38" i="1"/>
  <c r="D461" i="1"/>
  <c r="E461" i="1"/>
  <c r="D397" i="1"/>
  <c r="E397" i="1"/>
  <c r="D333" i="1"/>
  <c r="E333" i="1"/>
  <c r="D269" i="1"/>
  <c r="E269" i="1"/>
  <c r="D205" i="1"/>
  <c r="E205" i="1"/>
  <c r="D141" i="1"/>
  <c r="E141" i="1"/>
  <c r="D77" i="1"/>
  <c r="E77" i="1"/>
  <c r="D13" i="1"/>
  <c r="E13" i="1"/>
  <c r="D36" i="1"/>
  <c r="E36" i="1"/>
  <c r="D371" i="1"/>
  <c r="E371" i="1"/>
  <c r="D481" i="1"/>
  <c r="E481" i="1"/>
  <c r="D119" i="1"/>
  <c r="E119" i="1"/>
  <c r="D362" i="1"/>
  <c r="E362" i="1"/>
  <c r="D115" i="1"/>
  <c r="E115" i="1"/>
  <c r="D467" i="1"/>
  <c r="E467" i="1"/>
  <c r="D187" i="1"/>
  <c r="E187" i="1"/>
  <c r="D380" i="1"/>
  <c r="E380" i="1"/>
  <c r="D58" i="1"/>
  <c r="E58" i="1"/>
  <c r="D17" i="1"/>
  <c r="E17" i="1"/>
  <c r="D232" i="1"/>
  <c r="E232" i="1"/>
  <c r="D10" i="1"/>
  <c r="E10" i="1"/>
  <c r="D399" i="1"/>
  <c r="E399" i="1"/>
  <c r="D207" i="1"/>
  <c r="E207" i="1"/>
  <c r="D79" i="1"/>
  <c r="E79" i="1"/>
  <c r="D190" i="1"/>
  <c r="E190" i="1"/>
  <c r="D94" i="1"/>
  <c r="E94" i="1"/>
  <c r="D30" i="1"/>
  <c r="E30" i="1"/>
  <c r="D453" i="1"/>
  <c r="E453" i="1"/>
  <c r="D389" i="1"/>
  <c r="E389" i="1"/>
  <c r="D261" i="1"/>
  <c r="E261" i="1"/>
  <c r="D133" i="1"/>
  <c r="E133" i="1"/>
  <c r="D69" i="1"/>
  <c r="E69" i="1"/>
  <c r="D5" i="1"/>
  <c r="E5" i="1"/>
  <c r="D28" i="1"/>
  <c r="E28" i="1"/>
  <c r="D486" i="1"/>
  <c r="E486" i="1"/>
  <c r="D398" i="1"/>
  <c r="E398" i="1"/>
  <c r="D332" i="1"/>
  <c r="E332" i="1"/>
  <c r="D281" i="1"/>
  <c r="E281" i="1"/>
  <c r="D16" i="1"/>
  <c r="E16" i="1"/>
  <c r="D142" i="1"/>
  <c r="E142" i="1"/>
  <c r="D378" i="1"/>
  <c r="E378" i="1"/>
  <c r="D420" i="1"/>
  <c r="E420" i="1"/>
  <c r="D478" i="1"/>
  <c r="E478" i="1"/>
  <c r="D340" i="1"/>
  <c r="E340" i="1"/>
  <c r="D290" i="1"/>
  <c r="E290" i="1"/>
  <c r="D92" i="1"/>
  <c r="E92" i="1"/>
  <c r="D116" i="1"/>
  <c r="E116" i="1"/>
  <c r="D81" i="1"/>
  <c r="E81" i="1"/>
  <c r="D360" i="1"/>
  <c r="E360" i="1"/>
  <c r="D104" i="1"/>
  <c r="E104" i="1"/>
  <c r="D385" i="1"/>
  <c r="E385" i="1"/>
  <c r="D271" i="1"/>
  <c r="E271" i="1"/>
  <c r="D325" i="1"/>
  <c r="E325" i="1"/>
  <c r="D330" i="1"/>
  <c r="E330" i="1"/>
  <c r="D404" i="1"/>
  <c r="E404" i="1"/>
  <c r="D310" i="1"/>
  <c r="E310" i="1"/>
  <c r="D171" i="1"/>
  <c r="E171" i="1"/>
  <c r="D446" i="1"/>
  <c r="E446" i="1"/>
  <c r="D164" i="1"/>
  <c r="E164" i="1"/>
  <c r="D148" i="1"/>
  <c r="E148" i="1"/>
  <c r="D492" i="1"/>
  <c r="E492" i="1"/>
  <c r="D364" i="1"/>
  <c r="E364" i="1"/>
  <c r="D43" i="1"/>
  <c r="E43" i="1"/>
  <c r="D379" i="1"/>
  <c r="E379" i="1"/>
  <c r="D251" i="1"/>
  <c r="E251" i="1"/>
  <c r="D91" i="1"/>
  <c r="E91" i="1"/>
  <c r="D42" i="1"/>
  <c r="E42" i="1"/>
  <c r="D305" i="1"/>
  <c r="E305" i="1"/>
  <c r="D201" i="1"/>
  <c r="E201" i="1"/>
  <c r="D137" i="1"/>
  <c r="E137" i="1"/>
  <c r="D9" i="1"/>
  <c r="E9" i="1"/>
  <c r="D329" i="1"/>
  <c r="E329" i="1"/>
  <c r="D424" i="1"/>
  <c r="E424" i="1"/>
  <c r="D352" i="1"/>
  <c r="E352" i="1"/>
  <c r="D288" i="1"/>
  <c r="E288" i="1"/>
  <c r="D224" i="1"/>
  <c r="E224" i="1"/>
  <c r="D160" i="1"/>
  <c r="E160" i="1"/>
  <c r="D96" i="1"/>
  <c r="E96" i="1"/>
  <c r="D32" i="1"/>
  <c r="E32" i="1"/>
  <c r="D489" i="1"/>
  <c r="E489" i="1"/>
  <c r="D377" i="1"/>
  <c r="E377" i="1"/>
  <c r="D448" i="1"/>
  <c r="E448" i="1"/>
  <c r="D455" i="1"/>
  <c r="E455" i="1"/>
  <c r="D391" i="1"/>
  <c r="E391" i="1"/>
  <c r="D327" i="1"/>
  <c r="E327" i="1"/>
  <c r="D263" i="1"/>
  <c r="E263" i="1"/>
  <c r="D199" i="1"/>
  <c r="E199" i="1"/>
  <c r="D135" i="1"/>
  <c r="E135" i="1"/>
  <c r="D71" i="1"/>
  <c r="E71" i="1"/>
  <c r="D7" i="1"/>
  <c r="E7" i="1"/>
  <c r="D174" i="1"/>
  <c r="E174" i="1"/>
  <c r="D86" i="1"/>
  <c r="E86" i="1"/>
  <c r="D22" i="1"/>
  <c r="E22" i="1"/>
  <c r="D445" i="1"/>
  <c r="E445" i="1"/>
  <c r="D381" i="1"/>
  <c r="E381" i="1"/>
  <c r="D317" i="1"/>
  <c r="E317" i="1"/>
  <c r="D253" i="1"/>
  <c r="E253" i="1"/>
  <c r="D189" i="1"/>
  <c r="E189" i="1"/>
  <c r="D125" i="1"/>
  <c r="E125" i="1"/>
  <c r="D61" i="1"/>
  <c r="E61" i="1"/>
  <c r="D84" i="1"/>
  <c r="E84" i="1"/>
  <c r="D20" i="1"/>
  <c r="E20" i="1"/>
  <c r="D390" i="1"/>
  <c r="E390" i="1"/>
  <c r="D106" i="1"/>
  <c r="E106" i="1"/>
  <c r="D355" i="1"/>
  <c r="E355" i="1"/>
  <c r="D204" i="1"/>
  <c r="E204" i="1"/>
  <c r="D347" i="1"/>
  <c r="E347" i="1"/>
  <c r="D121" i="1"/>
  <c r="E121" i="1"/>
  <c r="D289" i="1"/>
  <c r="E289" i="1"/>
  <c r="D208" i="1"/>
  <c r="E208" i="1"/>
  <c r="D225" i="1"/>
  <c r="E225" i="1"/>
  <c r="D311" i="1"/>
  <c r="E311" i="1"/>
  <c r="D70" i="1"/>
  <c r="E70" i="1"/>
  <c r="D132" i="1"/>
  <c r="E132" i="1"/>
  <c r="D138" i="1"/>
  <c r="E138" i="1"/>
  <c r="D474" i="1"/>
  <c r="E474" i="1"/>
  <c r="D374" i="1"/>
  <c r="E374" i="1"/>
  <c r="D211" i="1"/>
  <c r="E211" i="1"/>
  <c r="D338" i="1"/>
  <c r="E338" i="1"/>
  <c r="D318" i="1"/>
  <c r="E318" i="1"/>
  <c r="D451" i="1"/>
  <c r="E451" i="1"/>
  <c r="D194" i="1"/>
  <c r="E194" i="1"/>
  <c r="D430" i="1"/>
  <c r="E430" i="1"/>
  <c r="D252" i="1"/>
  <c r="E252" i="1"/>
  <c r="D395" i="1"/>
  <c r="E395" i="1"/>
  <c r="D267" i="1"/>
  <c r="E267" i="1"/>
  <c r="D321" i="1"/>
  <c r="E321" i="1"/>
  <c r="D209" i="1"/>
  <c r="E209" i="1"/>
  <c r="D145" i="1"/>
  <c r="E145" i="1"/>
  <c r="D353" i="1"/>
  <c r="E353" i="1"/>
  <c r="D440" i="1"/>
  <c r="E440" i="1"/>
  <c r="D296" i="1"/>
  <c r="E296" i="1"/>
  <c r="D168" i="1"/>
  <c r="E168" i="1"/>
  <c r="D40" i="1"/>
  <c r="E40" i="1"/>
  <c r="D456" i="1"/>
  <c r="E456" i="1"/>
  <c r="D463" i="1"/>
  <c r="E463" i="1"/>
  <c r="D335" i="1"/>
  <c r="E335" i="1"/>
  <c r="D143" i="1"/>
  <c r="E143" i="1"/>
  <c r="D15" i="1"/>
  <c r="E15" i="1"/>
  <c r="D197" i="1"/>
  <c r="E197" i="1"/>
  <c r="D156" i="1"/>
  <c r="E156" i="1"/>
  <c r="D422" i="1"/>
  <c r="E422" i="1"/>
  <c r="D484" i="1"/>
  <c r="E484" i="1"/>
  <c r="D436" i="1"/>
  <c r="E436" i="1"/>
  <c r="D356" i="1"/>
  <c r="E356" i="1"/>
  <c r="D435" i="1"/>
  <c r="E435" i="1"/>
  <c r="D306" i="1"/>
  <c r="E306" i="1"/>
  <c r="D302" i="1"/>
  <c r="E302" i="1"/>
  <c r="D308" i="1"/>
  <c r="E308" i="1"/>
  <c r="D419" i="1"/>
  <c r="E419" i="1"/>
  <c r="D242" i="1"/>
  <c r="E242" i="1"/>
  <c r="D236" i="1"/>
  <c r="E236" i="1"/>
  <c r="D73" i="1"/>
  <c r="E73" i="1"/>
  <c r="D358" i="1"/>
  <c r="E358" i="1"/>
  <c r="D234" i="1"/>
  <c r="E234" i="1"/>
  <c r="D298" i="1"/>
  <c r="E298" i="1"/>
  <c r="D214" i="1"/>
  <c r="E214" i="1"/>
  <c r="D438" i="1"/>
  <c r="E438" i="1"/>
  <c r="D314" i="1"/>
  <c r="E314" i="1"/>
  <c r="D246" i="1"/>
  <c r="E246" i="1"/>
  <c r="D324" i="1"/>
  <c r="E324" i="1"/>
  <c r="D403" i="1"/>
  <c r="E403" i="1"/>
  <c r="D130" i="1"/>
  <c r="E130" i="1"/>
  <c r="D274" i="1"/>
  <c r="E274" i="1"/>
  <c r="D414" i="1"/>
  <c r="E414" i="1"/>
  <c r="D286" i="1"/>
  <c r="E286" i="1"/>
  <c r="D146" i="1"/>
  <c r="E146" i="1"/>
  <c r="D276" i="1"/>
  <c r="E276" i="1"/>
  <c r="D387" i="1"/>
  <c r="E387" i="1"/>
  <c r="D67" i="1"/>
  <c r="E67" i="1"/>
  <c r="D210" i="1"/>
  <c r="E210" i="1"/>
  <c r="D476" i="1"/>
  <c r="E476" i="1"/>
  <c r="D348" i="1"/>
  <c r="E348" i="1"/>
  <c r="D220" i="1"/>
  <c r="E220" i="1"/>
  <c r="D491" i="1"/>
  <c r="E491" i="1"/>
  <c r="D363" i="1"/>
  <c r="E363" i="1"/>
  <c r="D235" i="1"/>
  <c r="E235" i="1"/>
  <c r="D35" i="1"/>
  <c r="E35" i="1"/>
  <c r="D18" i="1"/>
  <c r="E18" i="1"/>
  <c r="D297" i="1"/>
  <c r="E297" i="1"/>
  <c r="D193" i="1"/>
  <c r="E193" i="1"/>
  <c r="D129" i="1"/>
  <c r="E129" i="1"/>
  <c r="D65" i="1"/>
  <c r="E65" i="1"/>
  <c r="D74" i="1"/>
  <c r="E74" i="1"/>
  <c r="D313" i="1"/>
  <c r="E313" i="1"/>
  <c r="D408" i="1"/>
  <c r="E408" i="1"/>
  <c r="D344" i="1"/>
  <c r="E344" i="1"/>
  <c r="D280" i="1"/>
  <c r="E280" i="1"/>
  <c r="D216" i="1"/>
  <c r="E216" i="1"/>
  <c r="D152" i="1"/>
  <c r="E152" i="1"/>
  <c r="D88" i="1"/>
  <c r="E88" i="1"/>
  <c r="D24" i="1"/>
  <c r="E24" i="1"/>
  <c r="D473" i="1"/>
  <c r="E473" i="1"/>
  <c r="D345" i="1"/>
  <c r="E345" i="1"/>
  <c r="D432" i="1"/>
  <c r="E432" i="1"/>
  <c r="D447" i="1"/>
  <c r="E447" i="1"/>
  <c r="D383" i="1"/>
  <c r="E383" i="1"/>
  <c r="D319" i="1"/>
  <c r="E319" i="1"/>
  <c r="D255" i="1"/>
  <c r="E255" i="1"/>
  <c r="D191" i="1"/>
  <c r="E191" i="1"/>
  <c r="D127" i="1"/>
  <c r="E127" i="1"/>
  <c r="D63" i="1"/>
  <c r="E63" i="1"/>
  <c r="D198" i="1"/>
  <c r="E198" i="1"/>
  <c r="D158" i="1"/>
  <c r="E158" i="1"/>
  <c r="D78" i="1"/>
  <c r="E78" i="1"/>
  <c r="D14" i="1"/>
  <c r="E14" i="1"/>
  <c r="D437" i="1"/>
  <c r="E437" i="1"/>
  <c r="D373" i="1"/>
  <c r="E373" i="1"/>
  <c r="D309" i="1"/>
  <c r="E309" i="1"/>
  <c r="D245" i="1"/>
  <c r="E245" i="1"/>
  <c r="D181" i="1"/>
  <c r="E181" i="1"/>
  <c r="D117" i="1"/>
  <c r="E117" i="1"/>
  <c r="D53" i="1"/>
  <c r="E53" i="1"/>
  <c r="D76" i="1"/>
  <c r="E76" i="1"/>
  <c r="D12" i="1"/>
  <c r="E12" i="1"/>
  <c r="D3" i="1"/>
  <c r="E3" i="1"/>
  <c r="G16" i="1" l="1"/>
  <c r="F16" i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G17" i="1" l="1"/>
  <c r="H16" i="1"/>
  <c r="I16" i="1" s="1"/>
  <c r="G18" i="1" l="1"/>
  <c r="H17" i="1"/>
  <c r="I17" i="1" s="1"/>
  <c r="G19" i="1" l="1"/>
  <c r="H18" i="1"/>
  <c r="I18" i="1" s="1"/>
  <c r="G20" i="1" l="1"/>
  <c r="H19" i="1"/>
  <c r="I19" i="1" s="1"/>
  <c r="G21" i="1" l="1"/>
  <c r="H20" i="1"/>
  <c r="I20" i="1" s="1"/>
  <c r="G22" i="1" l="1"/>
  <c r="H21" i="1"/>
  <c r="I21" i="1" s="1"/>
  <c r="G23" i="1" l="1"/>
  <c r="H22" i="1"/>
  <c r="I22" i="1" s="1"/>
  <c r="G24" i="1" l="1"/>
  <c r="H23" i="1"/>
  <c r="I23" i="1" s="1"/>
  <c r="G25" i="1" l="1"/>
  <c r="H24" i="1"/>
  <c r="I24" i="1" s="1"/>
  <c r="G26" i="1" l="1"/>
  <c r="H25" i="1"/>
  <c r="I25" i="1" s="1"/>
  <c r="G27" i="1" l="1"/>
  <c r="H26" i="1"/>
  <c r="I26" i="1" s="1"/>
  <c r="G28" i="1" l="1"/>
  <c r="H27" i="1"/>
  <c r="I27" i="1" s="1"/>
  <c r="G29" i="1" l="1"/>
  <c r="H28" i="1"/>
  <c r="I28" i="1" s="1"/>
  <c r="G30" i="1" l="1"/>
  <c r="H29" i="1"/>
  <c r="I29" i="1" s="1"/>
  <c r="G31" i="1" l="1"/>
  <c r="H30" i="1"/>
  <c r="I30" i="1" s="1"/>
  <c r="G32" i="1" l="1"/>
  <c r="H31" i="1"/>
  <c r="I31" i="1" s="1"/>
  <c r="G33" i="1" l="1"/>
  <c r="H32" i="1"/>
  <c r="I32" i="1" s="1"/>
  <c r="G34" i="1" l="1"/>
  <c r="H33" i="1"/>
  <c r="I33" i="1" s="1"/>
  <c r="G35" i="1" l="1"/>
  <c r="H34" i="1"/>
  <c r="I34" i="1" s="1"/>
  <c r="G36" i="1" l="1"/>
  <c r="H35" i="1"/>
  <c r="I35" i="1" s="1"/>
  <c r="G37" i="1" l="1"/>
  <c r="H36" i="1"/>
  <c r="I36" i="1" s="1"/>
  <c r="G38" i="1" l="1"/>
  <c r="H37" i="1"/>
  <c r="I37" i="1" s="1"/>
  <c r="G39" i="1" l="1"/>
  <c r="H38" i="1"/>
  <c r="I38" i="1" s="1"/>
  <c r="G40" i="1" l="1"/>
  <c r="H39" i="1"/>
  <c r="I39" i="1" s="1"/>
  <c r="G41" i="1" l="1"/>
  <c r="H40" i="1"/>
  <c r="I40" i="1" s="1"/>
  <c r="G42" i="1" l="1"/>
  <c r="H41" i="1"/>
  <c r="I41" i="1" s="1"/>
  <c r="G43" i="1" l="1"/>
  <c r="H42" i="1"/>
  <c r="I42" i="1" s="1"/>
  <c r="G44" i="1" l="1"/>
  <c r="H43" i="1"/>
  <c r="I43" i="1" s="1"/>
  <c r="G45" i="1" l="1"/>
  <c r="H44" i="1"/>
  <c r="I44" i="1" s="1"/>
  <c r="G46" i="1" l="1"/>
  <c r="H45" i="1"/>
  <c r="I45" i="1" s="1"/>
  <c r="G47" i="1" l="1"/>
  <c r="H46" i="1"/>
  <c r="I46" i="1" s="1"/>
  <c r="G48" i="1" l="1"/>
  <c r="H47" i="1"/>
  <c r="I47" i="1" s="1"/>
  <c r="G49" i="1" l="1"/>
  <c r="H48" i="1"/>
  <c r="I48" i="1" s="1"/>
  <c r="G50" i="1" l="1"/>
  <c r="H49" i="1"/>
  <c r="I49" i="1" s="1"/>
  <c r="G51" i="1" l="1"/>
  <c r="H50" i="1"/>
  <c r="I50" i="1" s="1"/>
  <c r="G52" i="1" l="1"/>
  <c r="H51" i="1"/>
  <c r="I51" i="1" s="1"/>
  <c r="G53" i="1" l="1"/>
  <c r="H52" i="1"/>
  <c r="I52" i="1" s="1"/>
  <c r="G54" i="1" l="1"/>
  <c r="H53" i="1"/>
  <c r="I53" i="1" s="1"/>
  <c r="G55" i="1" l="1"/>
  <c r="H54" i="1"/>
  <c r="I54" i="1" s="1"/>
  <c r="G56" i="1" l="1"/>
  <c r="H55" i="1"/>
  <c r="I55" i="1" s="1"/>
  <c r="G57" i="1" l="1"/>
  <c r="H56" i="1"/>
  <c r="I56" i="1" s="1"/>
  <c r="G58" i="1" l="1"/>
  <c r="H57" i="1"/>
  <c r="I57" i="1" s="1"/>
  <c r="G59" i="1" l="1"/>
  <c r="H58" i="1"/>
  <c r="I58" i="1" s="1"/>
  <c r="G60" i="1" l="1"/>
  <c r="H59" i="1"/>
  <c r="I59" i="1" s="1"/>
  <c r="G61" i="1" l="1"/>
  <c r="H60" i="1"/>
  <c r="I60" i="1" s="1"/>
  <c r="G62" i="1" l="1"/>
  <c r="H61" i="1"/>
  <c r="I61" i="1" s="1"/>
  <c r="G63" i="1" l="1"/>
  <c r="H62" i="1"/>
  <c r="I62" i="1" s="1"/>
  <c r="G64" i="1" l="1"/>
  <c r="H63" i="1"/>
  <c r="I63" i="1" s="1"/>
  <c r="G65" i="1" l="1"/>
  <c r="H64" i="1"/>
  <c r="I64" i="1" s="1"/>
  <c r="G66" i="1" l="1"/>
  <c r="H65" i="1"/>
  <c r="I65" i="1" s="1"/>
  <c r="G67" i="1" l="1"/>
  <c r="H66" i="1"/>
  <c r="I66" i="1" s="1"/>
  <c r="G68" i="1" l="1"/>
  <c r="H67" i="1"/>
  <c r="I67" i="1" s="1"/>
  <c r="G69" i="1" l="1"/>
  <c r="H68" i="1"/>
  <c r="I68" i="1" s="1"/>
  <c r="G70" i="1" l="1"/>
  <c r="H69" i="1"/>
  <c r="I69" i="1" s="1"/>
  <c r="G71" i="1" l="1"/>
  <c r="H70" i="1"/>
  <c r="I70" i="1" s="1"/>
  <c r="G72" i="1" l="1"/>
  <c r="H71" i="1"/>
  <c r="I71" i="1" s="1"/>
  <c r="G73" i="1" l="1"/>
  <c r="H72" i="1"/>
  <c r="I72" i="1" s="1"/>
  <c r="G74" i="1" l="1"/>
  <c r="H73" i="1"/>
  <c r="I73" i="1" s="1"/>
  <c r="G75" i="1" l="1"/>
  <c r="H74" i="1"/>
  <c r="I74" i="1" s="1"/>
  <c r="G76" i="1" l="1"/>
  <c r="H75" i="1"/>
  <c r="I75" i="1" s="1"/>
  <c r="G77" i="1" l="1"/>
  <c r="H76" i="1"/>
  <c r="I76" i="1" s="1"/>
  <c r="G78" i="1" l="1"/>
  <c r="H77" i="1"/>
  <c r="I77" i="1" s="1"/>
  <c r="G79" i="1" l="1"/>
  <c r="H78" i="1"/>
  <c r="I78" i="1" s="1"/>
  <c r="G80" i="1" l="1"/>
  <c r="H79" i="1"/>
  <c r="I79" i="1" s="1"/>
  <c r="G81" i="1" l="1"/>
  <c r="H80" i="1"/>
  <c r="I80" i="1" s="1"/>
  <c r="G82" i="1" l="1"/>
  <c r="H81" i="1"/>
  <c r="I81" i="1" s="1"/>
  <c r="G83" i="1" l="1"/>
  <c r="H82" i="1"/>
  <c r="I82" i="1" s="1"/>
  <c r="G84" i="1" l="1"/>
  <c r="H83" i="1"/>
  <c r="I83" i="1" s="1"/>
  <c r="G85" i="1" l="1"/>
  <c r="H84" i="1"/>
  <c r="I84" i="1" s="1"/>
  <c r="G86" i="1" l="1"/>
  <c r="H85" i="1"/>
  <c r="I85" i="1" s="1"/>
  <c r="G87" i="1" l="1"/>
  <c r="H86" i="1"/>
  <c r="I86" i="1" s="1"/>
  <c r="G88" i="1" l="1"/>
  <c r="H87" i="1"/>
  <c r="I87" i="1" s="1"/>
  <c r="G89" i="1" l="1"/>
  <c r="H88" i="1"/>
  <c r="I88" i="1" s="1"/>
  <c r="G90" i="1" l="1"/>
  <c r="H89" i="1"/>
  <c r="I89" i="1" s="1"/>
  <c r="G91" i="1" l="1"/>
  <c r="H90" i="1"/>
  <c r="I90" i="1" s="1"/>
  <c r="G92" i="1" l="1"/>
  <c r="H91" i="1"/>
  <c r="I91" i="1" s="1"/>
  <c r="G93" i="1" l="1"/>
  <c r="H92" i="1"/>
  <c r="I92" i="1" s="1"/>
  <c r="G94" i="1" l="1"/>
  <c r="H93" i="1"/>
  <c r="I93" i="1" s="1"/>
  <c r="G95" i="1" l="1"/>
  <c r="H94" i="1"/>
  <c r="I94" i="1" s="1"/>
  <c r="G96" i="1" l="1"/>
  <c r="H95" i="1"/>
  <c r="I95" i="1" s="1"/>
  <c r="G97" i="1" l="1"/>
  <c r="H96" i="1"/>
  <c r="I96" i="1" s="1"/>
  <c r="G98" i="1" l="1"/>
  <c r="H97" i="1"/>
  <c r="I97" i="1" s="1"/>
  <c r="G99" i="1" l="1"/>
  <c r="H98" i="1"/>
  <c r="I98" i="1" s="1"/>
  <c r="G100" i="1" l="1"/>
  <c r="H99" i="1"/>
  <c r="I99" i="1" s="1"/>
  <c r="G101" i="1" l="1"/>
  <c r="H100" i="1"/>
  <c r="I100" i="1" s="1"/>
  <c r="G102" i="1" l="1"/>
  <c r="H101" i="1"/>
  <c r="I101" i="1" s="1"/>
  <c r="G103" i="1" l="1"/>
  <c r="H102" i="1"/>
  <c r="I102" i="1" s="1"/>
  <c r="G104" i="1" l="1"/>
  <c r="H103" i="1"/>
  <c r="I103" i="1" s="1"/>
  <c r="G105" i="1" l="1"/>
  <c r="H104" i="1"/>
  <c r="I104" i="1" s="1"/>
  <c r="G106" i="1" l="1"/>
  <c r="H105" i="1"/>
  <c r="I105" i="1" s="1"/>
  <c r="G107" i="1" l="1"/>
  <c r="H106" i="1"/>
  <c r="I106" i="1" s="1"/>
  <c r="G108" i="1" l="1"/>
  <c r="H107" i="1"/>
  <c r="I107" i="1" s="1"/>
  <c r="G109" i="1" l="1"/>
  <c r="H108" i="1"/>
  <c r="I108" i="1" s="1"/>
  <c r="G110" i="1" l="1"/>
  <c r="H109" i="1"/>
  <c r="I109" i="1" s="1"/>
  <c r="G111" i="1" l="1"/>
  <c r="H110" i="1"/>
  <c r="I110" i="1" s="1"/>
  <c r="G112" i="1" l="1"/>
  <c r="H111" i="1"/>
  <c r="I111" i="1" s="1"/>
  <c r="G113" i="1" l="1"/>
  <c r="H112" i="1"/>
  <c r="I112" i="1" s="1"/>
  <c r="G114" i="1" l="1"/>
  <c r="H113" i="1"/>
  <c r="I113" i="1" s="1"/>
  <c r="G115" i="1" l="1"/>
  <c r="H114" i="1"/>
  <c r="I114" i="1" s="1"/>
  <c r="G116" i="1" l="1"/>
  <c r="H115" i="1"/>
  <c r="I115" i="1" s="1"/>
  <c r="G117" i="1" l="1"/>
  <c r="H116" i="1"/>
  <c r="I116" i="1" s="1"/>
  <c r="G118" i="1" l="1"/>
  <c r="H117" i="1"/>
  <c r="I117" i="1" s="1"/>
  <c r="G119" i="1" l="1"/>
  <c r="H118" i="1"/>
  <c r="I118" i="1" s="1"/>
  <c r="G120" i="1" l="1"/>
  <c r="H119" i="1"/>
  <c r="I119" i="1" s="1"/>
  <c r="G121" i="1" l="1"/>
  <c r="H120" i="1"/>
  <c r="I120" i="1" s="1"/>
  <c r="G122" i="1" l="1"/>
  <c r="H121" i="1"/>
  <c r="I121" i="1" s="1"/>
  <c r="G123" i="1" l="1"/>
  <c r="H122" i="1"/>
  <c r="I122" i="1" s="1"/>
  <c r="G124" i="1" l="1"/>
  <c r="H123" i="1"/>
  <c r="I123" i="1" s="1"/>
  <c r="G125" i="1" l="1"/>
  <c r="H124" i="1"/>
  <c r="I124" i="1" s="1"/>
  <c r="G126" i="1" l="1"/>
  <c r="H125" i="1"/>
  <c r="I125" i="1" s="1"/>
  <c r="G127" i="1" l="1"/>
  <c r="H126" i="1"/>
  <c r="I126" i="1" s="1"/>
  <c r="G128" i="1" l="1"/>
  <c r="H127" i="1"/>
  <c r="I127" i="1" s="1"/>
  <c r="G129" i="1" l="1"/>
  <c r="H128" i="1"/>
  <c r="I128" i="1" s="1"/>
  <c r="G130" i="1" l="1"/>
  <c r="H129" i="1"/>
  <c r="I129" i="1" s="1"/>
  <c r="G131" i="1" l="1"/>
  <c r="H130" i="1"/>
  <c r="I130" i="1" s="1"/>
  <c r="G132" i="1" l="1"/>
  <c r="H131" i="1"/>
  <c r="I131" i="1" s="1"/>
  <c r="G133" i="1" l="1"/>
  <c r="H132" i="1"/>
  <c r="I132" i="1" s="1"/>
  <c r="G134" i="1" l="1"/>
  <c r="H133" i="1"/>
  <c r="I133" i="1" s="1"/>
  <c r="G135" i="1" l="1"/>
  <c r="H134" i="1"/>
  <c r="I134" i="1" s="1"/>
  <c r="G136" i="1" l="1"/>
  <c r="H135" i="1"/>
  <c r="I135" i="1" s="1"/>
  <c r="G137" i="1" l="1"/>
  <c r="H136" i="1"/>
  <c r="I136" i="1" s="1"/>
  <c r="G138" i="1" l="1"/>
  <c r="H137" i="1"/>
  <c r="I137" i="1" s="1"/>
  <c r="G139" i="1" l="1"/>
  <c r="H138" i="1"/>
  <c r="I138" i="1" s="1"/>
  <c r="G140" i="1" l="1"/>
  <c r="H139" i="1"/>
  <c r="I139" i="1" s="1"/>
  <c r="G141" i="1" l="1"/>
  <c r="H140" i="1"/>
  <c r="I140" i="1" s="1"/>
  <c r="G142" i="1" l="1"/>
  <c r="H141" i="1"/>
  <c r="I141" i="1" s="1"/>
  <c r="G143" i="1" l="1"/>
  <c r="H142" i="1"/>
  <c r="I142" i="1" s="1"/>
  <c r="G144" i="1" l="1"/>
  <c r="H143" i="1"/>
  <c r="I143" i="1" s="1"/>
  <c r="G145" i="1" l="1"/>
  <c r="H144" i="1"/>
  <c r="I144" i="1" s="1"/>
  <c r="G146" i="1" l="1"/>
  <c r="H145" i="1"/>
  <c r="I145" i="1" s="1"/>
  <c r="G147" i="1" l="1"/>
  <c r="H146" i="1"/>
  <c r="I146" i="1" s="1"/>
  <c r="G148" i="1" l="1"/>
  <c r="H147" i="1"/>
  <c r="I147" i="1" s="1"/>
  <c r="G149" i="1" l="1"/>
  <c r="H148" i="1"/>
  <c r="I148" i="1" s="1"/>
  <c r="G150" i="1" l="1"/>
  <c r="H149" i="1"/>
  <c r="I149" i="1" s="1"/>
  <c r="G151" i="1" l="1"/>
  <c r="H150" i="1"/>
  <c r="I150" i="1" s="1"/>
  <c r="G152" i="1" l="1"/>
  <c r="H151" i="1"/>
  <c r="I151" i="1" s="1"/>
  <c r="G153" i="1" l="1"/>
  <c r="H152" i="1"/>
  <c r="I152" i="1" s="1"/>
  <c r="G154" i="1" l="1"/>
  <c r="H153" i="1"/>
  <c r="I153" i="1" s="1"/>
  <c r="G155" i="1" l="1"/>
  <c r="H154" i="1"/>
  <c r="I154" i="1" s="1"/>
  <c r="G156" i="1" l="1"/>
  <c r="H155" i="1"/>
  <c r="I155" i="1" s="1"/>
  <c r="G157" i="1" l="1"/>
  <c r="H156" i="1"/>
  <c r="I156" i="1" s="1"/>
  <c r="G158" i="1" l="1"/>
  <c r="H157" i="1"/>
  <c r="I157" i="1" s="1"/>
  <c r="G159" i="1" l="1"/>
  <c r="H158" i="1"/>
  <c r="I158" i="1" s="1"/>
  <c r="G160" i="1" l="1"/>
  <c r="H159" i="1"/>
  <c r="I159" i="1" s="1"/>
  <c r="G161" i="1" l="1"/>
  <c r="H160" i="1"/>
  <c r="I160" i="1" s="1"/>
  <c r="G162" i="1" l="1"/>
  <c r="H161" i="1"/>
  <c r="I161" i="1" s="1"/>
  <c r="G163" i="1" l="1"/>
  <c r="H162" i="1"/>
  <c r="I162" i="1" s="1"/>
  <c r="G164" i="1" l="1"/>
  <c r="H163" i="1"/>
  <c r="I163" i="1" s="1"/>
  <c r="G165" i="1" l="1"/>
  <c r="H164" i="1"/>
  <c r="I164" i="1" s="1"/>
  <c r="G166" i="1" l="1"/>
  <c r="H165" i="1"/>
  <c r="I165" i="1" s="1"/>
  <c r="G167" i="1" l="1"/>
  <c r="H166" i="1"/>
  <c r="I166" i="1" s="1"/>
  <c r="G168" i="1" l="1"/>
  <c r="H167" i="1"/>
  <c r="I167" i="1" s="1"/>
  <c r="G169" i="1" l="1"/>
  <c r="H168" i="1"/>
  <c r="I168" i="1" s="1"/>
  <c r="G170" i="1" l="1"/>
  <c r="H169" i="1"/>
  <c r="I169" i="1" s="1"/>
  <c r="G171" i="1" l="1"/>
  <c r="H170" i="1"/>
  <c r="I170" i="1" s="1"/>
  <c r="G172" i="1" l="1"/>
  <c r="H171" i="1"/>
  <c r="I171" i="1" s="1"/>
  <c r="G173" i="1" l="1"/>
  <c r="H172" i="1"/>
  <c r="I172" i="1" s="1"/>
  <c r="G174" i="1" l="1"/>
  <c r="H173" i="1"/>
  <c r="I173" i="1" s="1"/>
  <c r="G175" i="1" l="1"/>
  <c r="H174" i="1"/>
  <c r="I174" i="1" s="1"/>
  <c r="G176" i="1" l="1"/>
  <c r="H175" i="1"/>
  <c r="I175" i="1" s="1"/>
  <c r="G177" i="1" l="1"/>
  <c r="H176" i="1"/>
  <c r="I176" i="1" s="1"/>
  <c r="G178" i="1" l="1"/>
  <c r="H177" i="1"/>
  <c r="I177" i="1" s="1"/>
  <c r="G179" i="1" l="1"/>
  <c r="H178" i="1"/>
  <c r="I178" i="1" s="1"/>
  <c r="G180" i="1" l="1"/>
  <c r="H179" i="1"/>
  <c r="I179" i="1" s="1"/>
  <c r="G181" i="1" l="1"/>
  <c r="H180" i="1"/>
  <c r="I180" i="1" s="1"/>
  <c r="G182" i="1" l="1"/>
  <c r="H181" i="1"/>
  <c r="I181" i="1" s="1"/>
  <c r="G183" i="1" l="1"/>
  <c r="H182" i="1"/>
  <c r="I182" i="1" s="1"/>
  <c r="G184" i="1" l="1"/>
  <c r="H183" i="1"/>
  <c r="I183" i="1" s="1"/>
  <c r="G185" i="1" l="1"/>
  <c r="H184" i="1"/>
  <c r="I184" i="1" s="1"/>
  <c r="G186" i="1" l="1"/>
  <c r="H185" i="1"/>
  <c r="I185" i="1" s="1"/>
  <c r="G187" i="1" l="1"/>
  <c r="H186" i="1"/>
  <c r="I186" i="1" s="1"/>
  <c r="G188" i="1" l="1"/>
  <c r="H187" i="1"/>
  <c r="I187" i="1" s="1"/>
  <c r="G189" i="1" l="1"/>
  <c r="H188" i="1"/>
  <c r="I188" i="1" s="1"/>
  <c r="G190" i="1" l="1"/>
  <c r="H189" i="1"/>
  <c r="I189" i="1" s="1"/>
  <c r="G191" i="1" l="1"/>
  <c r="H190" i="1"/>
  <c r="I190" i="1" s="1"/>
  <c r="G192" i="1" l="1"/>
  <c r="H191" i="1"/>
  <c r="I191" i="1" s="1"/>
  <c r="G193" i="1" l="1"/>
  <c r="H192" i="1"/>
  <c r="I192" i="1" s="1"/>
  <c r="G194" i="1" l="1"/>
  <c r="H193" i="1"/>
  <c r="I193" i="1" s="1"/>
  <c r="G195" i="1" l="1"/>
  <c r="H194" i="1"/>
  <c r="I194" i="1" s="1"/>
  <c r="G196" i="1" l="1"/>
  <c r="H195" i="1"/>
  <c r="I195" i="1" s="1"/>
  <c r="G197" i="1" l="1"/>
  <c r="H196" i="1"/>
  <c r="I196" i="1" s="1"/>
  <c r="G198" i="1" l="1"/>
  <c r="H197" i="1"/>
  <c r="I197" i="1" s="1"/>
  <c r="G199" i="1" l="1"/>
  <c r="H198" i="1"/>
  <c r="I198" i="1" s="1"/>
  <c r="G200" i="1" l="1"/>
  <c r="H199" i="1"/>
  <c r="I199" i="1" s="1"/>
  <c r="G201" i="1" l="1"/>
  <c r="H200" i="1"/>
  <c r="I200" i="1" s="1"/>
  <c r="G202" i="1" l="1"/>
  <c r="H201" i="1"/>
  <c r="I201" i="1" s="1"/>
  <c r="G203" i="1" l="1"/>
  <c r="H202" i="1"/>
  <c r="I202" i="1" s="1"/>
  <c r="G204" i="1" l="1"/>
  <c r="H203" i="1"/>
  <c r="I203" i="1" s="1"/>
  <c r="G205" i="1" l="1"/>
  <c r="H204" i="1"/>
  <c r="I204" i="1" s="1"/>
  <c r="G206" i="1" l="1"/>
  <c r="H205" i="1"/>
  <c r="I205" i="1" s="1"/>
  <c r="G207" i="1" l="1"/>
  <c r="H206" i="1"/>
  <c r="I206" i="1" s="1"/>
  <c r="G208" i="1" l="1"/>
  <c r="H207" i="1"/>
  <c r="I207" i="1" s="1"/>
  <c r="G209" i="1" l="1"/>
  <c r="H208" i="1"/>
  <c r="I208" i="1" s="1"/>
  <c r="G210" i="1" l="1"/>
  <c r="H209" i="1"/>
  <c r="I209" i="1" s="1"/>
  <c r="G211" i="1" l="1"/>
  <c r="H210" i="1"/>
  <c r="I210" i="1" s="1"/>
  <c r="G212" i="1" l="1"/>
  <c r="H211" i="1"/>
  <c r="I211" i="1" s="1"/>
  <c r="G213" i="1" l="1"/>
  <c r="H212" i="1"/>
  <c r="I212" i="1" s="1"/>
  <c r="G214" i="1" l="1"/>
  <c r="H213" i="1"/>
  <c r="I213" i="1" s="1"/>
  <c r="G215" i="1" l="1"/>
  <c r="H214" i="1"/>
  <c r="I214" i="1" s="1"/>
  <c r="G216" i="1" l="1"/>
  <c r="H215" i="1"/>
  <c r="I215" i="1" s="1"/>
  <c r="G217" i="1" l="1"/>
  <c r="H216" i="1"/>
  <c r="I216" i="1" s="1"/>
  <c r="G218" i="1" l="1"/>
  <c r="H217" i="1"/>
  <c r="I217" i="1" s="1"/>
  <c r="G219" i="1" l="1"/>
  <c r="H218" i="1"/>
  <c r="I218" i="1" s="1"/>
  <c r="G220" i="1" l="1"/>
  <c r="H219" i="1"/>
  <c r="I219" i="1" s="1"/>
  <c r="G221" i="1" l="1"/>
  <c r="H220" i="1"/>
  <c r="I220" i="1" s="1"/>
  <c r="G222" i="1" l="1"/>
  <c r="H221" i="1"/>
  <c r="I221" i="1" s="1"/>
  <c r="G223" i="1" l="1"/>
  <c r="H222" i="1"/>
  <c r="I222" i="1" s="1"/>
  <c r="G224" i="1" l="1"/>
  <c r="H223" i="1"/>
  <c r="I223" i="1" s="1"/>
  <c r="G225" i="1" l="1"/>
  <c r="H224" i="1"/>
  <c r="I224" i="1" s="1"/>
  <c r="G226" i="1" l="1"/>
  <c r="H225" i="1"/>
  <c r="I225" i="1" s="1"/>
  <c r="G227" i="1" l="1"/>
  <c r="H226" i="1"/>
  <c r="I226" i="1" s="1"/>
  <c r="G228" i="1" l="1"/>
  <c r="H227" i="1"/>
  <c r="I227" i="1" s="1"/>
  <c r="G229" i="1" l="1"/>
  <c r="H228" i="1"/>
  <c r="I228" i="1" s="1"/>
  <c r="G230" i="1" l="1"/>
  <c r="H229" i="1"/>
  <c r="I229" i="1" s="1"/>
  <c r="G231" i="1" l="1"/>
  <c r="H230" i="1"/>
  <c r="I230" i="1" s="1"/>
  <c r="G232" i="1" l="1"/>
  <c r="H231" i="1"/>
  <c r="I231" i="1" s="1"/>
  <c r="G233" i="1" l="1"/>
  <c r="H232" i="1"/>
  <c r="I232" i="1" s="1"/>
  <c r="G234" i="1" l="1"/>
  <c r="H233" i="1"/>
  <c r="I233" i="1" s="1"/>
  <c r="G235" i="1" l="1"/>
  <c r="H234" i="1"/>
  <c r="I234" i="1" s="1"/>
  <c r="G236" i="1" l="1"/>
  <c r="H235" i="1"/>
  <c r="I235" i="1" s="1"/>
  <c r="G237" i="1" l="1"/>
  <c r="H236" i="1"/>
  <c r="I236" i="1" s="1"/>
  <c r="G238" i="1" l="1"/>
  <c r="H237" i="1"/>
  <c r="I237" i="1" s="1"/>
  <c r="G239" i="1" l="1"/>
  <c r="H238" i="1"/>
  <c r="I238" i="1" s="1"/>
  <c r="G240" i="1" l="1"/>
  <c r="H239" i="1"/>
  <c r="I239" i="1" s="1"/>
  <c r="G241" i="1" l="1"/>
  <c r="H240" i="1"/>
  <c r="I240" i="1" s="1"/>
  <c r="G242" i="1" l="1"/>
  <c r="H241" i="1"/>
  <c r="I241" i="1" s="1"/>
  <c r="G243" i="1" l="1"/>
  <c r="H242" i="1"/>
  <c r="I242" i="1" s="1"/>
  <c r="G244" i="1" l="1"/>
  <c r="H243" i="1"/>
  <c r="I243" i="1" s="1"/>
  <c r="G245" i="1" l="1"/>
  <c r="H244" i="1"/>
  <c r="I244" i="1" s="1"/>
  <c r="G246" i="1" l="1"/>
  <c r="H245" i="1"/>
  <c r="I245" i="1" s="1"/>
  <c r="G247" i="1" l="1"/>
  <c r="H246" i="1"/>
  <c r="I246" i="1" s="1"/>
  <c r="G248" i="1" l="1"/>
  <c r="H247" i="1"/>
  <c r="I247" i="1" s="1"/>
  <c r="G249" i="1" l="1"/>
  <c r="H248" i="1"/>
  <c r="I248" i="1" s="1"/>
  <c r="G250" i="1" l="1"/>
  <c r="H249" i="1"/>
  <c r="I249" i="1" s="1"/>
  <c r="G251" i="1" l="1"/>
  <c r="H250" i="1"/>
  <c r="I250" i="1" s="1"/>
  <c r="G252" i="1" l="1"/>
  <c r="H251" i="1"/>
  <c r="I251" i="1" s="1"/>
  <c r="G253" i="1" l="1"/>
  <c r="H252" i="1"/>
  <c r="I252" i="1" s="1"/>
  <c r="G254" i="1" l="1"/>
  <c r="H253" i="1"/>
  <c r="I253" i="1" s="1"/>
  <c r="G255" i="1" l="1"/>
  <c r="H254" i="1"/>
  <c r="I254" i="1" s="1"/>
  <c r="G256" i="1" l="1"/>
  <c r="H255" i="1"/>
  <c r="I255" i="1" s="1"/>
  <c r="G257" i="1" l="1"/>
  <c r="H256" i="1"/>
  <c r="I256" i="1" s="1"/>
  <c r="G258" i="1" l="1"/>
  <c r="H257" i="1"/>
  <c r="I257" i="1" s="1"/>
  <c r="G259" i="1" l="1"/>
  <c r="H258" i="1"/>
  <c r="I258" i="1" s="1"/>
  <c r="G260" i="1" l="1"/>
  <c r="H259" i="1"/>
  <c r="I259" i="1" s="1"/>
  <c r="G261" i="1" l="1"/>
  <c r="H260" i="1"/>
  <c r="I260" i="1" s="1"/>
  <c r="G262" i="1" l="1"/>
  <c r="H261" i="1"/>
  <c r="I261" i="1" s="1"/>
  <c r="G263" i="1" l="1"/>
  <c r="H262" i="1"/>
  <c r="I262" i="1" s="1"/>
  <c r="G264" i="1" l="1"/>
  <c r="H263" i="1"/>
  <c r="I263" i="1" s="1"/>
  <c r="G265" i="1" l="1"/>
  <c r="H264" i="1"/>
  <c r="I264" i="1" s="1"/>
  <c r="G266" i="1" l="1"/>
  <c r="H265" i="1"/>
  <c r="I265" i="1" s="1"/>
  <c r="G267" i="1" l="1"/>
  <c r="H266" i="1"/>
  <c r="I266" i="1" s="1"/>
  <c r="G268" i="1" l="1"/>
  <c r="H267" i="1"/>
  <c r="I267" i="1" s="1"/>
  <c r="G269" i="1" l="1"/>
  <c r="H268" i="1"/>
  <c r="I268" i="1" s="1"/>
  <c r="G270" i="1" l="1"/>
  <c r="H269" i="1"/>
  <c r="I269" i="1" s="1"/>
  <c r="G271" i="1" l="1"/>
  <c r="H270" i="1"/>
  <c r="I270" i="1" s="1"/>
  <c r="G272" i="1" l="1"/>
  <c r="H271" i="1"/>
  <c r="I271" i="1" s="1"/>
  <c r="G273" i="1" l="1"/>
  <c r="H272" i="1"/>
  <c r="I272" i="1" s="1"/>
  <c r="G274" i="1" l="1"/>
  <c r="H273" i="1"/>
  <c r="I273" i="1" s="1"/>
  <c r="G275" i="1" l="1"/>
  <c r="H274" i="1"/>
  <c r="I274" i="1" s="1"/>
  <c r="G276" i="1" l="1"/>
  <c r="H275" i="1"/>
  <c r="I275" i="1" s="1"/>
  <c r="G277" i="1" l="1"/>
  <c r="H276" i="1"/>
  <c r="I276" i="1" s="1"/>
  <c r="G278" i="1" l="1"/>
  <c r="H277" i="1"/>
  <c r="I277" i="1" s="1"/>
  <c r="G279" i="1" l="1"/>
  <c r="H278" i="1"/>
  <c r="I278" i="1" s="1"/>
  <c r="G280" i="1" l="1"/>
  <c r="H279" i="1"/>
  <c r="I279" i="1" s="1"/>
  <c r="G281" i="1" l="1"/>
  <c r="H280" i="1"/>
  <c r="I280" i="1" s="1"/>
  <c r="G282" i="1" l="1"/>
  <c r="H281" i="1"/>
  <c r="I281" i="1" s="1"/>
  <c r="G283" i="1" l="1"/>
  <c r="H282" i="1"/>
  <c r="I282" i="1" s="1"/>
  <c r="G284" i="1" l="1"/>
  <c r="H283" i="1"/>
  <c r="I283" i="1" s="1"/>
  <c r="G285" i="1" l="1"/>
  <c r="H284" i="1"/>
  <c r="I284" i="1" s="1"/>
  <c r="G286" i="1" l="1"/>
  <c r="H285" i="1"/>
  <c r="I285" i="1" s="1"/>
  <c r="G287" i="1" l="1"/>
  <c r="H286" i="1"/>
  <c r="I286" i="1" s="1"/>
  <c r="G288" i="1" l="1"/>
  <c r="H287" i="1"/>
  <c r="I287" i="1" s="1"/>
  <c r="G289" i="1" l="1"/>
  <c r="H288" i="1"/>
  <c r="I288" i="1" s="1"/>
  <c r="G290" i="1" l="1"/>
  <c r="H289" i="1"/>
  <c r="I289" i="1" s="1"/>
  <c r="G291" i="1" l="1"/>
  <c r="H290" i="1"/>
  <c r="I290" i="1" s="1"/>
  <c r="G292" i="1" l="1"/>
  <c r="H291" i="1"/>
  <c r="I291" i="1" s="1"/>
  <c r="G293" i="1" l="1"/>
  <c r="H292" i="1"/>
  <c r="I292" i="1" s="1"/>
  <c r="G294" i="1" l="1"/>
  <c r="H293" i="1"/>
  <c r="I293" i="1" s="1"/>
  <c r="G295" i="1" l="1"/>
  <c r="H294" i="1"/>
  <c r="I294" i="1" s="1"/>
  <c r="G296" i="1" l="1"/>
  <c r="H295" i="1"/>
  <c r="I295" i="1" s="1"/>
  <c r="G297" i="1" l="1"/>
  <c r="H296" i="1"/>
  <c r="I296" i="1" s="1"/>
  <c r="G298" i="1" l="1"/>
  <c r="H297" i="1"/>
  <c r="I297" i="1" s="1"/>
  <c r="G299" i="1" l="1"/>
  <c r="H298" i="1"/>
  <c r="I298" i="1" s="1"/>
  <c r="G300" i="1" l="1"/>
  <c r="H299" i="1"/>
  <c r="I299" i="1" s="1"/>
  <c r="G301" i="1" l="1"/>
  <c r="H300" i="1"/>
  <c r="I300" i="1" s="1"/>
  <c r="G302" i="1" l="1"/>
  <c r="H301" i="1"/>
  <c r="I301" i="1" s="1"/>
  <c r="G303" i="1" l="1"/>
  <c r="H302" i="1"/>
  <c r="I302" i="1" s="1"/>
  <c r="G304" i="1" l="1"/>
  <c r="H303" i="1"/>
  <c r="I303" i="1" s="1"/>
  <c r="G305" i="1" l="1"/>
  <c r="H304" i="1"/>
  <c r="I304" i="1" s="1"/>
  <c r="G306" i="1" l="1"/>
  <c r="H305" i="1"/>
  <c r="I305" i="1" s="1"/>
  <c r="G307" i="1" l="1"/>
  <c r="H306" i="1"/>
  <c r="I306" i="1" s="1"/>
  <c r="G308" i="1" l="1"/>
  <c r="H307" i="1"/>
  <c r="I307" i="1" s="1"/>
  <c r="G309" i="1" l="1"/>
  <c r="H308" i="1"/>
  <c r="I308" i="1" s="1"/>
  <c r="G310" i="1" l="1"/>
  <c r="H309" i="1"/>
  <c r="I309" i="1" s="1"/>
  <c r="G311" i="1" l="1"/>
  <c r="H310" i="1"/>
  <c r="I310" i="1" s="1"/>
  <c r="G312" i="1" l="1"/>
  <c r="H311" i="1"/>
  <c r="I311" i="1" s="1"/>
  <c r="G313" i="1" l="1"/>
  <c r="H312" i="1"/>
  <c r="I312" i="1" s="1"/>
  <c r="G314" i="1" l="1"/>
  <c r="H313" i="1"/>
  <c r="I313" i="1" s="1"/>
  <c r="G315" i="1" l="1"/>
  <c r="H314" i="1"/>
  <c r="I314" i="1" s="1"/>
  <c r="G316" i="1" l="1"/>
  <c r="H315" i="1"/>
  <c r="I315" i="1" s="1"/>
  <c r="G317" i="1" l="1"/>
  <c r="H316" i="1"/>
  <c r="I316" i="1" s="1"/>
  <c r="G318" i="1" l="1"/>
  <c r="H317" i="1"/>
  <c r="I317" i="1" s="1"/>
  <c r="G319" i="1" l="1"/>
  <c r="H318" i="1"/>
  <c r="I318" i="1" s="1"/>
  <c r="G320" i="1" l="1"/>
  <c r="H319" i="1"/>
  <c r="I319" i="1" s="1"/>
  <c r="G321" i="1" l="1"/>
  <c r="H320" i="1"/>
  <c r="I320" i="1" s="1"/>
  <c r="G322" i="1" l="1"/>
  <c r="H321" i="1"/>
  <c r="I321" i="1" s="1"/>
  <c r="G323" i="1" l="1"/>
  <c r="H322" i="1"/>
  <c r="I322" i="1" s="1"/>
  <c r="G324" i="1" l="1"/>
  <c r="H323" i="1"/>
  <c r="I323" i="1" s="1"/>
  <c r="G325" i="1" l="1"/>
  <c r="H324" i="1"/>
  <c r="I324" i="1" s="1"/>
  <c r="G326" i="1" l="1"/>
  <c r="H325" i="1"/>
  <c r="I325" i="1" s="1"/>
  <c r="G327" i="1" l="1"/>
  <c r="H326" i="1"/>
  <c r="I326" i="1" s="1"/>
  <c r="G328" i="1" l="1"/>
  <c r="H327" i="1"/>
  <c r="I327" i="1" s="1"/>
  <c r="G329" i="1" l="1"/>
  <c r="H328" i="1"/>
  <c r="I328" i="1" s="1"/>
  <c r="G330" i="1" l="1"/>
  <c r="H329" i="1"/>
  <c r="I329" i="1" s="1"/>
  <c r="G331" i="1" l="1"/>
  <c r="H330" i="1"/>
  <c r="I330" i="1" s="1"/>
  <c r="G332" i="1" l="1"/>
  <c r="H331" i="1"/>
  <c r="I331" i="1" s="1"/>
  <c r="G333" i="1" l="1"/>
  <c r="H332" i="1"/>
  <c r="I332" i="1" s="1"/>
  <c r="G334" i="1" l="1"/>
  <c r="H333" i="1"/>
  <c r="I333" i="1" s="1"/>
  <c r="G335" i="1" l="1"/>
  <c r="H334" i="1"/>
  <c r="I334" i="1" s="1"/>
  <c r="G336" i="1" l="1"/>
  <c r="H335" i="1"/>
  <c r="I335" i="1" s="1"/>
  <c r="G337" i="1" l="1"/>
  <c r="H336" i="1"/>
  <c r="I336" i="1" s="1"/>
  <c r="G338" i="1" l="1"/>
  <c r="H337" i="1"/>
  <c r="I337" i="1" s="1"/>
  <c r="G339" i="1" l="1"/>
  <c r="H338" i="1"/>
  <c r="I338" i="1" s="1"/>
  <c r="G340" i="1" l="1"/>
  <c r="H339" i="1"/>
  <c r="I339" i="1" s="1"/>
  <c r="G341" i="1" l="1"/>
  <c r="H340" i="1"/>
  <c r="I340" i="1" s="1"/>
  <c r="G342" i="1" l="1"/>
  <c r="H341" i="1"/>
  <c r="I341" i="1" s="1"/>
  <c r="G343" i="1" l="1"/>
  <c r="H342" i="1"/>
  <c r="I342" i="1" s="1"/>
  <c r="G344" i="1" l="1"/>
  <c r="H343" i="1"/>
  <c r="I343" i="1" s="1"/>
  <c r="G345" i="1" l="1"/>
  <c r="H344" i="1"/>
  <c r="I344" i="1" s="1"/>
  <c r="G346" i="1" l="1"/>
  <c r="H345" i="1"/>
  <c r="I345" i="1" s="1"/>
  <c r="G347" i="1" l="1"/>
  <c r="H346" i="1"/>
  <c r="I346" i="1" s="1"/>
  <c r="G348" i="1" l="1"/>
  <c r="H347" i="1"/>
  <c r="I347" i="1" s="1"/>
  <c r="G349" i="1" l="1"/>
  <c r="H348" i="1"/>
  <c r="I348" i="1" s="1"/>
  <c r="G350" i="1" l="1"/>
  <c r="H349" i="1"/>
  <c r="I349" i="1" s="1"/>
  <c r="G351" i="1" l="1"/>
  <c r="H350" i="1"/>
  <c r="I350" i="1" s="1"/>
  <c r="G352" i="1" l="1"/>
  <c r="H351" i="1"/>
  <c r="I351" i="1" s="1"/>
  <c r="G353" i="1" l="1"/>
  <c r="H352" i="1"/>
  <c r="I352" i="1" s="1"/>
  <c r="G354" i="1" l="1"/>
  <c r="H353" i="1"/>
  <c r="I353" i="1" s="1"/>
  <c r="G355" i="1" l="1"/>
  <c r="H354" i="1"/>
  <c r="I354" i="1" s="1"/>
  <c r="G356" i="1" l="1"/>
  <c r="H355" i="1"/>
  <c r="I355" i="1" s="1"/>
  <c r="G357" i="1" l="1"/>
  <c r="H356" i="1"/>
  <c r="I356" i="1" s="1"/>
  <c r="G358" i="1" l="1"/>
  <c r="H357" i="1"/>
  <c r="I357" i="1" s="1"/>
  <c r="G359" i="1" l="1"/>
  <c r="H358" i="1"/>
  <c r="I358" i="1" s="1"/>
  <c r="G360" i="1" l="1"/>
  <c r="H359" i="1"/>
  <c r="I359" i="1" s="1"/>
  <c r="G361" i="1" l="1"/>
  <c r="H360" i="1"/>
  <c r="I360" i="1" s="1"/>
  <c r="G362" i="1" l="1"/>
  <c r="H361" i="1"/>
  <c r="I361" i="1" s="1"/>
  <c r="G363" i="1" l="1"/>
  <c r="H362" i="1"/>
  <c r="I362" i="1" s="1"/>
  <c r="G364" i="1" l="1"/>
  <c r="H363" i="1"/>
  <c r="I363" i="1" s="1"/>
  <c r="G365" i="1" l="1"/>
  <c r="H364" i="1"/>
  <c r="I364" i="1" s="1"/>
  <c r="G366" i="1" l="1"/>
  <c r="H365" i="1"/>
  <c r="I365" i="1" s="1"/>
  <c r="G367" i="1" l="1"/>
  <c r="H366" i="1"/>
  <c r="I366" i="1" s="1"/>
  <c r="G368" i="1" l="1"/>
  <c r="H367" i="1"/>
  <c r="I367" i="1" s="1"/>
  <c r="G369" i="1" l="1"/>
  <c r="H368" i="1"/>
  <c r="I368" i="1" s="1"/>
  <c r="G370" i="1" l="1"/>
  <c r="H369" i="1"/>
  <c r="I369" i="1" s="1"/>
  <c r="G371" i="1" l="1"/>
  <c r="H370" i="1"/>
  <c r="I370" i="1" s="1"/>
  <c r="G372" i="1" l="1"/>
  <c r="H371" i="1"/>
  <c r="I371" i="1" s="1"/>
  <c r="G373" i="1" l="1"/>
  <c r="H372" i="1"/>
  <c r="I372" i="1" s="1"/>
  <c r="G374" i="1" l="1"/>
  <c r="H373" i="1"/>
  <c r="I373" i="1" s="1"/>
  <c r="G375" i="1" l="1"/>
  <c r="H374" i="1"/>
  <c r="I374" i="1" s="1"/>
  <c r="G376" i="1" l="1"/>
  <c r="H375" i="1"/>
  <c r="I375" i="1" s="1"/>
  <c r="G377" i="1" l="1"/>
  <c r="H376" i="1"/>
  <c r="I376" i="1" s="1"/>
  <c r="G378" i="1" l="1"/>
  <c r="H377" i="1"/>
  <c r="I377" i="1" s="1"/>
  <c r="G379" i="1" l="1"/>
  <c r="H378" i="1"/>
  <c r="I378" i="1" s="1"/>
  <c r="G380" i="1" l="1"/>
  <c r="H379" i="1"/>
  <c r="I379" i="1" s="1"/>
  <c r="G381" i="1" l="1"/>
  <c r="H380" i="1"/>
  <c r="I380" i="1" s="1"/>
  <c r="G382" i="1" l="1"/>
  <c r="H381" i="1"/>
  <c r="I381" i="1" s="1"/>
  <c r="G383" i="1" l="1"/>
  <c r="H382" i="1"/>
  <c r="I382" i="1" s="1"/>
  <c r="G384" i="1" l="1"/>
  <c r="H383" i="1"/>
  <c r="I383" i="1" s="1"/>
  <c r="G385" i="1" l="1"/>
  <c r="H384" i="1"/>
  <c r="I384" i="1" s="1"/>
  <c r="G386" i="1" l="1"/>
  <c r="H385" i="1"/>
  <c r="I385" i="1" s="1"/>
  <c r="G387" i="1" l="1"/>
  <c r="H386" i="1"/>
  <c r="I386" i="1" s="1"/>
  <c r="G388" i="1" l="1"/>
  <c r="H387" i="1"/>
  <c r="I387" i="1" s="1"/>
  <c r="G389" i="1" l="1"/>
  <c r="H388" i="1"/>
  <c r="I388" i="1" s="1"/>
  <c r="G390" i="1" l="1"/>
  <c r="H389" i="1"/>
  <c r="I389" i="1" s="1"/>
  <c r="G391" i="1" l="1"/>
  <c r="H390" i="1"/>
  <c r="I390" i="1" s="1"/>
  <c r="G392" i="1" l="1"/>
  <c r="H391" i="1"/>
  <c r="I391" i="1" s="1"/>
  <c r="G393" i="1" l="1"/>
  <c r="H392" i="1"/>
  <c r="I392" i="1" s="1"/>
  <c r="G394" i="1" l="1"/>
  <c r="H393" i="1"/>
  <c r="I393" i="1" s="1"/>
  <c r="G395" i="1" l="1"/>
  <c r="H394" i="1"/>
  <c r="I394" i="1" s="1"/>
  <c r="G396" i="1" l="1"/>
  <c r="H395" i="1"/>
  <c r="I395" i="1" s="1"/>
  <c r="G397" i="1" l="1"/>
  <c r="H396" i="1"/>
  <c r="I396" i="1" s="1"/>
  <c r="G398" i="1" l="1"/>
  <c r="H397" i="1"/>
  <c r="I397" i="1" s="1"/>
  <c r="G399" i="1" l="1"/>
  <c r="H398" i="1"/>
  <c r="I398" i="1" s="1"/>
  <c r="G400" i="1" l="1"/>
  <c r="H399" i="1"/>
  <c r="I399" i="1" s="1"/>
  <c r="G401" i="1" l="1"/>
  <c r="H400" i="1"/>
  <c r="I400" i="1" s="1"/>
  <c r="G402" i="1" l="1"/>
  <c r="H401" i="1"/>
  <c r="I401" i="1" s="1"/>
  <c r="G403" i="1" l="1"/>
  <c r="H402" i="1"/>
  <c r="I402" i="1" s="1"/>
  <c r="G404" i="1" l="1"/>
  <c r="H403" i="1"/>
  <c r="I403" i="1" s="1"/>
  <c r="G405" i="1" l="1"/>
  <c r="H404" i="1"/>
  <c r="I404" i="1" s="1"/>
  <c r="G406" i="1" l="1"/>
  <c r="H405" i="1"/>
  <c r="I405" i="1" s="1"/>
  <c r="G407" i="1" l="1"/>
  <c r="H406" i="1"/>
  <c r="I406" i="1" s="1"/>
  <c r="G408" i="1" l="1"/>
  <c r="H407" i="1"/>
  <c r="I407" i="1" s="1"/>
  <c r="G409" i="1" l="1"/>
  <c r="H408" i="1"/>
  <c r="I408" i="1" s="1"/>
  <c r="G410" i="1" l="1"/>
  <c r="H409" i="1"/>
  <c r="I409" i="1" s="1"/>
  <c r="G411" i="1" l="1"/>
  <c r="H410" i="1"/>
  <c r="I410" i="1" s="1"/>
  <c r="G412" i="1" l="1"/>
  <c r="H411" i="1"/>
  <c r="I411" i="1" s="1"/>
  <c r="G413" i="1" l="1"/>
  <c r="H412" i="1"/>
  <c r="I412" i="1" s="1"/>
  <c r="G414" i="1" l="1"/>
  <c r="H413" i="1"/>
  <c r="I413" i="1" s="1"/>
  <c r="G415" i="1" l="1"/>
  <c r="H414" i="1"/>
  <c r="I414" i="1" s="1"/>
  <c r="G416" i="1" l="1"/>
  <c r="H415" i="1"/>
  <c r="I415" i="1" s="1"/>
  <c r="G417" i="1" l="1"/>
  <c r="H416" i="1"/>
  <c r="I416" i="1" s="1"/>
  <c r="G418" i="1" l="1"/>
  <c r="H417" i="1"/>
  <c r="I417" i="1" s="1"/>
  <c r="G419" i="1" l="1"/>
  <c r="H418" i="1"/>
  <c r="I418" i="1" s="1"/>
  <c r="G420" i="1" l="1"/>
  <c r="H419" i="1"/>
  <c r="I419" i="1" s="1"/>
  <c r="G421" i="1" l="1"/>
  <c r="H420" i="1"/>
  <c r="I420" i="1" s="1"/>
  <c r="G422" i="1" l="1"/>
  <c r="H421" i="1"/>
  <c r="I421" i="1" s="1"/>
  <c r="G423" i="1" l="1"/>
  <c r="H422" i="1"/>
  <c r="I422" i="1" s="1"/>
  <c r="G424" i="1" l="1"/>
  <c r="H423" i="1"/>
  <c r="I423" i="1" s="1"/>
  <c r="G425" i="1" l="1"/>
  <c r="H424" i="1"/>
  <c r="I424" i="1" s="1"/>
  <c r="G426" i="1" l="1"/>
  <c r="H425" i="1"/>
  <c r="I425" i="1" s="1"/>
  <c r="G427" i="1" l="1"/>
  <c r="H426" i="1"/>
  <c r="I426" i="1" s="1"/>
  <c r="G428" i="1" l="1"/>
  <c r="H427" i="1"/>
  <c r="I427" i="1" s="1"/>
  <c r="G429" i="1" l="1"/>
  <c r="H428" i="1"/>
  <c r="I428" i="1" s="1"/>
  <c r="G430" i="1" l="1"/>
  <c r="H429" i="1"/>
  <c r="I429" i="1" s="1"/>
  <c r="G431" i="1" l="1"/>
  <c r="H430" i="1"/>
  <c r="I430" i="1" s="1"/>
  <c r="G432" i="1" l="1"/>
  <c r="H431" i="1"/>
  <c r="I431" i="1" s="1"/>
  <c r="G433" i="1" l="1"/>
  <c r="H432" i="1"/>
  <c r="I432" i="1" s="1"/>
  <c r="G434" i="1" l="1"/>
  <c r="H433" i="1"/>
  <c r="I433" i="1" s="1"/>
  <c r="G435" i="1" l="1"/>
  <c r="H434" i="1"/>
  <c r="I434" i="1" s="1"/>
  <c r="G436" i="1" l="1"/>
  <c r="H435" i="1"/>
  <c r="I435" i="1" s="1"/>
  <c r="G437" i="1" l="1"/>
  <c r="H436" i="1"/>
  <c r="I436" i="1" s="1"/>
  <c r="G438" i="1" l="1"/>
  <c r="H437" i="1"/>
  <c r="I437" i="1" s="1"/>
  <c r="G439" i="1" l="1"/>
  <c r="H438" i="1"/>
  <c r="I438" i="1" s="1"/>
  <c r="G440" i="1" l="1"/>
  <c r="H439" i="1"/>
  <c r="I439" i="1" s="1"/>
  <c r="G441" i="1" l="1"/>
  <c r="H440" i="1"/>
  <c r="I440" i="1" s="1"/>
  <c r="G442" i="1" l="1"/>
  <c r="H441" i="1"/>
  <c r="I441" i="1" s="1"/>
  <c r="G443" i="1" l="1"/>
  <c r="H442" i="1"/>
  <c r="I442" i="1" s="1"/>
  <c r="G444" i="1" l="1"/>
  <c r="H443" i="1"/>
  <c r="I443" i="1" s="1"/>
  <c r="G445" i="1" l="1"/>
  <c r="H444" i="1"/>
  <c r="I444" i="1" s="1"/>
  <c r="G446" i="1" l="1"/>
  <c r="H445" i="1"/>
  <c r="I445" i="1" s="1"/>
  <c r="G447" i="1" l="1"/>
  <c r="H446" i="1"/>
  <c r="I446" i="1" s="1"/>
  <c r="G448" i="1" l="1"/>
  <c r="H447" i="1"/>
  <c r="I447" i="1" s="1"/>
  <c r="G449" i="1" l="1"/>
  <c r="H448" i="1"/>
  <c r="I448" i="1" s="1"/>
  <c r="G450" i="1" l="1"/>
  <c r="H449" i="1"/>
  <c r="I449" i="1" s="1"/>
  <c r="G451" i="1" l="1"/>
  <c r="H450" i="1"/>
  <c r="I450" i="1" s="1"/>
  <c r="G452" i="1" l="1"/>
  <c r="H451" i="1"/>
  <c r="I451" i="1" s="1"/>
  <c r="G453" i="1" l="1"/>
  <c r="H452" i="1"/>
  <c r="I452" i="1" s="1"/>
  <c r="G454" i="1" l="1"/>
  <c r="H453" i="1"/>
  <c r="I453" i="1" s="1"/>
  <c r="G455" i="1" l="1"/>
  <c r="H454" i="1"/>
  <c r="I454" i="1" s="1"/>
  <c r="G456" i="1" l="1"/>
  <c r="H455" i="1"/>
  <c r="I455" i="1" s="1"/>
  <c r="G457" i="1" l="1"/>
  <c r="H456" i="1"/>
  <c r="I456" i="1" s="1"/>
  <c r="G458" i="1" l="1"/>
  <c r="H457" i="1"/>
  <c r="I457" i="1" s="1"/>
  <c r="G459" i="1" l="1"/>
  <c r="H458" i="1"/>
  <c r="I458" i="1" s="1"/>
  <c r="G460" i="1" l="1"/>
  <c r="H459" i="1"/>
  <c r="I459" i="1" s="1"/>
  <c r="G461" i="1" l="1"/>
  <c r="H460" i="1"/>
  <c r="I460" i="1" s="1"/>
  <c r="G462" i="1" l="1"/>
  <c r="H461" i="1"/>
  <c r="I461" i="1" s="1"/>
  <c r="G463" i="1" l="1"/>
  <c r="H462" i="1"/>
  <c r="I462" i="1" s="1"/>
  <c r="G464" i="1" l="1"/>
  <c r="H463" i="1"/>
  <c r="I463" i="1" s="1"/>
  <c r="G465" i="1" l="1"/>
  <c r="H464" i="1"/>
  <c r="I464" i="1" s="1"/>
  <c r="G466" i="1" l="1"/>
  <c r="H465" i="1"/>
  <c r="I465" i="1" s="1"/>
  <c r="G467" i="1" l="1"/>
  <c r="H466" i="1"/>
  <c r="I466" i="1" s="1"/>
  <c r="G468" i="1" l="1"/>
  <c r="H467" i="1"/>
  <c r="I467" i="1" s="1"/>
  <c r="G469" i="1" l="1"/>
  <c r="H468" i="1"/>
  <c r="I468" i="1" s="1"/>
  <c r="G470" i="1" l="1"/>
  <c r="H469" i="1"/>
  <c r="I469" i="1" s="1"/>
  <c r="G471" i="1" l="1"/>
  <c r="H470" i="1"/>
  <c r="I470" i="1" s="1"/>
  <c r="G472" i="1" l="1"/>
  <c r="H471" i="1"/>
  <c r="I471" i="1" s="1"/>
  <c r="G473" i="1" l="1"/>
  <c r="H472" i="1"/>
  <c r="I472" i="1" s="1"/>
  <c r="G474" i="1" l="1"/>
  <c r="H473" i="1"/>
  <c r="I473" i="1" s="1"/>
  <c r="G475" i="1" l="1"/>
  <c r="H474" i="1"/>
  <c r="I474" i="1" s="1"/>
  <c r="G476" i="1" l="1"/>
  <c r="H475" i="1"/>
  <c r="I475" i="1" s="1"/>
  <c r="G477" i="1" l="1"/>
  <c r="H476" i="1"/>
  <c r="I476" i="1" s="1"/>
  <c r="G478" i="1" l="1"/>
  <c r="H477" i="1"/>
  <c r="I477" i="1" s="1"/>
  <c r="G479" i="1" l="1"/>
  <c r="H478" i="1"/>
  <c r="I478" i="1" s="1"/>
  <c r="G480" i="1" l="1"/>
  <c r="H479" i="1"/>
  <c r="I479" i="1" s="1"/>
  <c r="G481" i="1" l="1"/>
  <c r="H480" i="1"/>
  <c r="I480" i="1" s="1"/>
  <c r="G482" i="1" l="1"/>
  <c r="H481" i="1"/>
  <c r="I481" i="1" s="1"/>
  <c r="G483" i="1" l="1"/>
  <c r="H482" i="1"/>
  <c r="I482" i="1" s="1"/>
  <c r="G484" i="1" l="1"/>
  <c r="H483" i="1"/>
  <c r="I483" i="1" s="1"/>
  <c r="G485" i="1" l="1"/>
  <c r="H484" i="1"/>
  <c r="I484" i="1" s="1"/>
  <c r="G486" i="1" l="1"/>
  <c r="H485" i="1"/>
  <c r="I485" i="1" s="1"/>
  <c r="G487" i="1" l="1"/>
  <c r="H486" i="1"/>
  <c r="I486" i="1" s="1"/>
  <c r="G488" i="1" l="1"/>
  <c r="H487" i="1"/>
  <c r="I487" i="1" s="1"/>
  <c r="G489" i="1" l="1"/>
  <c r="H488" i="1"/>
  <c r="I488" i="1" s="1"/>
  <c r="G490" i="1" l="1"/>
  <c r="H489" i="1"/>
  <c r="I489" i="1" s="1"/>
  <c r="G491" i="1" l="1"/>
  <c r="H490" i="1"/>
  <c r="I490" i="1" s="1"/>
  <c r="G492" i="1" l="1"/>
  <c r="H491" i="1"/>
  <c r="I491" i="1" s="1"/>
  <c r="G493" i="1" l="1"/>
  <c r="H492" i="1"/>
  <c r="I492" i="1" s="1"/>
  <c r="G494" i="1" l="1"/>
  <c r="H493" i="1"/>
  <c r="I493" i="1" s="1"/>
  <c r="G495" i="1" l="1"/>
  <c r="H494" i="1"/>
  <c r="I494" i="1" s="1"/>
  <c r="G496" i="1" l="1"/>
  <c r="H495" i="1"/>
  <c r="I49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8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</futureMetadata>
  <cellMetadata count="1">
    <bk>
      <rc t="1" v="0"/>
    </bk>
  </cellMetadata>
  <valueMetadata count="98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</valueMetadata>
</metadata>
</file>

<file path=xl/sharedStrings.xml><?xml version="1.0" encoding="utf-8"?>
<sst xmlns="http://schemas.openxmlformats.org/spreadsheetml/2006/main" count="8" uniqueCount="8">
  <si>
    <t>AvgGain</t>
  </si>
  <si>
    <t>AvgLoss</t>
  </si>
  <si>
    <t>RS</t>
  </si>
  <si>
    <t>RSI</t>
  </si>
  <si>
    <t>OverSold</t>
  </si>
  <si>
    <t>OverBought</t>
  </si>
  <si>
    <t>Change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</si>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</sst>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Consolidated</a:t>
            </a:r>
            <a:r>
              <a:rPr lang="en-US" sz="1800" b="1" baseline="0">
                <a:solidFill>
                  <a:schemeClr val="tx1"/>
                </a:solidFill>
              </a:rPr>
              <a:t> Edision RSI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ConEd!$B$1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ConEd!$A$2:$A$496</c:f>
              <c:numCache>
                <c:formatCode>m/d/yyyy</c:formatCode>
                <c:ptCount val="49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</c:numCache>
            </c:numRef>
          </c:cat>
          <c:val>
            <c:numRef>
              <c:f>ConEd!$B$2:$B$496</c:f>
              <c:numCache>
                <c:formatCode>_([$$-409]* #,##0.00_);_([$$-409]* \(#,##0.00\);_([$$-409]* "-"??_);_(@_)</c:formatCode>
                <c:ptCount val="495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2-4F23-AB8A-DA6375CBA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385487"/>
        <c:axId val="1718386447"/>
      </c:areaChart>
      <c:lineChart>
        <c:grouping val="standard"/>
        <c:varyColors val="0"/>
        <c:ser>
          <c:idx val="1"/>
          <c:order val="1"/>
          <c:tx>
            <c:strRef>
              <c:f>ConEd!$I$1</c:f>
              <c:strCache>
                <c:ptCount val="1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ConEd!$A$2:$A$496</c:f>
              <c:numCache>
                <c:formatCode>m/d/yyyy</c:formatCode>
                <c:ptCount val="49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</c:numCache>
            </c:numRef>
          </c:cat>
          <c:val>
            <c:numRef>
              <c:f>ConEd!$I$2:$I$496</c:f>
              <c:numCache>
                <c:formatCode>General</c:formatCode>
                <c:ptCount val="495"/>
                <c:pt idx="14">
                  <c:v>77.619893428063961</c:v>
                </c:pt>
                <c:pt idx="15">
                  <c:v>77.58279276203487</c:v>
                </c:pt>
                <c:pt idx="16">
                  <c:v>87.878211227402517</c:v>
                </c:pt>
                <c:pt idx="17">
                  <c:v>80.605529734310693</c:v>
                </c:pt>
                <c:pt idx="18">
                  <c:v>79.942750844400564</c:v>
                </c:pt>
                <c:pt idx="19">
                  <c:v>80.395348672617288</c:v>
                </c:pt>
                <c:pt idx="20">
                  <c:v>70.513119051330918</c:v>
                </c:pt>
                <c:pt idx="21">
                  <c:v>73.239382073158595</c:v>
                </c:pt>
                <c:pt idx="22">
                  <c:v>70.823482664796146</c:v>
                </c:pt>
                <c:pt idx="23">
                  <c:v>65.830379008349951</c:v>
                </c:pt>
                <c:pt idx="24">
                  <c:v>65.809296761676819</c:v>
                </c:pt>
                <c:pt idx="25">
                  <c:v>66.194050016858199</c:v>
                </c:pt>
                <c:pt idx="26">
                  <c:v>66.946629634956963</c:v>
                </c:pt>
                <c:pt idx="27">
                  <c:v>69.297311708024495</c:v>
                </c:pt>
                <c:pt idx="28">
                  <c:v>68.81815982513082</c:v>
                </c:pt>
                <c:pt idx="29">
                  <c:v>62.461665579524599</c:v>
                </c:pt>
                <c:pt idx="30">
                  <c:v>62.135044548608214</c:v>
                </c:pt>
                <c:pt idx="31">
                  <c:v>66.870871901346561</c:v>
                </c:pt>
                <c:pt idx="32">
                  <c:v>67.880335989998883</c:v>
                </c:pt>
                <c:pt idx="33">
                  <c:v>57.575082379654646</c:v>
                </c:pt>
                <c:pt idx="34">
                  <c:v>50.258162460172102</c:v>
                </c:pt>
                <c:pt idx="35">
                  <c:v>57.304528096382867</c:v>
                </c:pt>
                <c:pt idx="36">
                  <c:v>59.379324925991185</c:v>
                </c:pt>
                <c:pt idx="37">
                  <c:v>56.278067656710405</c:v>
                </c:pt>
                <c:pt idx="38">
                  <c:v>57.393385987156861</c:v>
                </c:pt>
                <c:pt idx="39">
                  <c:v>58.062838753885742</c:v>
                </c:pt>
                <c:pt idx="40">
                  <c:v>57.452415313617927</c:v>
                </c:pt>
                <c:pt idx="41">
                  <c:v>62.444547916890421</c:v>
                </c:pt>
                <c:pt idx="42">
                  <c:v>68.539126348332644</c:v>
                </c:pt>
                <c:pt idx="43">
                  <c:v>65.908358274050968</c:v>
                </c:pt>
                <c:pt idx="44">
                  <c:v>70.528819511289669</c:v>
                </c:pt>
                <c:pt idx="45">
                  <c:v>70.912029674031174</c:v>
                </c:pt>
                <c:pt idx="46">
                  <c:v>69.403091653977839</c:v>
                </c:pt>
                <c:pt idx="47">
                  <c:v>59.629430668471947</c:v>
                </c:pt>
                <c:pt idx="48">
                  <c:v>66.839332134846657</c:v>
                </c:pt>
                <c:pt idx="49">
                  <c:v>64.620680843048419</c:v>
                </c:pt>
                <c:pt idx="50">
                  <c:v>58.309574474880186</c:v>
                </c:pt>
                <c:pt idx="51">
                  <c:v>54.195729070432257</c:v>
                </c:pt>
                <c:pt idx="52">
                  <c:v>55.092115072758922</c:v>
                </c:pt>
                <c:pt idx="53">
                  <c:v>57.47711698203355</c:v>
                </c:pt>
                <c:pt idx="54">
                  <c:v>58.371753610019233</c:v>
                </c:pt>
                <c:pt idx="55">
                  <c:v>54.285126237242743</c:v>
                </c:pt>
                <c:pt idx="56">
                  <c:v>52.257741091686668</c:v>
                </c:pt>
                <c:pt idx="57">
                  <c:v>48.48630158832254</c:v>
                </c:pt>
                <c:pt idx="58">
                  <c:v>47.959004356380767</c:v>
                </c:pt>
                <c:pt idx="59">
                  <c:v>52.382052125222792</c:v>
                </c:pt>
                <c:pt idx="60">
                  <c:v>52.683329859725426</c:v>
                </c:pt>
                <c:pt idx="61">
                  <c:v>50.26452363860318</c:v>
                </c:pt>
                <c:pt idx="62">
                  <c:v>48.2585200549047</c:v>
                </c:pt>
                <c:pt idx="63">
                  <c:v>52.59106229152065</c:v>
                </c:pt>
                <c:pt idx="64">
                  <c:v>46.452856949548909</c:v>
                </c:pt>
                <c:pt idx="65">
                  <c:v>49.049158024568136</c:v>
                </c:pt>
                <c:pt idx="66">
                  <c:v>50.513419197859129</c:v>
                </c:pt>
                <c:pt idx="67">
                  <c:v>49.367499309623071</c:v>
                </c:pt>
                <c:pt idx="68">
                  <c:v>42.681724977682499</c:v>
                </c:pt>
                <c:pt idx="69">
                  <c:v>42.416866345469529</c:v>
                </c:pt>
                <c:pt idx="70">
                  <c:v>36.152541446963035</c:v>
                </c:pt>
                <c:pt idx="71">
                  <c:v>34.605987171030577</c:v>
                </c:pt>
                <c:pt idx="72">
                  <c:v>41.240773262385019</c:v>
                </c:pt>
                <c:pt idx="73">
                  <c:v>40.101551827529676</c:v>
                </c:pt>
                <c:pt idx="74">
                  <c:v>37.317646120961619</c:v>
                </c:pt>
                <c:pt idx="75">
                  <c:v>37.632307024811539</c:v>
                </c:pt>
                <c:pt idx="76">
                  <c:v>38.597962589103886</c:v>
                </c:pt>
                <c:pt idx="77">
                  <c:v>39.512001087207118</c:v>
                </c:pt>
                <c:pt idx="78">
                  <c:v>45.288688700076868</c:v>
                </c:pt>
                <c:pt idx="79">
                  <c:v>24.912161562291516</c:v>
                </c:pt>
                <c:pt idx="80">
                  <c:v>23.57367322329965</c:v>
                </c:pt>
                <c:pt idx="81">
                  <c:v>24.311776995769492</c:v>
                </c:pt>
                <c:pt idx="82">
                  <c:v>23.317461414571767</c:v>
                </c:pt>
                <c:pt idx="83">
                  <c:v>21.927660243551074</c:v>
                </c:pt>
                <c:pt idx="84">
                  <c:v>22.656912325019022</c:v>
                </c:pt>
                <c:pt idx="85">
                  <c:v>25.59323912218899</c:v>
                </c:pt>
                <c:pt idx="86">
                  <c:v>33.341766829092634</c:v>
                </c:pt>
                <c:pt idx="87">
                  <c:v>33.047823119736179</c:v>
                </c:pt>
                <c:pt idx="88">
                  <c:v>37.000686570464929</c:v>
                </c:pt>
                <c:pt idx="89">
                  <c:v>32.123028880834241</c:v>
                </c:pt>
                <c:pt idx="90">
                  <c:v>34.38136941224127</c:v>
                </c:pt>
                <c:pt idx="91">
                  <c:v>35.458801409362877</c:v>
                </c:pt>
                <c:pt idx="92">
                  <c:v>35.155560662958592</c:v>
                </c:pt>
                <c:pt idx="93">
                  <c:v>37.736023199884144</c:v>
                </c:pt>
                <c:pt idx="94">
                  <c:v>39.772231093915714</c:v>
                </c:pt>
                <c:pt idx="95">
                  <c:v>39.950949380365145</c:v>
                </c:pt>
                <c:pt idx="96">
                  <c:v>42.66856761869419</c:v>
                </c:pt>
                <c:pt idx="97">
                  <c:v>51.999968639675224</c:v>
                </c:pt>
                <c:pt idx="98">
                  <c:v>52.515769987412725</c:v>
                </c:pt>
                <c:pt idx="99">
                  <c:v>45.316817608417075</c:v>
                </c:pt>
                <c:pt idx="100">
                  <c:v>45.89863699897667</c:v>
                </c:pt>
                <c:pt idx="101">
                  <c:v>43.135297041489991</c:v>
                </c:pt>
                <c:pt idx="102">
                  <c:v>37.918480831998082</c:v>
                </c:pt>
                <c:pt idx="103">
                  <c:v>35.409350477227363</c:v>
                </c:pt>
                <c:pt idx="104">
                  <c:v>39.135760704228936</c:v>
                </c:pt>
                <c:pt idx="105">
                  <c:v>36.238326084271215</c:v>
                </c:pt>
                <c:pt idx="106">
                  <c:v>37.909516016943755</c:v>
                </c:pt>
                <c:pt idx="107">
                  <c:v>42.700506926312734</c:v>
                </c:pt>
                <c:pt idx="108">
                  <c:v>45.083916827501405</c:v>
                </c:pt>
                <c:pt idx="109">
                  <c:v>50.025289946054329</c:v>
                </c:pt>
                <c:pt idx="110">
                  <c:v>50.995995463552113</c:v>
                </c:pt>
                <c:pt idx="111">
                  <c:v>48.112721168568598</c:v>
                </c:pt>
                <c:pt idx="112">
                  <c:v>47.244304515827295</c:v>
                </c:pt>
                <c:pt idx="113">
                  <c:v>47.626072335400565</c:v>
                </c:pt>
                <c:pt idx="114">
                  <c:v>47.930413041709372</c:v>
                </c:pt>
                <c:pt idx="115">
                  <c:v>48.959611305775418</c:v>
                </c:pt>
                <c:pt idx="116">
                  <c:v>52.611861696378995</c:v>
                </c:pt>
                <c:pt idx="117">
                  <c:v>62.008253460052607</c:v>
                </c:pt>
                <c:pt idx="118">
                  <c:v>56.757491842772367</c:v>
                </c:pt>
                <c:pt idx="119">
                  <c:v>62.698629315070676</c:v>
                </c:pt>
                <c:pt idx="120">
                  <c:v>55.006691022595824</c:v>
                </c:pt>
                <c:pt idx="121">
                  <c:v>52.890073363097464</c:v>
                </c:pt>
                <c:pt idx="122">
                  <c:v>49.995277941880474</c:v>
                </c:pt>
                <c:pt idx="123">
                  <c:v>55.406763544576641</c:v>
                </c:pt>
                <c:pt idx="124">
                  <c:v>60.160383791630331</c:v>
                </c:pt>
                <c:pt idx="125">
                  <c:v>64.348357426734964</c:v>
                </c:pt>
                <c:pt idx="126">
                  <c:v>59.538334672343822</c:v>
                </c:pt>
                <c:pt idx="127">
                  <c:v>60.131159386828216</c:v>
                </c:pt>
                <c:pt idx="128">
                  <c:v>63.360636203663994</c:v>
                </c:pt>
                <c:pt idx="129">
                  <c:v>59.63558936114125</c:v>
                </c:pt>
                <c:pt idx="130">
                  <c:v>62.424786843204885</c:v>
                </c:pt>
                <c:pt idx="131">
                  <c:v>63.366889180898532</c:v>
                </c:pt>
                <c:pt idx="132">
                  <c:v>70.918487467062761</c:v>
                </c:pt>
                <c:pt idx="133">
                  <c:v>70.989728977476915</c:v>
                </c:pt>
                <c:pt idx="134">
                  <c:v>74.874094955182812</c:v>
                </c:pt>
                <c:pt idx="135">
                  <c:v>76.750565135455162</c:v>
                </c:pt>
                <c:pt idx="136">
                  <c:v>69.184431179421637</c:v>
                </c:pt>
                <c:pt idx="137">
                  <c:v>63.252249217467977</c:v>
                </c:pt>
                <c:pt idx="138">
                  <c:v>64.739734357646739</c:v>
                </c:pt>
                <c:pt idx="139">
                  <c:v>64.583327974875203</c:v>
                </c:pt>
                <c:pt idx="140">
                  <c:v>64.31559337109104</c:v>
                </c:pt>
                <c:pt idx="141">
                  <c:v>75.291461970800128</c:v>
                </c:pt>
                <c:pt idx="142">
                  <c:v>74.577674845613629</c:v>
                </c:pt>
                <c:pt idx="143">
                  <c:v>73.759142780997863</c:v>
                </c:pt>
                <c:pt idx="144">
                  <c:v>72.189137132041608</c:v>
                </c:pt>
                <c:pt idx="145">
                  <c:v>73.634386450626494</c:v>
                </c:pt>
                <c:pt idx="146">
                  <c:v>65.384519825748669</c:v>
                </c:pt>
                <c:pt idx="147">
                  <c:v>63.710712443764635</c:v>
                </c:pt>
                <c:pt idx="148">
                  <c:v>49.136067286892512</c:v>
                </c:pt>
                <c:pt idx="149">
                  <c:v>55.692883274253418</c:v>
                </c:pt>
                <c:pt idx="150">
                  <c:v>55.692883274253418</c:v>
                </c:pt>
                <c:pt idx="151">
                  <c:v>64.522732606243167</c:v>
                </c:pt>
                <c:pt idx="152">
                  <c:v>61.8715634741367</c:v>
                </c:pt>
                <c:pt idx="153">
                  <c:v>57.547018381957429</c:v>
                </c:pt>
                <c:pt idx="154">
                  <c:v>59.862770830236244</c:v>
                </c:pt>
                <c:pt idx="155">
                  <c:v>61.837381490256263</c:v>
                </c:pt>
                <c:pt idx="156">
                  <c:v>64.16424694049347</c:v>
                </c:pt>
                <c:pt idx="157">
                  <c:v>63.727823377129788</c:v>
                </c:pt>
                <c:pt idx="158">
                  <c:v>65.154170605854631</c:v>
                </c:pt>
                <c:pt idx="159">
                  <c:v>67.062887837372898</c:v>
                </c:pt>
                <c:pt idx="160">
                  <c:v>68.736854477320918</c:v>
                </c:pt>
                <c:pt idx="161">
                  <c:v>64.969934469528539</c:v>
                </c:pt>
                <c:pt idx="162">
                  <c:v>65.199961658493748</c:v>
                </c:pt>
                <c:pt idx="163">
                  <c:v>68.21805832533272</c:v>
                </c:pt>
                <c:pt idx="164">
                  <c:v>69.359711961942807</c:v>
                </c:pt>
                <c:pt idx="165">
                  <c:v>68.407043164610883</c:v>
                </c:pt>
                <c:pt idx="166">
                  <c:v>69.150668224778144</c:v>
                </c:pt>
                <c:pt idx="167">
                  <c:v>73.990500085943168</c:v>
                </c:pt>
                <c:pt idx="168">
                  <c:v>70.840801010654275</c:v>
                </c:pt>
                <c:pt idx="169">
                  <c:v>74.702071719263088</c:v>
                </c:pt>
                <c:pt idx="170">
                  <c:v>69.387392415360068</c:v>
                </c:pt>
                <c:pt idx="171">
                  <c:v>63.468811279878942</c:v>
                </c:pt>
                <c:pt idx="172">
                  <c:v>67.913816359657915</c:v>
                </c:pt>
                <c:pt idx="173">
                  <c:v>70.402115763996989</c:v>
                </c:pt>
                <c:pt idx="174">
                  <c:v>75.60390487640467</c:v>
                </c:pt>
                <c:pt idx="175">
                  <c:v>77.226181323019972</c:v>
                </c:pt>
                <c:pt idx="176">
                  <c:v>79.888891565430498</c:v>
                </c:pt>
                <c:pt idx="177">
                  <c:v>81.614235395788143</c:v>
                </c:pt>
                <c:pt idx="178">
                  <c:v>72.992461615140229</c:v>
                </c:pt>
                <c:pt idx="179">
                  <c:v>73.789595916386673</c:v>
                </c:pt>
                <c:pt idx="180">
                  <c:v>70.869514782548549</c:v>
                </c:pt>
                <c:pt idx="181">
                  <c:v>74.770923888125338</c:v>
                </c:pt>
                <c:pt idx="182">
                  <c:v>77.18882819655289</c:v>
                </c:pt>
                <c:pt idx="183">
                  <c:v>77.577291802575047</c:v>
                </c:pt>
                <c:pt idx="184">
                  <c:v>77.802491163035896</c:v>
                </c:pt>
                <c:pt idx="185">
                  <c:v>79.663660494177179</c:v>
                </c:pt>
                <c:pt idx="186">
                  <c:v>72.008932079622127</c:v>
                </c:pt>
                <c:pt idx="187">
                  <c:v>72.274784500970497</c:v>
                </c:pt>
                <c:pt idx="188">
                  <c:v>67.311917260494397</c:v>
                </c:pt>
                <c:pt idx="189">
                  <c:v>67.834385484296376</c:v>
                </c:pt>
                <c:pt idx="190">
                  <c:v>71.671200641252469</c:v>
                </c:pt>
                <c:pt idx="191">
                  <c:v>75.170169786426001</c:v>
                </c:pt>
                <c:pt idx="192">
                  <c:v>76.248927779986957</c:v>
                </c:pt>
                <c:pt idx="193">
                  <c:v>77.649469445929967</c:v>
                </c:pt>
                <c:pt idx="194">
                  <c:v>81.982157000795453</c:v>
                </c:pt>
                <c:pt idx="195">
                  <c:v>78.298580118520903</c:v>
                </c:pt>
                <c:pt idx="196">
                  <c:v>78.493700235810934</c:v>
                </c:pt>
                <c:pt idx="197">
                  <c:v>80.09946556131311</c:v>
                </c:pt>
                <c:pt idx="198">
                  <c:v>73.319629877747943</c:v>
                </c:pt>
                <c:pt idx="199">
                  <c:v>74.049834991091046</c:v>
                </c:pt>
                <c:pt idx="200">
                  <c:v>71.698489469079334</c:v>
                </c:pt>
                <c:pt idx="201">
                  <c:v>69.648412881458086</c:v>
                </c:pt>
                <c:pt idx="202">
                  <c:v>68.257503726373642</c:v>
                </c:pt>
                <c:pt idx="203">
                  <c:v>68.998327381066531</c:v>
                </c:pt>
                <c:pt idx="204">
                  <c:v>69.758413869984992</c:v>
                </c:pt>
                <c:pt idx="205">
                  <c:v>39.673549283566963</c:v>
                </c:pt>
                <c:pt idx="206">
                  <c:v>35.412809333754751</c:v>
                </c:pt>
                <c:pt idx="207">
                  <c:v>33.57558586739232</c:v>
                </c:pt>
                <c:pt idx="208">
                  <c:v>31.125184460926079</c:v>
                </c:pt>
                <c:pt idx="209">
                  <c:v>26.483758869775798</c:v>
                </c:pt>
                <c:pt idx="210">
                  <c:v>30.174264866064604</c:v>
                </c:pt>
                <c:pt idx="211">
                  <c:v>33.20969856605933</c:v>
                </c:pt>
                <c:pt idx="212">
                  <c:v>31.357863668946152</c:v>
                </c:pt>
                <c:pt idx="213">
                  <c:v>33.927635513742871</c:v>
                </c:pt>
                <c:pt idx="214">
                  <c:v>44.685679990648154</c:v>
                </c:pt>
                <c:pt idx="215">
                  <c:v>44.830066238229392</c:v>
                </c:pt>
                <c:pt idx="216">
                  <c:v>44.881713510378248</c:v>
                </c:pt>
                <c:pt idx="217">
                  <c:v>44.656608402590749</c:v>
                </c:pt>
                <c:pt idx="218">
                  <c:v>40.686278429943052</c:v>
                </c:pt>
                <c:pt idx="219">
                  <c:v>40.81174933006357</c:v>
                </c:pt>
                <c:pt idx="220">
                  <c:v>38.025299519148781</c:v>
                </c:pt>
                <c:pt idx="221">
                  <c:v>32.996932707450824</c:v>
                </c:pt>
                <c:pt idx="222">
                  <c:v>39.656847720668274</c:v>
                </c:pt>
                <c:pt idx="223">
                  <c:v>43.845149971007679</c:v>
                </c:pt>
                <c:pt idx="224">
                  <c:v>51.192294780435255</c:v>
                </c:pt>
                <c:pt idx="225">
                  <c:v>61.036475751520243</c:v>
                </c:pt>
                <c:pt idx="226">
                  <c:v>61.64527624454761</c:v>
                </c:pt>
                <c:pt idx="227">
                  <c:v>64.917921901186446</c:v>
                </c:pt>
                <c:pt idx="228">
                  <c:v>67.471807407110916</c:v>
                </c:pt>
                <c:pt idx="229">
                  <c:v>63.926519892459531</c:v>
                </c:pt>
                <c:pt idx="230">
                  <c:v>64.442704716101559</c:v>
                </c:pt>
                <c:pt idx="231">
                  <c:v>64.402197119850086</c:v>
                </c:pt>
                <c:pt idx="232">
                  <c:v>66.241793884150312</c:v>
                </c:pt>
                <c:pt idx="233">
                  <c:v>70.77729253475097</c:v>
                </c:pt>
                <c:pt idx="234">
                  <c:v>71.917516289731708</c:v>
                </c:pt>
                <c:pt idx="235">
                  <c:v>74.694046343247251</c:v>
                </c:pt>
                <c:pt idx="236">
                  <c:v>59.271456843680944</c:v>
                </c:pt>
                <c:pt idx="237">
                  <c:v>61.120914672745293</c:v>
                </c:pt>
                <c:pt idx="238">
                  <c:v>58.461466789676855</c:v>
                </c:pt>
                <c:pt idx="239">
                  <c:v>60.911272516557958</c:v>
                </c:pt>
                <c:pt idx="240">
                  <c:v>58.414744896255471</c:v>
                </c:pt>
                <c:pt idx="241">
                  <c:v>55.863369912475399</c:v>
                </c:pt>
                <c:pt idx="242">
                  <c:v>55.235641013820931</c:v>
                </c:pt>
                <c:pt idx="243">
                  <c:v>42.626409929417875</c:v>
                </c:pt>
                <c:pt idx="244">
                  <c:v>48.066998764245895</c:v>
                </c:pt>
                <c:pt idx="245">
                  <c:v>47.344978730092095</c:v>
                </c:pt>
                <c:pt idx="246">
                  <c:v>45.466831533935192</c:v>
                </c:pt>
                <c:pt idx="247">
                  <c:v>49.22846375381615</c:v>
                </c:pt>
                <c:pt idx="248">
                  <c:v>49.948095718016567</c:v>
                </c:pt>
                <c:pt idx="249">
                  <c:v>46.807368162399364</c:v>
                </c:pt>
                <c:pt idx="250">
                  <c:v>43.292217750702385</c:v>
                </c:pt>
                <c:pt idx="251">
                  <c:v>42.718681356951059</c:v>
                </c:pt>
                <c:pt idx="252">
                  <c:v>42.931923217004446</c:v>
                </c:pt>
                <c:pt idx="253">
                  <c:v>48.061807576793917</c:v>
                </c:pt>
                <c:pt idx="254">
                  <c:v>48.098887292457107</c:v>
                </c:pt>
                <c:pt idx="255">
                  <c:v>50.551059430260558</c:v>
                </c:pt>
                <c:pt idx="256">
                  <c:v>49.042250479890143</c:v>
                </c:pt>
                <c:pt idx="257">
                  <c:v>42.968727451100435</c:v>
                </c:pt>
                <c:pt idx="258">
                  <c:v>39.371175314095659</c:v>
                </c:pt>
                <c:pt idx="259">
                  <c:v>40.174563326824646</c:v>
                </c:pt>
                <c:pt idx="260">
                  <c:v>45.262938909006436</c:v>
                </c:pt>
                <c:pt idx="261">
                  <c:v>50.493639565999423</c:v>
                </c:pt>
                <c:pt idx="262">
                  <c:v>54.302372996694949</c:v>
                </c:pt>
                <c:pt idx="263">
                  <c:v>53.205498238312494</c:v>
                </c:pt>
                <c:pt idx="264">
                  <c:v>51.10784073223784</c:v>
                </c:pt>
                <c:pt idx="265">
                  <c:v>56.26952823215251</c:v>
                </c:pt>
                <c:pt idx="266">
                  <c:v>53.553692588025527</c:v>
                </c:pt>
                <c:pt idx="267">
                  <c:v>52.090745614897919</c:v>
                </c:pt>
                <c:pt idx="268">
                  <c:v>55.10668201823561</c:v>
                </c:pt>
                <c:pt idx="269">
                  <c:v>60.327537031543336</c:v>
                </c:pt>
                <c:pt idx="270">
                  <c:v>82.366809657376351</c:v>
                </c:pt>
                <c:pt idx="271">
                  <c:v>78.304843265956663</c:v>
                </c:pt>
                <c:pt idx="272">
                  <c:v>80.347610952007571</c:v>
                </c:pt>
                <c:pt idx="273">
                  <c:v>81.722002073940516</c:v>
                </c:pt>
                <c:pt idx="274">
                  <c:v>79.851694782598258</c:v>
                </c:pt>
                <c:pt idx="275">
                  <c:v>66.020587156811999</c:v>
                </c:pt>
                <c:pt idx="276">
                  <c:v>64.67470288324094</c:v>
                </c:pt>
                <c:pt idx="277">
                  <c:v>60.940768867683545</c:v>
                </c:pt>
                <c:pt idx="278">
                  <c:v>64.810585405892937</c:v>
                </c:pt>
                <c:pt idx="279">
                  <c:v>65.561716965604333</c:v>
                </c:pt>
                <c:pt idx="280">
                  <c:v>67.814612794102231</c:v>
                </c:pt>
                <c:pt idx="281">
                  <c:v>69.158163672429083</c:v>
                </c:pt>
                <c:pt idx="282">
                  <c:v>70.301619961810417</c:v>
                </c:pt>
                <c:pt idx="283">
                  <c:v>71.107203501145278</c:v>
                </c:pt>
                <c:pt idx="284">
                  <c:v>71.388037338037066</c:v>
                </c:pt>
                <c:pt idx="285">
                  <c:v>66.023738545201212</c:v>
                </c:pt>
                <c:pt idx="286">
                  <c:v>66.349508197417748</c:v>
                </c:pt>
                <c:pt idx="287">
                  <c:v>59.823817985702711</c:v>
                </c:pt>
                <c:pt idx="288">
                  <c:v>57.023769804629396</c:v>
                </c:pt>
                <c:pt idx="289">
                  <c:v>53.349163501819561</c:v>
                </c:pt>
                <c:pt idx="290">
                  <c:v>52.251609665801212</c:v>
                </c:pt>
                <c:pt idx="291">
                  <c:v>49.150169897402527</c:v>
                </c:pt>
                <c:pt idx="292">
                  <c:v>53.168203834122998</c:v>
                </c:pt>
                <c:pt idx="293">
                  <c:v>50.520424605231923</c:v>
                </c:pt>
                <c:pt idx="294">
                  <c:v>46.921636252630471</c:v>
                </c:pt>
                <c:pt idx="295">
                  <c:v>61.273389918291286</c:v>
                </c:pt>
                <c:pt idx="296">
                  <c:v>55.443776142600328</c:v>
                </c:pt>
                <c:pt idx="297">
                  <c:v>47.164101494430909</c:v>
                </c:pt>
                <c:pt idx="298">
                  <c:v>47.881041257602035</c:v>
                </c:pt>
                <c:pt idx="299">
                  <c:v>44.239863402511894</c:v>
                </c:pt>
                <c:pt idx="300">
                  <c:v>47.1230376760303</c:v>
                </c:pt>
                <c:pt idx="301">
                  <c:v>51.968748024102076</c:v>
                </c:pt>
                <c:pt idx="302">
                  <c:v>46.047222673756423</c:v>
                </c:pt>
                <c:pt idx="303">
                  <c:v>51.343400309856754</c:v>
                </c:pt>
                <c:pt idx="304">
                  <c:v>43.600917723864903</c:v>
                </c:pt>
                <c:pt idx="305">
                  <c:v>44.156974933723248</c:v>
                </c:pt>
                <c:pt idx="306">
                  <c:v>48.693346305590403</c:v>
                </c:pt>
                <c:pt idx="307">
                  <c:v>50.076070721372325</c:v>
                </c:pt>
                <c:pt idx="308">
                  <c:v>50.511915595183488</c:v>
                </c:pt>
                <c:pt idx="309">
                  <c:v>46.415809728078905</c:v>
                </c:pt>
                <c:pt idx="310">
                  <c:v>44.343593257049434</c:v>
                </c:pt>
                <c:pt idx="311">
                  <c:v>49.466611873643977</c:v>
                </c:pt>
                <c:pt idx="312">
                  <c:v>51.210215323728995</c:v>
                </c:pt>
                <c:pt idx="313">
                  <c:v>50.805677206174423</c:v>
                </c:pt>
                <c:pt idx="314">
                  <c:v>44.049908973250858</c:v>
                </c:pt>
                <c:pt idx="315">
                  <c:v>32.550970359709638</c:v>
                </c:pt>
                <c:pt idx="316">
                  <c:v>31.607464352004058</c:v>
                </c:pt>
                <c:pt idx="317">
                  <c:v>29.071852310586692</c:v>
                </c:pt>
                <c:pt idx="318">
                  <c:v>43.695495202735366</c:v>
                </c:pt>
                <c:pt idx="319">
                  <c:v>40.103785082264899</c:v>
                </c:pt>
                <c:pt idx="320">
                  <c:v>45.106464879206619</c:v>
                </c:pt>
                <c:pt idx="321">
                  <c:v>47.933768747338817</c:v>
                </c:pt>
                <c:pt idx="322">
                  <c:v>49.223964422215523</c:v>
                </c:pt>
                <c:pt idx="323">
                  <c:v>47.575046277987425</c:v>
                </c:pt>
                <c:pt idx="324">
                  <c:v>47.787280368943208</c:v>
                </c:pt>
                <c:pt idx="325">
                  <c:v>45.639966106593661</c:v>
                </c:pt>
                <c:pt idx="326">
                  <c:v>50.011040177854468</c:v>
                </c:pt>
                <c:pt idx="327">
                  <c:v>53.91638424785743</c:v>
                </c:pt>
                <c:pt idx="328">
                  <c:v>41.580579821642957</c:v>
                </c:pt>
                <c:pt idx="329">
                  <c:v>44.202528045936127</c:v>
                </c:pt>
                <c:pt idx="330">
                  <c:v>47.303608143207455</c:v>
                </c:pt>
                <c:pt idx="331">
                  <c:v>49.887082111982785</c:v>
                </c:pt>
                <c:pt idx="332">
                  <c:v>51.801535714341469</c:v>
                </c:pt>
                <c:pt idx="333">
                  <c:v>49.973977447942829</c:v>
                </c:pt>
                <c:pt idx="334">
                  <c:v>54.670297564305159</c:v>
                </c:pt>
                <c:pt idx="335">
                  <c:v>57.329004716996039</c:v>
                </c:pt>
                <c:pt idx="336">
                  <c:v>57.269213394082044</c:v>
                </c:pt>
                <c:pt idx="337">
                  <c:v>60.418272875324597</c:v>
                </c:pt>
                <c:pt idx="338">
                  <c:v>60.979347951601596</c:v>
                </c:pt>
                <c:pt idx="339">
                  <c:v>55.539929524730859</c:v>
                </c:pt>
                <c:pt idx="340">
                  <c:v>59.110106515477192</c:v>
                </c:pt>
                <c:pt idx="341">
                  <c:v>62.63628338161292</c:v>
                </c:pt>
                <c:pt idx="342">
                  <c:v>61.735332258522554</c:v>
                </c:pt>
                <c:pt idx="343">
                  <c:v>67.523851139276303</c:v>
                </c:pt>
                <c:pt idx="344">
                  <c:v>67.571553141128675</c:v>
                </c:pt>
                <c:pt idx="345">
                  <c:v>68.596105669658954</c:v>
                </c:pt>
                <c:pt idx="346">
                  <c:v>66.591269137070128</c:v>
                </c:pt>
                <c:pt idx="347">
                  <c:v>58.87439572136806</c:v>
                </c:pt>
                <c:pt idx="348">
                  <c:v>56.000713397466839</c:v>
                </c:pt>
                <c:pt idx="349">
                  <c:v>56.23993931681224</c:v>
                </c:pt>
                <c:pt idx="350">
                  <c:v>60.347657265941109</c:v>
                </c:pt>
                <c:pt idx="351">
                  <c:v>56.626802011727669</c:v>
                </c:pt>
                <c:pt idx="352">
                  <c:v>54.742492999281943</c:v>
                </c:pt>
                <c:pt idx="353">
                  <c:v>55.126355897662826</c:v>
                </c:pt>
                <c:pt idx="354">
                  <c:v>59.915819142962995</c:v>
                </c:pt>
                <c:pt idx="355">
                  <c:v>61.116274591748478</c:v>
                </c:pt>
                <c:pt idx="356">
                  <c:v>61.422540018116322</c:v>
                </c:pt>
                <c:pt idx="357">
                  <c:v>62.745799034659768</c:v>
                </c:pt>
                <c:pt idx="358">
                  <c:v>64.701674839703855</c:v>
                </c:pt>
                <c:pt idx="359">
                  <c:v>67.624952662055932</c:v>
                </c:pt>
                <c:pt idx="360">
                  <c:v>70.979222641859792</c:v>
                </c:pt>
                <c:pt idx="361">
                  <c:v>74.579216867448181</c:v>
                </c:pt>
                <c:pt idx="362">
                  <c:v>73.665931938294335</c:v>
                </c:pt>
                <c:pt idx="363">
                  <c:v>66.814622677083975</c:v>
                </c:pt>
                <c:pt idx="364">
                  <c:v>70.401652459473183</c:v>
                </c:pt>
                <c:pt idx="365">
                  <c:v>71.286202574552092</c:v>
                </c:pt>
                <c:pt idx="366">
                  <c:v>71.406889774624759</c:v>
                </c:pt>
                <c:pt idx="367">
                  <c:v>67.151503029067612</c:v>
                </c:pt>
                <c:pt idx="368">
                  <c:v>73.406816424872659</c:v>
                </c:pt>
                <c:pt idx="369">
                  <c:v>76.152887777514991</c:v>
                </c:pt>
                <c:pt idx="370">
                  <c:v>71.447708298074048</c:v>
                </c:pt>
                <c:pt idx="371">
                  <c:v>72.040578051929273</c:v>
                </c:pt>
                <c:pt idx="372">
                  <c:v>68.135224915537947</c:v>
                </c:pt>
                <c:pt idx="373">
                  <c:v>71.875560204808096</c:v>
                </c:pt>
                <c:pt idx="374">
                  <c:v>65.996292771977977</c:v>
                </c:pt>
                <c:pt idx="375">
                  <c:v>60.694516031547806</c:v>
                </c:pt>
                <c:pt idx="376">
                  <c:v>64.43840689725937</c:v>
                </c:pt>
                <c:pt idx="377">
                  <c:v>64.855656952483983</c:v>
                </c:pt>
                <c:pt idx="378">
                  <c:v>61.661209323645153</c:v>
                </c:pt>
                <c:pt idx="379">
                  <c:v>61.217688829127006</c:v>
                </c:pt>
                <c:pt idx="380">
                  <c:v>56.948184291105285</c:v>
                </c:pt>
                <c:pt idx="381">
                  <c:v>51.470402462556585</c:v>
                </c:pt>
                <c:pt idx="382">
                  <c:v>51.73082476964511</c:v>
                </c:pt>
                <c:pt idx="383">
                  <c:v>50.151270267905453</c:v>
                </c:pt>
                <c:pt idx="384">
                  <c:v>48.998297651608482</c:v>
                </c:pt>
                <c:pt idx="385">
                  <c:v>49.127479168848609</c:v>
                </c:pt>
                <c:pt idx="386">
                  <c:v>55.057769947978493</c:v>
                </c:pt>
                <c:pt idx="387">
                  <c:v>53.061124787774418</c:v>
                </c:pt>
                <c:pt idx="388">
                  <c:v>48.564747020616551</c:v>
                </c:pt>
                <c:pt idx="389">
                  <c:v>48.649948907692412</c:v>
                </c:pt>
                <c:pt idx="390">
                  <c:v>27.531243281375495</c:v>
                </c:pt>
                <c:pt idx="391">
                  <c:v>27.066313537309725</c:v>
                </c:pt>
                <c:pt idx="392">
                  <c:v>32.49020875806292</c:v>
                </c:pt>
                <c:pt idx="393">
                  <c:v>31.904496565075263</c:v>
                </c:pt>
                <c:pt idx="394">
                  <c:v>30.322415565175518</c:v>
                </c:pt>
                <c:pt idx="395">
                  <c:v>25.771201084259999</c:v>
                </c:pt>
                <c:pt idx="396">
                  <c:v>24.07452838490191</c:v>
                </c:pt>
                <c:pt idx="397">
                  <c:v>27.284284199880787</c:v>
                </c:pt>
                <c:pt idx="398">
                  <c:v>26.466425173634931</c:v>
                </c:pt>
                <c:pt idx="399">
                  <c:v>29.27246401701106</c:v>
                </c:pt>
                <c:pt idx="400">
                  <c:v>27.769755581119782</c:v>
                </c:pt>
                <c:pt idx="401">
                  <c:v>23.031092704397679</c:v>
                </c:pt>
                <c:pt idx="402">
                  <c:v>20.219592238405369</c:v>
                </c:pt>
                <c:pt idx="403">
                  <c:v>19.560559965264957</c:v>
                </c:pt>
                <c:pt idx="404">
                  <c:v>28.280986343670435</c:v>
                </c:pt>
                <c:pt idx="405">
                  <c:v>26.549849985888244</c:v>
                </c:pt>
                <c:pt idx="406">
                  <c:v>30.58468256812256</c:v>
                </c:pt>
                <c:pt idx="407">
                  <c:v>30.398647408042521</c:v>
                </c:pt>
                <c:pt idx="408">
                  <c:v>33.357441388386448</c:v>
                </c:pt>
                <c:pt idx="409">
                  <c:v>35.409560665727312</c:v>
                </c:pt>
                <c:pt idx="410">
                  <c:v>32.718429287814629</c:v>
                </c:pt>
                <c:pt idx="411">
                  <c:v>37.113805806151014</c:v>
                </c:pt>
                <c:pt idx="412">
                  <c:v>34.699786158774074</c:v>
                </c:pt>
                <c:pt idx="413">
                  <c:v>39.774793041398404</c:v>
                </c:pt>
                <c:pt idx="414">
                  <c:v>43.065752955132574</c:v>
                </c:pt>
                <c:pt idx="415">
                  <c:v>44.383791426225166</c:v>
                </c:pt>
                <c:pt idx="416">
                  <c:v>41.7632473957729</c:v>
                </c:pt>
                <c:pt idx="417">
                  <c:v>39.530259011079572</c:v>
                </c:pt>
                <c:pt idx="418">
                  <c:v>43.761165890704717</c:v>
                </c:pt>
                <c:pt idx="419">
                  <c:v>48.369692719493081</c:v>
                </c:pt>
                <c:pt idx="420">
                  <c:v>50.292413515167922</c:v>
                </c:pt>
                <c:pt idx="421">
                  <c:v>59.408686629078325</c:v>
                </c:pt>
                <c:pt idx="422">
                  <c:v>62.37705166802391</c:v>
                </c:pt>
                <c:pt idx="423">
                  <c:v>58.949030651744366</c:v>
                </c:pt>
                <c:pt idx="424">
                  <c:v>59.090176921931729</c:v>
                </c:pt>
                <c:pt idx="425">
                  <c:v>53.636197236814503</c:v>
                </c:pt>
                <c:pt idx="426">
                  <c:v>56.989316985574852</c:v>
                </c:pt>
                <c:pt idx="427">
                  <c:v>58.468047333396122</c:v>
                </c:pt>
                <c:pt idx="428">
                  <c:v>60.26123729772614</c:v>
                </c:pt>
                <c:pt idx="429">
                  <c:v>66.221508154494003</c:v>
                </c:pt>
                <c:pt idx="430">
                  <c:v>67.464312203852842</c:v>
                </c:pt>
                <c:pt idx="431">
                  <c:v>71.476475728876608</c:v>
                </c:pt>
                <c:pt idx="432">
                  <c:v>72.124496462877602</c:v>
                </c:pt>
                <c:pt idx="433">
                  <c:v>63.688556832972452</c:v>
                </c:pt>
                <c:pt idx="434">
                  <c:v>73.533911003255881</c:v>
                </c:pt>
                <c:pt idx="435">
                  <c:v>75.037781581623335</c:v>
                </c:pt>
                <c:pt idx="436">
                  <c:v>68.455058735296006</c:v>
                </c:pt>
                <c:pt idx="437">
                  <c:v>69.941060688539579</c:v>
                </c:pt>
                <c:pt idx="438">
                  <c:v>72.500662803161759</c:v>
                </c:pt>
                <c:pt idx="439">
                  <c:v>72.633964390045051</c:v>
                </c:pt>
                <c:pt idx="440">
                  <c:v>73.62183149244504</c:v>
                </c:pt>
                <c:pt idx="441">
                  <c:v>74.258639005515548</c:v>
                </c:pt>
                <c:pt idx="442">
                  <c:v>76.813430354902223</c:v>
                </c:pt>
                <c:pt idx="443">
                  <c:v>69.456447249769781</c:v>
                </c:pt>
                <c:pt idx="444">
                  <c:v>67.514180809814178</c:v>
                </c:pt>
                <c:pt idx="445">
                  <c:v>53.801536243567128</c:v>
                </c:pt>
                <c:pt idx="446">
                  <c:v>53.131705346142333</c:v>
                </c:pt>
                <c:pt idx="447">
                  <c:v>51.890969037586267</c:v>
                </c:pt>
                <c:pt idx="448">
                  <c:v>56.58478862698415</c:v>
                </c:pt>
                <c:pt idx="449">
                  <c:v>51.014841485288457</c:v>
                </c:pt>
                <c:pt idx="450">
                  <c:v>56.175654482855336</c:v>
                </c:pt>
                <c:pt idx="451">
                  <c:v>58.287945233068399</c:v>
                </c:pt>
                <c:pt idx="452">
                  <c:v>56.314545076031543</c:v>
                </c:pt>
                <c:pt idx="453">
                  <c:v>61.148489612049111</c:v>
                </c:pt>
                <c:pt idx="454">
                  <c:v>57.972683595174857</c:v>
                </c:pt>
                <c:pt idx="455">
                  <c:v>71.990799771681566</c:v>
                </c:pt>
                <c:pt idx="456">
                  <c:v>74.304457504504214</c:v>
                </c:pt>
                <c:pt idx="457">
                  <c:v>73.698922608760384</c:v>
                </c:pt>
                <c:pt idx="458">
                  <c:v>68.647465774675908</c:v>
                </c:pt>
                <c:pt idx="459">
                  <c:v>69.59961392634662</c:v>
                </c:pt>
                <c:pt idx="460">
                  <c:v>66.484930403045567</c:v>
                </c:pt>
                <c:pt idx="461">
                  <c:v>63.395088145682465</c:v>
                </c:pt>
                <c:pt idx="462">
                  <c:v>59.111877268798551</c:v>
                </c:pt>
                <c:pt idx="463">
                  <c:v>63.197564111152218</c:v>
                </c:pt>
                <c:pt idx="464">
                  <c:v>66.625223757694727</c:v>
                </c:pt>
                <c:pt idx="465">
                  <c:v>60.173180532352312</c:v>
                </c:pt>
                <c:pt idx="466">
                  <c:v>61.978556381913194</c:v>
                </c:pt>
                <c:pt idx="467">
                  <c:v>64.843172043389274</c:v>
                </c:pt>
                <c:pt idx="468">
                  <c:v>65.609161975148155</c:v>
                </c:pt>
                <c:pt idx="469">
                  <c:v>55.205416493333217</c:v>
                </c:pt>
                <c:pt idx="470">
                  <c:v>55.824134223482396</c:v>
                </c:pt>
                <c:pt idx="471">
                  <c:v>48.429403496109884</c:v>
                </c:pt>
                <c:pt idx="472">
                  <c:v>43.206288204585839</c:v>
                </c:pt>
                <c:pt idx="473">
                  <c:v>42.241361707489354</c:v>
                </c:pt>
                <c:pt idx="474">
                  <c:v>44.014571916355202</c:v>
                </c:pt>
                <c:pt idx="475">
                  <c:v>50.211647191477844</c:v>
                </c:pt>
                <c:pt idx="476">
                  <c:v>55.270942210134294</c:v>
                </c:pt>
                <c:pt idx="477">
                  <c:v>55.533188262758848</c:v>
                </c:pt>
                <c:pt idx="478">
                  <c:v>54.323174651403676</c:v>
                </c:pt>
                <c:pt idx="479">
                  <c:v>58.446093219714768</c:v>
                </c:pt>
                <c:pt idx="480">
                  <c:v>55.521449116673274</c:v>
                </c:pt>
                <c:pt idx="481">
                  <c:v>51.790583245246893</c:v>
                </c:pt>
                <c:pt idx="482">
                  <c:v>52.532339200233181</c:v>
                </c:pt>
                <c:pt idx="483">
                  <c:v>57.078868646865942</c:v>
                </c:pt>
                <c:pt idx="484">
                  <c:v>57.024101384800673</c:v>
                </c:pt>
                <c:pt idx="485">
                  <c:v>58.097887915853974</c:v>
                </c:pt>
                <c:pt idx="486">
                  <c:v>59.247505849322664</c:v>
                </c:pt>
                <c:pt idx="487">
                  <c:v>61.179747407357986</c:v>
                </c:pt>
                <c:pt idx="488">
                  <c:v>58.545255853254979</c:v>
                </c:pt>
                <c:pt idx="489">
                  <c:v>56.508578895175852</c:v>
                </c:pt>
                <c:pt idx="490">
                  <c:v>55.701678108518642</c:v>
                </c:pt>
                <c:pt idx="491">
                  <c:v>48.635332268142889</c:v>
                </c:pt>
                <c:pt idx="492">
                  <c:v>48.813985175523683</c:v>
                </c:pt>
                <c:pt idx="493">
                  <c:v>45.333026528172773</c:v>
                </c:pt>
                <c:pt idx="49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2-4F23-AB8A-DA6375CBA421}"/>
            </c:ext>
          </c:extLst>
        </c:ser>
        <c:ser>
          <c:idx val="2"/>
          <c:order val="2"/>
          <c:tx>
            <c:strRef>
              <c:f>ConEd!$J$1</c:f>
              <c:strCache>
                <c:ptCount val="1"/>
                <c:pt idx="0">
                  <c:v>OverSold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ConEd!$A$2:$A$496</c:f>
              <c:numCache>
                <c:formatCode>m/d/yyyy</c:formatCode>
                <c:ptCount val="49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</c:numCache>
            </c:numRef>
          </c:cat>
          <c:val>
            <c:numRef>
              <c:f>ConEd!$J$2:$J$496</c:f>
              <c:numCache>
                <c:formatCode>General</c:formatCode>
                <c:ptCount val="495"/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82-4F23-AB8A-DA6375CBA421}"/>
            </c:ext>
          </c:extLst>
        </c:ser>
        <c:ser>
          <c:idx val="3"/>
          <c:order val="3"/>
          <c:tx>
            <c:strRef>
              <c:f>ConEd!$K$1</c:f>
              <c:strCache>
                <c:ptCount val="1"/>
                <c:pt idx="0">
                  <c:v>OverBought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ConEd!$A$2:$A$496</c:f>
              <c:numCache>
                <c:formatCode>m/d/yyyy</c:formatCode>
                <c:ptCount val="49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</c:numCache>
            </c:numRef>
          </c:cat>
          <c:val>
            <c:numRef>
              <c:f>ConEd!$K$2:$K$496</c:f>
              <c:numCache>
                <c:formatCode>General</c:formatCode>
                <c:ptCount val="495"/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82-4F23-AB8A-DA6375CBA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368047"/>
        <c:axId val="331368527"/>
      </c:lineChart>
      <c:dateAx>
        <c:axId val="3313680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368527"/>
        <c:crosses val="autoZero"/>
        <c:auto val="1"/>
        <c:lblOffset val="100"/>
        <c:baseTimeUnit val="days"/>
      </c:dateAx>
      <c:valAx>
        <c:axId val="33136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368047"/>
        <c:crosses val="autoZero"/>
        <c:crossBetween val="between"/>
      </c:valAx>
      <c:valAx>
        <c:axId val="1718386447"/>
        <c:scaling>
          <c:orientation val="minMax"/>
        </c:scaling>
        <c:delete val="0"/>
        <c:axPos val="r"/>
        <c:numFmt formatCode="_([$$-409]* #,##0.00_);_([$$-409]* \(#,##0.00\);_([$$-409]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385487"/>
        <c:crosses val="max"/>
        <c:crossBetween val="between"/>
      </c:valAx>
      <c:dateAx>
        <c:axId val="171838548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8386447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 Ed Closing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ConEd!$B$1</c:f>
              <c:strCache>
                <c:ptCount val="1"/>
                <c:pt idx="0">
                  <c:v>Close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ConEd!$A$2:$A$496</c:f>
              <c:numCache>
                <c:formatCode>m/d/yyyy</c:formatCode>
                <c:ptCount val="49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</c:numCache>
            </c:numRef>
          </c:cat>
          <c:val>
            <c:numRef>
              <c:f>ConEd!$B$2:$B$496</c:f>
              <c:numCache>
                <c:formatCode>_([$$-409]* #,##0.00_);_([$$-409]* \(#,##0.00\);_([$$-409]* "-"??_);_(@_)</c:formatCode>
                <c:ptCount val="495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0-49FF-B302-22BE7AD4D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29776399"/>
        <c:axId val="529773039"/>
      </c:lineChart>
      <c:dateAx>
        <c:axId val="5297763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73039"/>
        <c:crosses val="autoZero"/>
        <c:auto val="1"/>
        <c:lblOffset val="100"/>
        <c:baseTimeUnit val="days"/>
      </c:dateAx>
      <c:valAx>
        <c:axId val="529773039"/>
        <c:scaling>
          <c:orientation val="minMax"/>
          <c:min val="125"/>
        </c:scaling>
        <c:delete val="0"/>
        <c:axPos val="l"/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7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 ED RSI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ConEd!$I$1:$I$15</c:f>
              <c:strCache>
                <c:ptCount val="15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ConEd!$A$16:$A$496</c:f>
              <c:numCache>
                <c:formatCode>m/d/yyyy</c:formatCode>
                <c:ptCount val="481"/>
                <c:pt idx="0">
                  <c:v>45314</c:v>
                </c:pt>
                <c:pt idx="1">
                  <c:v>45315</c:v>
                </c:pt>
                <c:pt idx="2">
                  <c:v>45316</c:v>
                </c:pt>
                <c:pt idx="3">
                  <c:v>45317</c:v>
                </c:pt>
                <c:pt idx="4">
                  <c:v>45320</c:v>
                </c:pt>
                <c:pt idx="5">
                  <c:v>45321</c:v>
                </c:pt>
                <c:pt idx="6">
                  <c:v>45322</c:v>
                </c:pt>
                <c:pt idx="7">
                  <c:v>45323</c:v>
                </c:pt>
                <c:pt idx="8">
                  <c:v>45324</c:v>
                </c:pt>
                <c:pt idx="9">
                  <c:v>45327</c:v>
                </c:pt>
                <c:pt idx="10">
                  <c:v>45328</c:v>
                </c:pt>
                <c:pt idx="11">
                  <c:v>45329</c:v>
                </c:pt>
                <c:pt idx="12">
                  <c:v>45330</c:v>
                </c:pt>
                <c:pt idx="13">
                  <c:v>45331</c:v>
                </c:pt>
                <c:pt idx="14">
                  <c:v>45334</c:v>
                </c:pt>
                <c:pt idx="15">
                  <c:v>45335</c:v>
                </c:pt>
                <c:pt idx="16">
                  <c:v>45336</c:v>
                </c:pt>
                <c:pt idx="17">
                  <c:v>45337</c:v>
                </c:pt>
                <c:pt idx="18">
                  <c:v>45338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45348</c:v>
                </c:pt>
                <c:pt idx="24">
                  <c:v>45349</c:v>
                </c:pt>
                <c:pt idx="25">
                  <c:v>45350</c:v>
                </c:pt>
                <c:pt idx="26">
                  <c:v>45351</c:v>
                </c:pt>
                <c:pt idx="27">
                  <c:v>45352</c:v>
                </c:pt>
                <c:pt idx="28">
                  <c:v>45355</c:v>
                </c:pt>
                <c:pt idx="29">
                  <c:v>45356</c:v>
                </c:pt>
                <c:pt idx="30">
                  <c:v>45357</c:v>
                </c:pt>
                <c:pt idx="31">
                  <c:v>45358</c:v>
                </c:pt>
                <c:pt idx="32">
                  <c:v>45359</c:v>
                </c:pt>
                <c:pt idx="33">
                  <c:v>45362</c:v>
                </c:pt>
                <c:pt idx="34">
                  <c:v>45363</c:v>
                </c:pt>
                <c:pt idx="35">
                  <c:v>45364</c:v>
                </c:pt>
                <c:pt idx="36">
                  <c:v>45365</c:v>
                </c:pt>
                <c:pt idx="37">
                  <c:v>45366</c:v>
                </c:pt>
                <c:pt idx="38">
                  <c:v>45369</c:v>
                </c:pt>
                <c:pt idx="39">
                  <c:v>45370</c:v>
                </c:pt>
                <c:pt idx="40">
                  <c:v>45371</c:v>
                </c:pt>
                <c:pt idx="41">
                  <c:v>45372</c:v>
                </c:pt>
                <c:pt idx="42">
                  <c:v>45373</c:v>
                </c:pt>
                <c:pt idx="43">
                  <c:v>45376</c:v>
                </c:pt>
                <c:pt idx="44">
                  <c:v>45377</c:v>
                </c:pt>
                <c:pt idx="45">
                  <c:v>45378</c:v>
                </c:pt>
                <c:pt idx="46">
                  <c:v>45379</c:v>
                </c:pt>
                <c:pt idx="47">
                  <c:v>45383</c:v>
                </c:pt>
                <c:pt idx="48">
                  <c:v>45384</c:v>
                </c:pt>
                <c:pt idx="49">
                  <c:v>45385</c:v>
                </c:pt>
                <c:pt idx="50">
                  <c:v>45386</c:v>
                </c:pt>
                <c:pt idx="51">
                  <c:v>45387</c:v>
                </c:pt>
                <c:pt idx="52">
                  <c:v>45390</c:v>
                </c:pt>
                <c:pt idx="53">
                  <c:v>45391</c:v>
                </c:pt>
                <c:pt idx="54">
                  <c:v>45392</c:v>
                </c:pt>
                <c:pt idx="55">
                  <c:v>45393</c:v>
                </c:pt>
                <c:pt idx="56">
                  <c:v>45394</c:v>
                </c:pt>
                <c:pt idx="57">
                  <c:v>45397</c:v>
                </c:pt>
                <c:pt idx="58">
                  <c:v>45398</c:v>
                </c:pt>
                <c:pt idx="59">
                  <c:v>45399</c:v>
                </c:pt>
                <c:pt idx="60">
                  <c:v>45400</c:v>
                </c:pt>
                <c:pt idx="61">
                  <c:v>45401</c:v>
                </c:pt>
                <c:pt idx="62">
                  <c:v>45404</c:v>
                </c:pt>
                <c:pt idx="63">
                  <c:v>45405</c:v>
                </c:pt>
                <c:pt idx="64">
                  <c:v>45406</c:v>
                </c:pt>
                <c:pt idx="65">
                  <c:v>45407</c:v>
                </c:pt>
                <c:pt idx="66">
                  <c:v>45408</c:v>
                </c:pt>
                <c:pt idx="67">
                  <c:v>45411</c:v>
                </c:pt>
                <c:pt idx="68">
                  <c:v>45412</c:v>
                </c:pt>
                <c:pt idx="69">
                  <c:v>45413</c:v>
                </c:pt>
                <c:pt idx="70">
                  <c:v>45414</c:v>
                </c:pt>
                <c:pt idx="71">
                  <c:v>45415</c:v>
                </c:pt>
                <c:pt idx="72">
                  <c:v>45418</c:v>
                </c:pt>
                <c:pt idx="73">
                  <c:v>45419</c:v>
                </c:pt>
                <c:pt idx="74">
                  <c:v>45420</c:v>
                </c:pt>
                <c:pt idx="75">
                  <c:v>45421</c:v>
                </c:pt>
                <c:pt idx="76">
                  <c:v>45422</c:v>
                </c:pt>
                <c:pt idx="77">
                  <c:v>45425</c:v>
                </c:pt>
                <c:pt idx="78">
                  <c:v>45426</c:v>
                </c:pt>
                <c:pt idx="79">
                  <c:v>45427</c:v>
                </c:pt>
                <c:pt idx="80">
                  <c:v>45428</c:v>
                </c:pt>
                <c:pt idx="81">
                  <c:v>45429</c:v>
                </c:pt>
                <c:pt idx="82">
                  <c:v>45432</c:v>
                </c:pt>
                <c:pt idx="83">
                  <c:v>45433</c:v>
                </c:pt>
                <c:pt idx="84">
                  <c:v>45434</c:v>
                </c:pt>
                <c:pt idx="85">
                  <c:v>45435</c:v>
                </c:pt>
                <c:pt idx="86">
                  <c:v>45436</c:v>
                </c:pt>
                <c:pt idx="87">
                  <c:v>45440</c:v>
                </c:pt>
                <c:pt idx="88">
                  <c:v>45441</c:v>
                </c:pt>
                <c:pt idx="89">
                  <c:v>45442</c:v>
                </c:pt>
                <c:pt idx="90">
                  <c:v>45443</c:v>
                </c:pt>
                <c:pt idx="91">
                  <c:v>45446</c:v>
                </c:pt>
                <c:pt idx="92">
                  <c:v>45447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45453</c:v>
                </c:pt>
                <c:pt idx="97">
                  <c:v>45454</c:v>
                </c:pt>
                <c:pt idx="98">
                  <c:v>45455</c:v>
                </c:pt>
                <c:pt idx="99">
                  <c:v>45456</c:v>
                </c:pt>
                <c:pt idx="100">
                  <c:v>45457</c:v>
                </c:pt>
                <c:pt idx="101">
                  <c:v>45460</c:v>
                </c:pt>
                <c:pt idx="102">
                  <c:v>45461</c:v>
                </c:pt>
                <c:pt idx="103">
                  <c:v>45463</c:v>
                </c:pt>
                <c:pt idx="104">
                  <c:v>45464</c:v>
                </c:pt>
                <c:pt idx="105">
                  <c:v>45467</c:v>
                </c:pt>
                <c:pt idx="106">
                  <c:v>45468</c:v>
                </c:pt>
                <c:pt idx="107">
                  <c:v>45469</c:v>
                </c:pt>
                <c:pt idx="108">
                  <c:v>45470</c:v>
                </c:pt>
                <c:pt idx="109">
                  <c:v>45471</c:v>
                </c:pt>
                <c:pt idx="110">
                  <c:v>45474</c:v>
                </c:pt>
                <c:pt idx="111">
                  <c:v>45475</c:v>
                </c:pt>
                <c:pt idx="112">
                  <c:v>45476</c:v>
                </c:pt>
                <c:pt idx="113">
                  <c:v>45478</c:v>
                </c:pt>
                <c:pt idx="114">
                  <c:v>45481</c:v>
                </c:pt>
                <c:pt idx="115">
                  <c:v>45482</c:v>
                </c:pt>
                <c:pt idx="116">
                  <c:v>45483</c:v>
                </c:pt>
                <c:pt idx="117">
                  <c:v>45484</c:v>
                </c:pt>
                <c:pt idx="118">
                  <c:v>45485</c:v>
                </c:pt>
                <c:pt idx="119">
                  <c:v>45488</c:v>
                </c:pt>
                <c:pt idx="120">
                  <c:v>45489</c:v>
                </c:pt>
                <c:pt idx="121">
                  <c:v>45490</c:v>
                </c:pt>
                <c:pt idx="122">
                  <c:v>45491</c:v>
                </c:pt>
                <c:pt idx="123">
                  <c:v>45492</c:v>
                </c:pt>
                <c:pt idx="124">
                  <c:v>45495</c:v>
                </c:pt>
                <c:pt idx="125">
                  <c:v>45496</c:v>
                </c:pt>
                <c:pt idx="126">
                  <c:v>45497</c:v>
                </c:pt>
                <c:pt idx="127">
                  <c:v>45498</c:v>
                </c:pt>
                <c:pt idx="128">
                  <c:v>45499</c:v>
                </c:pt>
                <c:pt idx="129">
                  <c:v>45502</c:v>
                </c:pt>
                <c:pt idx="130">
                  <c:v>45503</c:v>
                </c:pt>
                <c:pt idx="131">
                  <c:v>45504</c:v>
                </c:pt>
                <c:pt idx="132">
                  <c:v>45505</c:v>
                </c:pt>
                <c:pt idx="133">
                  <c:v>45506</c:v>
                </c:pt>
                <c:pt idx="134">
                  <c:v>45509</c:v>
                </c:pt>
                <c:pt idx="135">
                  <c:v>45510</c:v>
                </c:pt>
                <c:pt idx="136">
                  <c:v>45511</c:v>
                </c:pt>
                <c:pt idx="137">
                  <c:v>45512</c:v>
                </c:pt>
                <c:pt idx="138">
                  <c:v>45513</c:v>
                </c:pt>
                <c:pt idx="139">
                  <c:v>45516</c:v>
                </c:pt>
                <c:pt idx="140">
                  <c:v>45517</c:v>
                </c:pt>
                <c:pt idx="141">
                  <c:v>45518</c:v>
                </c:pt>
                <c:pt idx="142">
                  <c:v>45519</c:v>
                </c:pt>
                <c:pt idx="143">
                  <c:v>45520</c:v>
                </c:pt>
                <c:pt idx="144">
                  <c:v>45523</c:v>
                </c:pt>
                <c:pt idx="145">
                  <c:v>45524</c:v>
                </c:pt>
                <c:pt idx="146">
                  <c:v>45525</c:v>
                </c:pt>
                <c:pt idx="147">
                  <c:v>45526</c:v>
                </c:pt>
                <c:pt idx="148">
                  <c:v>45527</c:v>
                </c:pt>
                <c:pt idx="149">
                  <c:v>45530</c:v>
                </c:pt>
                <c:pt idx="150">
                  <c:v>45531</c:v>
                </c:pt>
                <c:pt idx="151">
                  <c:v>45532</c:v>
                </c:pt>
                <c:pt idx="152">
                  <c:v>45533</c:v>
                </c:pt>
                <c:pt idx="153">
                  <c:v>45534</c:v>
                </c:pt>
                <c:pt idx="154">
                  <c:v>45538</c:v>
                </c:pt>
                <c:pt idx="155">
                  <c:v>45539</c:v>
                </c:pt>
                <c:pt idx="156">
                  <c:v>45540</c:v>
                </c:pt>
                <c:pt idx="157">
                  <c:v>45541</c:v>
                </c:pt>
                <c:pt idx="158">
                  <c:v>45544</c:v>
                </c:pt>
                <c:pt idx="159">
                  <c:v>45545</c:v>
                </c:pt>
                <c:pt idx="160">
                  <c:v>45546</c:v>
                </c:pt>
                <c:pt idx="161">
                  <c:v>45547</c:v>
                </c:pt>
                <c:pt idx="162">
                  <c:v>45548</c:v>
                </c:pt>
                <c:pt idx="163">
                  <c:v>45551</c:v>
                </c:pt>
                <c:pt idx="164">
                  <c:v>45552</c:v>
                </c:pt>
                <c:pt idx="165">
                  <c:v>45553</c:v>
                </c:pt>
                <c:pt idx="166">
                  <c:v>45554</c:v>
                </c:pt>
                <c:pt idx="167">
                  <c:v>45555</c:v>
                </c:pt>
                <c:pt idx="168">
                  <c:v>45558</c:v>
                </c:pt>
                <c:pt idx="169">
                  <c:v>45559</c:v>
                </c:pt>
                <c:pt idx="170">
                  <c:v>45560</c:v>
                </c:pt>
                <c:pt idx="171">
                  <c:v>45561</c:v>
                </c:pt>
                <c:pt idx="172">
                  <c:v>45562</c:v>
                </c:pt>
                <c:pt idx="173">
                  <c:v>45565</c:v>
                </c:pt>
                <c:pt idx="174">
                  <c:v>45566</c:v>
                </c:pt>
                <c:pt idx="175">
                  <c:v>45567</c:v>
                </c:pt>
                <c:pt idx="176">
                  <c:v>45568</c:v>
                </c:pt>
                <c:pt idx="177">
                  <c:v>45569</c:v>
                </c:pt>
                <c:pt idx="178">
                  <c:v>45572</c:v>
                </c:pt>
                <c:pt idx="179">
                  <c:v>45573</c:v>
                </c:pt>
                <c:pt idx="180">
                  <c:v>45574</c:v>
                </c:pt>
                <c:pt idx="181">
                  <c:v>45575</c:v>
                </c:pt>
                <c:pt idx="182">
                  <c:v>45576</c:v>
                </c:pt>
                <c:pt idx="183">
                  <c:v>45579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45586</c:v>
                </c:pt>
                <c:pt idx="189">
                  <c:v>45587</c:v>
                </c:pt>
                <c:pt idx="190">
                  <c:v>45588</c:v>
                </c:pt>
                <c:pt idx="191">
                  <c:v>45589</c:v>
                </c:pt>
                <c:pt idx="192">
                  <c:v>45590</c:v>
                </c:pt>
                <c:pt idx="193">
                  <c:v>45593</c:v>
                </c:pt>
                <c:pt idx="194">
                  <c:v>45594</c:v>
                </c:pt>
                <c:pt idx="195">
                  <c:v>45595</c:v>
                </c:pt>
                <c:pt idx="196">
                  <c:v>45596</c:v>
                </c:pt>
                <c:pt idx="197">
                  <c:v>45597</c:v>
                </c:pt>
                <c:pt idx="198">
                  <c:v>45600</c:v>
                </c:pt>
                <c:pt idx="199">
                  <c:v>45601</c:v>
                </c:pt>
                <c:pt idx="200">
                  <c:v>45602</c:v>
                </c:pt>
                <c:pt idx="201">
                  <c:v>45603</c:v>
                </c:pt>
                <c:pt idx="202">
                  <c:v>45604</c:v>
                </c:pt>
                <c:pt idx="203">
                  <c:v>45607</c:v>
                </c:pt>
                <c:pt idx="204">
                  <c:v>45608</c:v>
                </c:pt>
                <c:pt idx="205">
                  <c:v>45609</c:v>
                </c:pt>
                <c:pt idx="206">
                  <c:v>45610</c:v>
                </c:pt>
                <c:pt idx="207">
                  <c:v>45611</c:v>
                </c:pt>
                <c:pt idx="208">
                  <c:v>45614</c:v>
                </c:pt>
                <c:pt idx="209">
                  <c:v>45615</c:v>
                </c:pt>
                <c:pt idx="210">
                  <c:v>45616</c:v>
                </c:pt>
                <c:pt idx="211">
                  <c:v>45617</c:v>
                </c:pt>
                <c:pt idx="212">
                  <c:v>45618</c:v>
                </c:pt>
                <c:pt idx="213">
                  <c:v>45621</c:v>
                </c:pt>
                <c:pt idx="214">
                  <c:v>45622</c:v>
                </c:pt>
                <c:pt idx="215">
                  <c:v>45623</c:v>
                </c:pt>
                <c:pt idx="216">
                  <c:v>45625</c:v>
                </c:pt>
                <c:pt idx="217">
                  <c:v>45628</c:v>
                </c:pt>
                <c:pt idx="218">
                  <c:v>45629</c:v>
                </c:pt>
                <c:pt idx="219">
                  <c:v>45630</c:v>
                </c:pt>
                <c:pt idx="220">
                  <c:v>45631</c:v>
                </c:pt>
                <c:pt idx="221">
                  <c:v>45632</c:v>
                </c:pt>
                <c:pt idx="222">
                  <c:v>45635</c:v>
                </c:pt>
                <c:pt idx="223">
                  <c:v>45636</c:v>
                </c:pt>
                <c:pt idx="224">
                  <c:v>45637</c:v>
                </c:pt>
                <c:pt idx="225">
                  <c:v>45638</c:v>
                </c:pt>
                <c:pt idx="226">
                  <c:v>45639</c:v>
                </c:pt>
                <c:pt idx="227">
                  <c:v>45642</c:v>
                </c:pt>
                <c:pt idx="228">
                  <c:v>45643</c:v>
                </c:pt>
                <c:pt idx="229">
                  <c:v>45644</c:v>
                </c:pt>
                <c:pt idx="230">
                  <c:v>45645</c:v>
                </c:pt>
                <c:pt idx="231">
                  <c:v>45646</c:v>
                </c:pt>
                <c:pt idx="232">
                  <c:v>45649</c:v>
                </c:pt>
                <c:pt idx="233">
                  <c:v>45650</c:v>
                </c:pt>
                <c:pt idx="234">
                  <c:v>45652</c:v>
                </c:pt>
                <c:pt idx="235">
                  <c:v>45653</c:v>
                </c:pt>
                <c:pt idx="236">
                  <c:v>45656</c:v>
                </c:pt>
                <c:pt idx="237">
                  <c:v>45657</c:v>
                </c:pt>
                <c:pt idx="238">
                  <c:v>45659</c:v>
                </c:pt>
                <c:pt idx="239">
                  <c:v>45660</c:v>
                </c:pt>
                <c:pt idx="240">
                  <c:v>45663</c:v>
                </c:pt>
                <c:pt idx="241">
                  <c:v>45664</c:v>
                </c:pt>
                <c:pt idx="242">
                  <c:v>45665</c:v>
                </c:pt>
                <c:pt idx="243">
                  <c:v>45667</c:v>
                </c:pt>
                <c:pt idx="244">
                  <c:v>45670</c:v>
                </c:pt>
                <c:pt idx="245">
                  <c:v>45671</c:v>
                </c:pt>
                <c:pt idx="246">
                  <c:v>45672</c:v>
                </c:pt>
                <c:pt idx="247">
                  <c:v>45673</c:v>
                </c:pt>
                <c:pt idx="248">
                  <c:v>45674</c:v>
                </c:pt>
                <c:pt idx="249">
                  <c:v>45678</c:v>
                </c:pt>
                <c:pt idx="250">
                  <c:v>45679</c:v>
                </c:pt>
                <c:pt idx="251">
                  <c:v>45680</c:v>
                </c:pt>
                <c:pt idx="252">
                  <c:v>45681</c:v>
                </c:pt>
                <c:pt idx="253">
                  <c:v>45684</c:v>
                </c:pt>
                <c:pt idx="254">
                  <c:v>45685</c:v>
                </c:pt>
                <c:pt idx="255">
                  <c:v>45686</c:v>
                </c:pt>
                <c:pt idx="256">
                  <c:v>45687</c:v>
                </c:pt>
                <c:pt idx="257">
                  <c:v>45688</c:v>
                </c:pt>
                <c:pt idx="258">
                  <c:v>45691</c:v>
                </c:pt>
                <c:pt idx="259">
                  <c:v>45692</c:v>
                </c:pt>
                <c:pt idx="260">
                  <c:v>45693</c:v>
                </c:pt>
                <c:pt idx="261">
                  <c:v>45694</c:v>
                </c:pt>
                <c:pt idx="262">
                  <c:v>45695</c:v>
                </c:pt>
                <c:pt idx="263">
                  <c:v>45698</c:v>
                </c:pt>
                <c:pt idx="264">
                  <c:v>45699</c:v>
                </c:pt>
                <c:pt idx="265">
                  <c:v>45700</c:v>
                </c:pt>
                <c:pt idx="266">
                  <c:v>45701</c:v>
                </c:pt>
                <c:pt idx="267">
                  <c:v>45702</c:v>
                </c:pt>
                <c:pt idx="268">
                  <c:v>45706</c:v>
                </c:pt>
                <c:pt idx="269">
                  <c:v>45707</c:v>
                </c:pt>
                <c:pt idx="270">
                  <c:v>45708</c:v>
                </c:pt>
                <c:pt idx="271">
                  <c:v>45709</c:v>
                </c:pt>
                <c:pt idx="272">
                  <c:v>45712</c:v>
                </c:pt>
                <c:pt idx="273">
                  <c:v>45713</c:v>
                </c:pt>
                <c:pt idx="274">
                  <c:v>45714</c:v>
                </c:pt>
                <c:pt idx="275">
                  <c:v>45715</c:v>
                </c:pt>
                <c:pt idx="276">
                  <c:v>45716</c:v>
                </c:pt>
                <c:pt idx="277">
                  <c:v>45719</c:v>
                </c:pt>
                <c:pt idx="278">
                  <c:v>45720</c:v>
                </c:pt>
                <c:pt idx="279">
                  <c:v>45721</c:v>
                </c:pt>
                <c:pt idx="280">
                  <c:v>45722</c:v>
                </c:pt>
                <c:pt idx="281">
                  <c:v>45723</c:v>
                </c:pt>
                <c:pt idx="282">
                  <c:v>45726</c:v>
                </c:pt>
                <c:pt idx="283">
                  <c:v>45727</c:v>
                </c:pt>
                <c:pt idx="284">
                  <c:v>45728</c:v>
                </c:pt>
                <c:pt idx="285">
                  <c:v>45729</c:v>
                </c:pt>
                <c:pt idx="286">
                  <c:v>45730</c:v>
                </c:pt>
                <c:pt idx="287">
                  <c:v>45733</c:v>
                </c:pt>
                <c:pt idx="288">
                  <c:v>45734</c:v>
                </c:pt>
                <c:pt idx="289">
                  <c:v>45735</c:v>
                </c:pt>
                <c:pt idx="290">
                  <c:v>45736</c:v>
                </c:pt>
                <c:pt idx="291">
                  <c:v>45737</c:v>
                </c:pt>
                <c:pt idx="292">
                  <c:v>45740</c:v>
                </c:pt>
                <c:pt idx="293">
                  <c:v>45741</c:v>
                </c:pt>
                <c:pt idx="294">
                  <c:v>45742</c:v>
                </c:pt>
                <c:pt idx="295">
                  <c:v>45743</c:v>
                </c:pt>
                <c:pt idx="296">
                  <c:v>45744</c:v>
                </c:pt>
                <c:pt idx="297">
                  <c:v>45747</c:v>
                </c:pt>
                <c:pt idx="298">
                  <c:v>45748</c:v>
                </c:pt>
                <c:pt idx="299">
                  <c:v>45749</c:v>
                </c:pt>
                <c:pt idx="300">
                  <c:v>45750</c:v>
                </c:pt>
                <c:pt idx="301">
                  <c:v>45751</c:v>
                </c:pt>
                <c:pt idx="302">
                  <c:v>45754</c:v>
                </c:pt>
                <c:pt idx="303">
                  <c:v>45755</c:v>
                </c:pt>
                <c:pt idx="304">
                  <c:v>45756</c:v>
                </c:pt>
                <c:pt idx="305">
                  <c:v>45757</c:v>
                </c:pt>
                <c:pt idx="306">
                  <c:v>45758</c:v>
                </c:pt>
                <c:pt idx="307">
                  <c:v>45761</c:v>
                </c:pt>
                <c:pt idx="308">
                  <c:v>45762</c:v>
                </c:pt>
                <c:pt idx="309">
                  <c:v>45763</c:v>
                </c:pt>
                <c:pt idx="310">
                  <c:v>45764</c:v>
                </c:pt>
                <c:pt idx="311">
                  <c:v>45768</c:v>
                </c:pt>
                <c:pt idx="312">
                  <c:v>45769</c:v>
                </c:pt>
                <c:pt idx="313">
                  <c:v>45770</c:v>
                </c:pt>
                <c:pt idx="314">
                  <c:v>45771</c:v>
                </c:pt>
                <c:pt idx="315">
                  <c:v>45772</c:v>
                </c:pt>
                <c:pt idx="316">
                  <c:v>45775</c:v>
                </c:pt>
                <c:pt idx="317">
                  <c:v>45776</c:v>
                </c:pt>
                <c:pt idx="318">
                  <c:v>45777</c:v>
                </c:pt>
                <c:pt idx="319">
                  <c:v>45778</c:v>
                </c:pt>
                <c:pt idx="320">
                  <c:v>45779</c:v>
                </c:pt>
                <c:pt idx="321">
                  <c:v>45782</c:v>
                </c:pt>
                <c:pt idx="322">
                  <c:v>45783</c:v>
                </c:pt>
                <c:pt idx="323">
                  <c:v>45784</c:v>
                </c:pt>
                <c:pt idx="324">
                  <c:v>45785</c:v>
                </c:pt>
                <c:pt idx="325">
                  <c:v>45786</c:v>
                </c:pt>
                <c:pt idx="326">
                  <c:v>45789</c:v>
                </c:pt>
                <c:pt idx="327">
                  <c:v>45790</c:v>
                </c:pt>
                <c:pt idx="328">
                  <c:v>45791</c:v>
                </c:pt>
                <c:pt idx="329">
                  <c:v>45792</c:v>
                </c:pt>
                <c:pt idx="330">
                  <c:v>45793</c:v>
                </c:pt>
                <c:pt idx="331">
                  <c:v>45796</c:v>
                </c:pt>
                <c:pt idx="332">
                  <c:v>45797</c:v>
                </c:pt>
                <c:pt idx="333">
                  <c:v>45798</c:v>
                </c:pt>
                <c:pt idx="334">
                  <c:v>45799</c:v>
                </c:pt>
                <c:pt idx="335">
                  <c:v>45800</c:v>
                </c:pt>
                <c:pt idx="336">
                  <c:v>45804</c:v>
                </c:pt>
                <c:pt idx="337">
                  <c:v>45805</c:v>
                </c:pt>
                <c:pt idx="338">
                  <c:v>45806</c:v>
                </c:pt>
                <c:pt idx="339">
                  <c:v>45807</c:v>
                </c:pt>
                <c:pt idx="340">
                  <c:v>45810</c:v>
                </c:pt>
                <c:pt idx="341">
                  <c:v>45811</c:v>
                </c:pt>
                <c:pt idx="342">
                  <c:v>45812</c:v>
                </c:pt>
                <c:pt idx="343">
                  <c:v>45813</c:v>
                </c:pt>
                <c:pt idx="344">
                  <c:v>45814</c:v>
                </c:pt>
                <c:pt idx="345">
                  <c:v>45817</c:v>
                </c:pt>
                <c:pt idx="346">
                  <c:v>45818</c:v>
                </c:pt>
                <c:pt idx="347">
                  <c:v>45819</c:v>
                </c:pt>
                <c:pt idx="348">
                  <c:v>45820</c:v>
                </c:pt>
                <c:pt idx="349">
                  <c:v>45821</c:v>
                </c:pt>
                <c:pt idx="350">
                  <c:v>45824</c:v>
                </c:pt>
                <c:pt idx="351">
                  <c:v>45825</c:v>
                </c:pt>
                <c:pt idx="352">
                  <c:v>45826</c:v>
                </c:pt>
                <c:pt idx="353">
                  <c:v>45828</c:v>
                </c:pt>
                <c:pt idx="354">
                  <c:v>45831</c:v>
                </c:pt>
                <c:pt idx="355">
                  <c:v>45832</c:v>
                </c:pt>
                <c:pt idx="356">
                  <c:v>45833</c:v>
                </c:pt>
                <c:pt idx="357">
                  <c:v>45834</c:v>
                </c:pt>
                <c:pt idx="358">
                  <c:v>45835</c:v>
                </c:pt>
                <c:pt idx="359">
                  <c:v>45838</c:v>
                </c:pt>
                <c:pt idx="360">
                  <c:v>45839</c:v>
                </c:pt>
                <c:pt idx="361">
                  <c:v>45840</c:v>
                </c:pt>
                <c:pt idx="362">
                  <c:v>45841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45852</c:v>
                </c:pt>
                <c:pt idx="369">
                  <c:v>45853</c:v>
                </c:pt>
                <c:pt idx="370">
                  <c:v>45854</c:v>
                </c:pt>
                <c:pt idx="371">
                  <c:v>45855</c:v>
                </c:pt>
                <c:pt idx="372">
                  <c:v>45856</c:v>
                </c:pt>
                <c:pt idx="373">
                  <c:v>45859</c:v>
                </c:pt>
                <c:pt idx="374">
                  <c:v>45860</c:v>
                </c:pt>
                <c:pt idx="375">
                  <c:v>45861</c:v>
                </c:pt>
                <c:pt idx="376">
                  <c:v>45862</c:v>
                </c:pt>
                <c:pt idx="377">
                  <c:v>45863</c:v>
                </c:pt>
                <c:pt idx="378">
                  <c:v>45866</c:v>
                </c:pt>
                <c:pt idx="379">
                  <c:v>45867</c:v>
                </c:pt>
                <c:pt idx="380">
                  <c:v>45868</c:v>
                </c:pt>
                <c:pt idx="381">
                  <c:v>45869</c:v>
                </c:pt>
                <c:pt idx="382">
                  <c:v>45870</c:v>
                </c:pt>
                <c:pt idx="383">
                  <c:v>45873</c:v>
                </c:pt>
                <c:pt idx="384">
                  <c:v>45874</c:v>
                </c:pt>
                <c:pt idx="385">
                  <c:v>45875</c:v>
                </c:pt>
                <c:pt idx="386">
                  <c:v>45876</c:v>
                </c:pt>
                <c:pt idx="387">
                  <c:v>45877</c:v>
                </c:pt>
                <c:pt idx="388">
                  <c:v>45880</c:v>
                </c:pt>
                <c:pt idx="389">
                  <c:v>45881</c:v>
                </c:pt>
                <c:pt idx="390">
                  <c:v>45882</c:v>
                </c:pt>
                <c:pt idx="391">
                  <c:v>45883</c:v>
                </c:pt>
                <c:pt idx="392">
                  <c:v>45884</c:v>
                </c:pt>
                <c:pt idx="393">
                  <c:v>45887</c:v>
                </c:pt>
                <c:pt idx="394">
                  <c:v>45888</c:v>
                </c:pt>
                <c:pt idx="395">
                  <c:v>45889</c:v>
                </c:pt>
                <c:pt idx="396">
                  <c:v>45890</c:v>
                </c:pt>
                <c:pt idx="397">
                  <c:v>45891</c:v>
                </c:pt>
                <c:pt idx="398">
                  <c:v>45894</c:v>
                </c:pt>
                <c:pt idx="399">
                  <c:v>45895</c:v>
                </c:pt>
                <c:pt idx="400">
                  <c:v>45896</c:v>
                </c:pt>
                <c:pt idx="401">
                  <c:v>45897</c:v>
                </c:pt>
                <c:pt idx="402">
                  <c:v>45898</c:v>
                </c:pt>
                <c:pt idx="403">
                  <c:v>45902</c:v>
                </c:pt>
                <c:pt idx="404">
                  <c:v>45903</c:v>
                </c:pt>
                <c:pt idx="405">
                  <c:v>45904</c:v>
                </c:pt>
                <c:pt idx="406">
                  <c:v>45905</c:v>
                </c:pt>
                <c:pt idx="407">
                  <c:v>45908</c:v>
                </c:pt>
                <c:pt idx="408">
                  <c:v>45909</c:v>
                </c:pt>
                <c:pt idx="409">
                  <c:v>45910</c:v>
                </c:pt>
                <c:pt idx="410">
                  <c:v>45911</c:v>
                </c:pt>
                <c:pt idx="411">
                  <c:v>45912</c:v>
                </c:pt>
                <c:pt idx="412">
                  <c:v>45915</c:v>
                </c:pt>
                <c:pt idx="413">
                  <c:v>45916</c:v>
                </c:pt>
                <c:pt idx="414">
                  <c:v>45917</c:v>
                </c:pt>
                <c:pt idx="415">
                  <c:v>45918</c:v>
                </c:pt>
                <c:pt idx="416">
                  <c:v>45919</c:v>
                </c:pt>
                <c:pt idx="417">
                  <c:v>45922</c:v>
                </c:pt>
                <c:pt idx="418">
                  <c:v>45923</c:v>
                </c:pt>
                <c:pt idx="419">
                  <c:v>45924</c:v>
                </c:pt>
                <c:pt idx="420">
                  <c:v>45925</c:v>
                </c:pt>
                <c:pt idx="421">
                  <c:v>45926</c:v>
                </c:pt>
                <c:pt idx="422">
                  <c:v>45929</c:v>
                </c:pt>
                <c:pt idx="423">
                  <c:v>45930</c:v>
                </c:pt>
                <c:pt idx="424">
                  <c:v>45931</c:v>
                </c:pt>
                <c:pt idx="425">
                  <c:v>45932</c:v>
                </c:pt>
                <c:pt idx="426">
                  <c:v>45933</c:v>
                </c:pt>
                <c:pt idx="427">
                  <c:v>45936</c:v>
                </c:pt>
                <c:pt idx="428">
                  <c:v>45937</c:v>
                </c:pt>
                <c:pt idx="429">
                  <c:v>45938</c:v>
                </c:pt>
                <c:pt idx="430">
                  <c:v>45939</c:v>
                </c:pt>
                <c:pt idx="431">
                  <c:v>45940</c:v>
                </c:pt>
                <c:pt idx="432">
                  <c:v>45943</c:v>
                </c:pt>
                <c:pt idx="433">
                  <c:v>45944</c:v>
                </c:pt>
                <c:pt idx="434">
                  <c:v>45945</c:v>
                </c:pt>
                <c:pt idx="435">
                  <c:v>45946</c:v>
                </c:pt>
                <c:pt idx="436">
                  <c:v>45947</c:v>
                </c:pt>
                <c:pt idx="437">
                  <c:v>45950</c:v>
                </c:pt>
                <c:pt idx="438">
                  <c:v>45951</c:v>
                </c:pt>
                <c:pt idx="439">
                  <c:v>45952</c:v>
                </c:pt>
                <c:pt idx="440">
                  <c:v>45953</c:v>
                </c:pt>
                <c:pt idx="441">
                  <c:v>45954</c:v>
                </c:pt>
                <c:pt idx="442">
                  <c:v>45957</c:v>
                </c:pt>
                <c:pt idx="443">
                  <c:v>45958</c:v>
                </c:pt>
                <c:pt idx="444">
                  <c:v>45959</c:v>
                </c:pt>
                <c:pt idx="445">
                  <c:v>45960</c:v>
                </c:pt>
                <c:pt idx="446">
                  <c:v>45961</c:v>
                </c:pt>
                <c:pt idx="447">
                  <c:v>45964</c:v>
                </c:pt>
                <c:pt idx="448">
                  <c:v>45965</c:v>
                </c:pt>
                <c:pt idx="449">
                  <c:v>45966</c:v>
                </c:pt>
                <c:pt idx="450">
                  <c:v>45967</c:v>
                </c:pt>
                <c:pt idx="451">
                  <c:v>45968</c:v>
                </c:pt>
                <c:pt idx="452">
                  <c:v>45971</c:v>
                </c:pt>
                <c:pt idx="453">
                  <c:v>45972</c:v>
                </c:pt>
                <c:pt idx="454">
                  <c:v>45973</c:v>
                </c:pt>
                <c:pt idx="455">
                  <c:v>45974</c:v>
                </c:pt>
                <c:pt idx="456">
                  <c:v>45975</c:v>
                </c:pt>
                <c:pt idx="457">
                  <c:v>45978</c:v>
                </c:pt>
                <c:pt idx="458">
                  <c:v>45979</c:v>
                </c:pt>
                <c:pt idx="459">
                  <c:v>45980</c:v>
                </c:pt>
                <c:pt idx="460">
                  <c:v>45981</c:v>
                </c:pt>
                <c:pt idx="461">
                  <c:v>45982</c:v>
                </c:pt>
                <c:pt idx="462">
                  <c:v>45985</c:v>
                </c:pt>
                <c:pt idx="463">
                  <c:v>45986</c:v>
                </c:pt>
                <c:pt idx="464">
                  <c:v>45987</c:v>
                </c:pt>
                <c:pt idx="465">
                  <c:v>45989</c:v>
                </c:pt>
                <c:pt idx="466">
                  <c:v>45992</c:v>
                </c:pt>
                <c:pt idx="467">
                  <c:v>45993</c:v>
                </c:pt>
                <c:pt idx="468">
                  <c:v>45994</c:v>
                </c:pt>
                <c:pt idx="469">
                  <c:v>45995</c:v>
                </c:pt>
                <c:pt idx="470">
                  <c:v>45996</c:v>
                </c:pt>
                <c:pt idx="471">
                  <c:v>45999</c:v>
                </c:pt>
                <c:pt idx="472">
                  <c:v>46000</c:v>
                </c:pt>
                <c:pt idx="473">
                  <c:v>46001</c:v>
                </c:pt>
                <c:pt idx="474">
                  <c:v>46002</c:v>
                </c:pt>
                <c:pt idx="475">
                  <c:v>46003</c:v>
                </c:pt>
                <c:pt idx="476">
                  <c:v>46006</c:v>
                </c:pt>
                <c:pt idx="477">
                  <c:v>46007</c:v>
                </c:pt>
                <c:pt idx="478">
                  <c:v>46008</c:v>
                </c:pt>
                <c:pt idx="479">
                  <c:v>46009</c:v>
                </c:pt>
                <c:pt idx="480">
                  <c:v>46010</c:v>
                </c:pt>
              </c:numCache>
            </c:numRef>
          </c:cat>
          <c:val>
            <c:numRef>
              <c:f>ConEd!$I$16:$I$496</c:f>
              <c:numCache>
                <c:formatCode>General</c:formatCode>
                <c:ptCount val="481"/>
                <c:pt idx="0">
                  <c:v>77.619893428063961</c:v>
                </c:pt>
                <c:pt idx="1">
                  <c:v>77.58279276203487</c:v>
                </c:pt>
                <c:pt idx="2">
                  <c:v>87.878211227402517</c:v>
                </c:pt>
                <c:pt idx="3">
                  <c:v>80.605529734310693</c:v>
                </c:pt>
                <c:pt idx="4">
                  <c:v>79.942750844400564</c:v>
                </c:pt>
                <c:pt idx="5">
                  <c:v>80.395348672617288</c:v>
                </c:pt>
                <c:pt idx="6">
                  <c:v>70.513119051330918</c:v>
                </c:pt>
                <c:pt idx="7">
                  <c:v>73.239382073158595</c:v>
                </c:pt>
                <c:pt idx="8">
                  <c:v>70.823482664796146</c:v>
                </c:pt>
                <c:pt idx="9">
                  <c:v>65.830379008349951</c:v>
                </c:pt>
                <c:pt idx="10">
                  <c:v>65.809296761676819</c:v>
                </c:pt>
                <c:pt idx="11">
                  <c:v>66.194050016858199</c:v>
                </c:pt>
                <c:pt idx="12">
                  <c:v>66.946629634956963</c:v>
                </c:pt>
                <c:pt idx="13">
                  <c:v>69.297311708024495</c:v>
                </c:pt>
                <c:pt idx="14">
                  <c:v>68.81815982513082</c:v>
                </c:pt>
                <c:pt idx="15">
                  <c:v>62.461665579524599</c:v>
                </c:pt>
                <c:pt idx="16">
                  <c:v>62.135044548608214</c:v>
                </c:pt>
                <c:pt idx="17">
                  <c:v>66.870871901346561</c:v>
                </c:pt>
                <c:pt idx="18">
                  <c:v>67.880335989998883</c:v>
                </c:pt>
                <c:pt idx="19">
                  <c:v>57.575082379654646</c:v>
                </c:pt>
                <c:pt idx="20">
                  <c:v>50.258162460172102</c:v>
                </c:pt>
                <c:pt idx="21">
                  <c:v>57.304528096382867</c:v>
                </c:pt>
                <c:pt idx="22">
                  <c:v>59.379324925991185</c:v>
                </c:pt>
                <c:pt idx="23">
                  <c:v>56.278067656710405</c:v>
                </c:pt>
                <c:pt idx="24">
                  <c:v>57.393385987156861</c:v>
                </c:pt>
                <c:pt idx="25">
                  <c:v>58.062838753885742</c:v>
                </c:pt>
                <c:pt idx="26">
                  <c:v>57.452415313617927</c:v>
                </c:pt>
                <c:pt idx="27">
                  <c:v>62.444547916890421</c:v>
                </c:pt>
                <c:pt idx="28">
                  <c:v>68.539126348332644</c:v>
                </c:pt>
                <c:pt idx="29">
                  <c:v>65.908358274050968</c:v>
                </c:pt>
                <c:pt idx="30">
                  <c:v>70.528819511289669</c:v>
                </c:pt>
                <c:pt idx="31">
                  <c:v>70.912029674031174</c:v>
                </c:pt>
                <c:pt idx="32">
                  <c:v>69.403091653977839</c:v>
                </c:pt>
                <c:pt idx="33">
                  <c:v>59.629430668471947</c:v>
                </c:pt>
                <c:pt idx="34">
                  <c:v>66.839332134846657</c:v>
                </c:pt>
                <c:pt idx="35">
                  <c:v>64.620680843048419</c:v>
                </c:pt>
                <c:pt idx="36">
                  <c:v>58.309574474880186</c:v>
                </c:pt>
                <c:pt idx="37">
                  <c:v>54.195729070432257</c:v>
                </c:pt>
                <c:pt idx="38">
                  <c:v>55.092115072758922</c:v>
                </c:pt>
                <c:pt idx="39">
                  <c:v>57.47711698203355</c:v>
                </c:pt>
                <c:pt idx="40">
                  <c:v>58.371753610019233</c:v>
                </c:pt>
                <c:pt idx="41">
                  <c:v>54.285126237242743</c:v>
                </c:pt>
                <c:pt idx="42">
                  <c:v>52.257741091686668</c:v>
                </c:pt>
                <c:pt idx="43">
                  <c:v>48.48630158832254</c:v>
                </c:pt>
                <c:pt idx="44">
                  <c:v>47.959004356380767</c:v>
                </c:pt>
                <c:pt idx="45">
                  <c:v>52.382052125222792</c:v>
                </c:pt>
                <c:pt idx="46">
                  <c:v>52.683329859725426</c:v>
                </c:pt>
                <c:pt idx="47">
                  <c:v>50.26452363860318</c:v>
                </c:pt>
                <c:pt idx="48">
                  <c:v>48.2585200549047</c:v>
                </c:pt>
                <c:pt idx="49">
                  <c:v>52.59106229152065</c:v>
                </c:pt>
                <c:pt idx="50">
                  <c:v>46.452856949548909</c:v>
                </c:pt>
                <c:pt idx="51">
                  <c:v>49.049158024568136</c:v>
                </c:pt>
                <c:pt idx="52">
                  <c:v>50.513419197859129</c:v>
                </c:pt>
                <c:pt idx="53">
                  <c:v>49.367499309623071</c:v>
                </c:pt>
                <c:pt idx="54">
                  <c:v>42.681724977682499</c:v>
                </c:pt>
                <c:pt idx="55">
                  <c:v>42.416866345469529</c:v>
                </c:pt>
                <c:pt idx="56">
                  <c:v>36.152541446963035</c:v>
                </c:pt>
                <c:pt idx="57">
                  <c:v>34.605987171030577</c:v>
                </c:pt>
                <c:pt idx="58">
                  <c:v>41.240773262385019</c:v>
                </c:pt>
                <c:pt idx="59">
                  <c:v>40.101551827529676</c:v>
                </c:pt>
                <c:pt idx="60">
                  <c:v>37.317646120961619</c:v>
                </c:pt>
                <c:pt idx="61">
                  <c:v>37.632307024811539</c:v>
                </c:pt>
                <c:pt idx="62">
                  <c:v>38.597962589103886</c:v>
                </c:pt>
                <c:pt idx="63">
                  <c:v>39.512001087207118</c:v>
                </c:pt>
                <c:pt idx="64">
                  <c:v>45.288688700076868</c:v>
                </c:pt>
                <c:pt idx="65">
                  <c:v>24.912161562291516</c:v>
                </c:pt>
                <c:pt idx="66">
                  <c:v>23.57367322329965</c:v>
                </c:pt>
                <c:pt idx="67">
                  <c:v>24.311776995769492</c:v>
                </c:pt>
                <c:pt idx="68">
                  <c:v>23.317461414571767</c:v>
                </c:pt>
                <c:pt idx="69">
                  <c:v>21.927660243551074</c:v>
                </c:pt>
                <c:pt idx="70">
                  <c:v>22.656912325019022</c:v>
                </c:pt>
                <c:pt idx="71">
                  <c:v>25.59323912218899</c:v>
                </c:pt>
                <c:pt idx="72">
                  <c:v>33.341766829092634</c:v>
                </c:pt>
                <c:pt idx="73">
                  <c:v>33.047823119736179</c:v>
                </c:pt>
                <c:pt idx="74">
                  <c:v>37.000686570464929</c:v>
                </c:pt>
                <c:pt idx="75">
                  <c:v>32.123028880834241</c:v>
                </c:pt>
                <c:pt idx="76">
                  <c:v>34.38136941224127</c:v>
                </c:pt>
                <c:pt idx="77">
                  <c:v>35.458801409362877</c:v>
                </c:pt>
                <c:pt idx="78">
                  <c:v>35.155560662958592</c:v>
                </c:pt>
                <c:pt idx="79">
                  <c:v>37.736023199884144</c:v>
                </c:pt>
                <c:pt idx="80">
                  <c:v>39.772231093915714</c:v>
                </c:pt>
                <c:pt idx="81">
                  <c:v>39.950949380365145</c:v>
                </c:pt>
                <c:pt idx="82">
                  <c:v>42.66856761869419</c:v>
                </c:pt>
                <c:pt idx="83">
                  <c:v>51.999968639675224</c:v>
                </c:pt>
                <c:pt idx="84">
                  <c:v>52.515769987412725</c:v>
                </c:pt>
                <c:pt idx="85">
                  <c:v>45.316817608417075</c:v>
                </c:pt>
                <c:pt idx="86">
                  <c:v>45.89863699897667</c:v>
                </c:pt>
                <c:pt idx="87">
                  <c:v>43.135297041489991</c:v>
                </c:pt>
                <c:pt idx="88">
                  <c:v>37.918480831998082</c:v>
                </c:pt>
                <c:pt idx="89">
                  <c:v>35.409350477227363</c:v>
                </c:pt>
                <c:pt idx="90">
                  <c:v>39.135760704228936</c:v>
                </c:pt>
                <c:pt idx="91">
                  <c:v>36.238326084271215</c:v>
                </c:pt>
                <c:pt idx="92">
                  <c:v>37.909516016943755</c:v>
                </c:pt>
                <c:pt idx="93">
                  <c:v>42.700506926312734</c:v>
                </c:pt>
                <c:pt idx="94">
                  <c:v>45.083916827501405</c:v>
                </c:pt>
                <c:pt idx="95">
                  <c:v>50.025289946054329</c:v>
                </c:pt>
                <c:pt idx="96">
                  <c:v>50.995995463552113</c:v>
                </c:pt>
                <c:pt idx="97">
                  <c:v>48.112721168568598</c:v>
                </c:pt>
                <c:pt idx="98">
                  <c:v>47.244304515827295</c:v>
                </c:pt>
                <c:pt idx="99">
                  <c:v>47.626072335400565</c:v>
                </c:pt>
                <c:pt idx="100">
                  <c:v>47.930413041709372</c:v>
                </c:pt>
                <c:pt idx="101">
                  <c:v>48.959611305775418</c:v>
                </c:pt>
                <c:pt idx="102">
                  <c:v>52.611861696378995</c:v>
                </c:pt>
                <c:pt idx="103">
                  <c:v>62.008253460052607</c:v>
                </c:pt>
                <c:pt idx="104">
                  <c:v>56.757491842772367</c:v>
                </c:pt>
                <c:pt idx="105">
                  <c:v>62.698629315070676</c:v>
                </c:pt>
                <c:pt idx="106">
                  <c:v>55.006691022595824</c:v>
                </c:pt>
                <c:pt idx="107">
                  <c:v>52.890073363097464</c:v>
                </c:pt>
                <c:pt idx="108">
                  <c:v>49.995277941880474</c:v>
                </c:pt>
                <c:pt idx="109">
                  <c:v>55.406763544576641</c:v>
                </c:pt>
                <c:pt idx="110">
                  <c:v>60.160383791630331</c:v>
                </c:pt>
                <c:pt idx="111">
                  <c:v>64.348357426734964</c:v>
                </c:pt>
                <c:pt idx="112">
                  <c:v>59.538334672343822</c:v>
                </c:pt>
                <c:pt idx="113">
                  <c:v>60.131159386828216</c:v>
                </c:pt>
                <c:pt idx="114">
                  <c:v>63.360636203663994</c:v>
                </c:pt>
                <c:pt idx="115">
                  <c:v>59.63558936114125</c:v>
                </c:pt>
                <c:pt idx="116">
                  <c:v>62.424786843204885</c:v>
                </c:pt>
                <c:pt idx="117">
                  <c:v>63.366889180898532</c:v>
                </c:pt>
                <c:pt idx="118">
                  <c:v>70.918487467062761</c:v>
                </c:pt>
                <c:pt idx="119">
                  <c:v>70.989728977476915</c:v>
                </c:pt>
                <c:pt idx="120">
                  <c:v>74.874094955182812</c:v>
                </c:pt>
                <c:pt idx="121">
                  <c:v>76.750565135455162</c:v>
                </c:pt>
                <c:pt idx="122">
                  <c:v>69.184431179421637</c:v>
                </c:pt>
                <c:pt idx="123">
                  <c:v>63.252249217467977</c:v>
                </c:pt>
                <c:pt idx="124">
                  <c:v>64.739734357646739</c:v>
                </c:pt>
                <c:pt idx="125">
                  <c:v>64.583327974875203</c:v>
                </c:pt>
                <c:pt idx="126">
                  <c:v>64.31559337109104</c:v>
                </c:pt>
                <c:pt idx="127">
                  <c:v>75.291461970800128</c:v>
                </c:pt>
                <c:pt idx="128">
                  <c:v>74.577674845613629</c:v>
                </c:pt>
                <c:pt idx="129">
                  <c:v>73.759142780997863</c:v>
                </c:pt>
                <c:pt idx="130">
                  <c:v>72.189137132041608</c:v>
                </c:pt>
                <c:pt idx="131">
                  <c:v>73.634386450626494</c:v>
                </c:pt>
                <c:pt idx="132">
                  <c:v>65.384519825748669</c:v>
                </c:pt>
                <c:pt idx="133">
                  <c:v>63.710712443764635</c:v>
                </c:pt>
                <c:pt idx="134">
                  <c:v>49.136067286892512</c:v>
                </c:pt>
                <c:pt idx="135">
                  <c:v>55.692883274253418</c:v>
                </c:pt>
                <c:pt idx="136">
                  <c:v>55.692883274253418</c:v>
                </c:pt>
                <c:pt idx="137">
                  <c:v>64.522732606243167</c:v>
                </c:pt>
                <c:pt idx="138">
                  <c:v>61.8715634741367</c:v>
                </c:pt>
                <c:pt idx="139">
                  <c:v>57.547018381957429</c:v>
                </c:pt>
                <c:pt idx="140">
                  <c:v>59.862770830236244</c:v>
                </c:pt>
                <c:pt idx="141">
                  <c:v>61.837381490256263</c:v>
                </c:pt>
                <c:pt idx="142">
                  <c:v>64.16424694049347</c:v>
                </c:pt>
                <c:pt idx="143">
                  <c:v>63.727823377129788</c:v>
                </c:pt>
                <c:pt idx="144">
                  <c:v>65.154170605854631</c:v>
                </c:pt>
                <c:pt idx="145">
                  <c:v>67.062887837372898</c:v>
                </c:pt>
                <c:pt idx="146">
                  <c:v>68.736854477320918</c:v>
                </c:pt>
                <c:pt idx="147">
                  <c:v>64.969934469528539</c:v>
                </c:pt>
                <c:pt idx="148">
                  <c:v>65.199961658493748</c:v>
                </c:pt>
                <c:pt idx="149">
                  <c:v>68.21805832533272</c:v>
                </c:pt>
                <c:pt idx="150">
                  <c:v>69.359711961942807</c:v>
                </c:pt>
                <c:pt idx="151">
                  <c:v>68.407043164610883</c:v>
                </c:pt>
                <c:pt idx="152">
                  <c:v>69.150668224778144</c:v>
                </c:pt>
                <c:pt idx="153">
                  <c:v>73.990500085943168</c:v>
                </c:pt>
                <c:pt idx="154">
                  <c:v>70.840801010654275</c:v>
                </c:pt>
                <c:pt idx="155">
                  <c:v>74.702071719263088</c:v>
                </c:pt>
                <c:pt idx="156">
                  <c:v>69.387392415360068</c:v>
                </c:pt>
                <c:pt idx="157">
                  <c:v>63.468811279878942</c:v>
                </c:pt>
                <c:pt idx="158">
                  <c:v>67.913816359657915</c:v>
                </c:pt>
                <c:pt idx="159">
                  <c:v>70.402115763996989</c:v>
                </c:pt>
                <c:pt idx="160">
                  <c:v>75.60390487640467</c:v>
                </c:pt>
                <c:pt idx="161">
                  <c:v>77.226181323019972</c:v>
                </c:pt>
                <c:pt idx="162">
                  <c:v>79.888891565430498</c:v>
                </c:pt>
                <c:pt idx="163">
                  <c:v>81.614235395788143</c:v>
                </c:pt>
                <c:pt idx="164">
                  <c:v>72.992461615140229</c:v>
                </c:pt>
                <c:pt idx="165">
                  <c:v>73.789595916386673</c:v>
                </c:pt>
                <c:pt idx="166">
                  <c:v>70.869514782548549</c:v>
                </c:pt>
                <c:pt idx="167">
                  <c:v>74.770923888125338</c:v>
                </c:pt>
                <c:pt idx="168">
                  <c:v>77.18882819655289</c:v>
                </c:pt>
                <c:pt idx="169">
                  <c:v>77.577291802575047</c:v>
                </c:pt>
                <c:pt idx="170">
                  <c:v>77.802491163035896</c:v>
                </c:pt>
                <c:pt idx="171">
                  <c:v>79.663660494177179</c:v>
                </c:pt>
                <c:pt idx="172">
                  <c:v>72.008932079622127</c:v>
                </c:pt>
                <c:pt idx="173">
                  <c:v>72.274784500970497</c:v>
                </c:pt>
                <c:pt idx="174">
                  <c:v>67.311917260494397</c:v>
                </c:pt>
                <c:pt idx="175">
                  <c:v>67.834385484296376</c:v>
                </c:pt>
                <c:pt idx="176">
                  <c:v>71.671200641252469</c:v>
                </c:pt>
                <c:pt idx="177">
                  <c:v>75.170169786426001</c:v>
                </c:pt>
                <c:pt idx="178">
                  <c:v>76.248927779986957</c:v>
                </c:pt>
                <c:pt idx="179">
                  <c:v>77.649469445929967</c:v>
                </c:pt>
                <c:pt idx="180">
                  <c:v>81.982157000795453</c:v>
                </c:pt>
                <c:pt idx="181">
                  <c:v>78.298580118520903</c:v>
                </c:pt>
                <c:pt idx="182">
                  <c:v>78.493700235810934</c:v>
                </c:pt>
                <c:pt idx="183">
                  <c:v>80.09946556131311</c:v>
                </c:pt>
                <c:pt idx="184">
                  <c:v>73.319629877747943</c:v>
                </c:pt>
                <c:pt idx="185">
                  <c:v>74.049834991091046</c:v>
                </c:pt>
                <c:pt idx="186">
                  <c:v>71.698489469079334</c:v>
                </c:pt>
                <c:pt idx="187">
                  <c:v>69.648412881458086</c:v>
                </c:pt>
                <c:pt idx="188">
                  <c:v>68.257503726373642</c:v>
                </c:pt>
                <c:pt idx="189">
                  <c:v>68.998327381066531</c:v>
                </c:pt>
                <c:pt idx="190">
                  <c:v>69.758413869984992</c:v>
                </c:pt>
                <c:pt idx="191">
                  <c:v>39.673549283566963</c:v>
                </c:pt>
                <c:pt idx="192">
                  <c:v>35.412809333754751</c:v>
                </c:pt>
                <c:pt idx="193">
                  <c:v>33.57558586739232</c:v>
                </c:pt>
                <c:pt idx="194">
                  <c:v>31.125184460926079</c:v>
                </c:pt>
                <c:pt idx="195">
                  <c:v>26.483758869775798</c:v>
                </c:pt>
                <c:pt idx="196">
                  <c:v>30.174264866064604</c:v>
                </c:pt>
                <c:pt idx="197">
                  <c:v>33.20969856605933</c:v>
                </c:pt>
                <c:pt idx="198">
                  <c:v>31.357863668946152</c:v>
                </c:pt>
                <c:pt idx="199">
                  <c:v>33.927635513742871</c:v>
                </c:pt>
                <c:pt idx="200">
                  <c:v>44.685679990648154</c:v>
                </c:pt>
                <c:pt idx="201">
                  <c:v>44.830066238229392</c:v>
                </c:pt>
                <c:pt idx="202">
                  <c:v>44.881713510378248</c:v>
                </c:pt>
                <c:pt idx="203">
                  <c:v>44.656608402590749</c:v>
                </c:pt>
                <c:pt idx="204">
                  <c:v>40.686278429943052</c:v>
                </c:pt>
                <c:pt idx="205">
                  <c:v>40.81174933006357</c:v>
                </c:pt>
                <c:pt idx="206">
                  <c:v>38.025299519148781</c:v>
                </c:pt>
                <c:pt idx="207">
                  <c:v>32.996932707450824</c:v>
                </c:pt>
                <c:pt idx="208">
                  <c:v>39.656847720668274</c:v>
                </c:pt>
                <c:pt idx="209">
                  <c:v>43.845149971007679</c:v>
                </c:pt>
                <c:pt idx="210">
                  <c:v>51.192294780435255</c:v>
                </c:pt>
                <c:pt idx="211">
                  <c:v>61.036475751520243</c:v>
                </c:pt>
                <c:pt idx="212">
                  <c:v>61.64527624454761</c:v>
                </c:pt>
                <c:pt idx="213">
                  <c:v>64.917921901186446</c:v>
                </c:pt>
                <c:pt idx="214">
                  <c:v>67.471807407110916</c:v>
                </c:pt>
                <c:pt idx="215">
                  <c:v>63.926519892459531</c:v>
                </c:pt>
                <c:pt idx="216">
                  <c:v>64.442704716101559</c:v>
                </c:pt>
                <c:pt idx="217">
                  <c:v>64.402197119850086</c:v>
                </c:pt>
                <c:pt idx="218">
                  <c:v>66.241793884150312</c:v>
                </c:pt>
                <c:pt idx="219">
                  <c:v>70.77729253475097</c:v>
                </c:pt>
                <c:pt idx="220">
                  <c:v>71.917516289731708</c:v>
                </c:pt>
                <c:pt idx="221">
                  <c:v>74.694046343247251</c:v>
                </c:pt>
                <c:pt idx="222">
                  <c:v>59.271456843680944</c:v>
                </c:pt>
                <c:pt idx="223">
                  <c:v>61.120914672745293</c:v>
                </c:pt>
                <c:pt idx="224">
                  <c:v>58.461466789676855</c:v>
                </c:pt>
                <c:pt idx="225">
                  <c:v>60.911272516557958</c:v>
                </c:pt>
                <c:pt idx="226">
                  <c:v>58.414744896255471</c:v>
                </c:pt>
                <c:pt idx="227">
                  <c:v>55.863369912475399</c:v>
                </c:pt>
                <c:pt idx="228">
                  <c:v>55.235641013820931</c:v>
                </c:pt>
                <c:pt idx="229">
                  <c:v>42.626409929417875</c:v>
                </c:pt>
                <c:pt idx="230">
                  <c:v>48.066998764245895</c:v>
                </c:pt>
                <c:pt idx="231">
                  <c:v>47.344978730092095</c:v>
                </c:pt>
                <c:pt idx="232">
                  <c:v>45.466831533935192</c:v>
                </c:pt>
                <c:pt idx="233">
                  <c:v>49.22846375381615</c:v>
                </c:pt>
                <c:pt idx="234">
                  <c:v>49.948095718016567</c:v>
                </c:pt>
                <c:pt idx="235">
                  <c:v>46.807368162399364</c:v>
                </c:pt>
                <c:pt idx="236">
                  <c:v>43.292217750702385</c:v>
                </c:pt>
                <c:pt idx="237">
                  <c:v>42.718681356951059</c:v>
                </c:pt>
                <c:pt idx="238">
                  <c:v>42.931923217004446</c:v>
                </c:pt>
                <c:pt idx="239">
                  <c:v>48.061807576793917</c:v>
                </c:pt>
                <c:pt idx="240">
                  <c:v>48.098887292457107</c:v>
                </c:pt>
                <c:pt idx="241">
                  <c:v>50.551059430260558</c:v>
                </c:pt>
                <c:pt idx="242">
                  <c:v>49.042250479890143</c:v>
                </c:pt>
                <c:pt idx="243">
                  <c:v>42.968727451100435</c:v>
                </c:pt>
                <c:pt idx="244">
                  <c:v>39.371175314095659</c:v>
                </c:pt>
                <c:pt idx="245">
                  <c:v>40.174563326824646</c:v>
                </c:pt>
                <c:pt idx="246">
                  <c:v>45.262938909006436</c:v>
                </c:pt>
                <c:pt idx="247">
                  <c:v>50.493639565999423</c:v>
                </c:pt>
                <c:pt idx="248">
                  <c:v>54.302372996694949</c:v>
                </c:pt>
                <c:pt idx="249">
                  <c:v>53.205498238312494</c:v>
                </c:pt>
                <c:pt idx="250">
                  <c:v>51.10784073223784</c:v>
                </c:pt>
                <c:pt idx="251">
                  <c:v>56.26952823215251</c:v>
                </c:pt>
                <c:pt idx="252">
                  <c:v>53.553692588025527</c:v>
                </c:pt>
                <c:pt idx="253">
                  <c:v>52.090745614897919</c:v>
                </c:pt>
                <c:pt idx="254">
                  <c:v>55.10668201823561</c:v>
                </c:pt>
                <c:pt idx="255">
                  <c:v>60.327537031543336</c:v>
                </c:pt>
                <c:pt idx="256">
                  <c:v>82.366809657376351</c:v>
                </c:pt>
                <c:pt idx="257">
                  <c:v>78.304843265956663</c:v>
                </c:pt>
                <c:pt idx="258">
                  <c:v>80.347610952007571</c:v>
                </c:pt>
                <c:pt idx="259">
                  <c:v>81.722002073940516</c:v>
                </c:pt>
                <c:pt idx="260">
                  <c:v>79.851694782598258</c:v>
                </c:pt>
                <c:pt idx="261">
                  <c:v>66.020587156811999</c:v>
                </c:pt>
                <c:pt idx="262">
                  <c:v>64.67470288324094</c:v>
                </c:pt>
                <c:pt idx="263">
                  <c:v>60.940768867683545</c:v>
                </c:pt>
                <c:pt idx="264">
                  <c:v>64.810585405892937</c:v>
                </c:pt>
                <c:pt idx="265">
                  <c:v>65.561716965604333</c:v>
                </c:pt>
                <c:pt idx="266">
                  <c:v>67.814612794102231</c:v>
                </c:pt>
                <c:pt idx="267">
                  <c:v>69.158163672429083</c:v>
                </c:pt>
                <c:pt idx="268">
                  <c:v>70.301619961810417</c:v>
                </c:pt>
                <c:pt idx="269">
                  <c:v>71.107203501145278</c:v>
                </c:pt>
                <c:pt idx="270">
                  <c:v>71.388037338037066</c:v>
                </c:pt>
                <c:pt idx="271">
                  <c:v>66.023738545201212</c:v>
                </c:pt>
                <c:pt idx="272">
                  <c:v>66.349508197417748</c:v>
                </c:pt>
                <c:pt idx="273">
                  <c:v>59.823817985702711</c:v>
                </c:pt>
                <c:pt idx="274">
                  <c:v>57.023769804629396</c:v>
                </c:pt>
                <c:pt idx="275">
                  <c:v>53.349163501819561</c:v>
                </c:pt>
                <c:pt idx="276">
                  <c:v>52.251609665801212</c:v>
                </c:pt>
                <c:pt idx="277">
                  <c:v>49.150169897402527</c:v>
                </c:pt>
                <c:pt idx="278">
                  <c:v>53.168203834122998</c:v>
                </c:pt>
                <c:pt idx="279">
                  <c:v>50.520424605231923</c:v>
                </c:pt>
                <c:pt idx="280">
                  <c:v>46.921636252630471</c:v>
                </c:pt>
                <c:pt idx="281">
                  <c:v>61.273389918291286</c:v>
                </c:pt>
                <c:pt idx="282">
                  <c:v>55.443776142600328</c:v>
                </c:pt>
                <c:pt idx="283">
                  <c:v>47.164101494430909</c:v>
                </c:pt>
                <c:pt idx="284">
                  <c:v>47.881041257602035</c:v>
                </c:pt>
                <c:pt idx="285">
                  <c:v>44.239863402511894</c:v>
                </c:pt>
                <c:pt idx="286">
                  <c:v>47.1230376760303</c:v>
                </c:pt>
                <c:pt idx="287">
                  <c:v>51.968748024102076</c:v>
                </c:pt>
                <c:pt idx="288">
                  <c:v>46.047222673756423</c:v>
                </c:pt>
                <c:pt idx="289">
                  <c:v>51.343400309856754</c:v>
                </c:pt>
                <c:pt idx="290">
                  <c:v>43.600917723864903</c:v>
                </c:pt>
                <c:pt idx="291">
                  <c:v>44.156974933723248</c:v>
                </c:pt>
                <c:pt idx="292">
                  <c:v>48.693346305590403</c:v>
                </c:pt>
                <c:pt idx="293">
                  <c:v>50.076070721372325</c:v>
                </c:pt>
                <c:pt idx="294">
                  <c:v>50.511915595183488</c:v>
                </c:pt>
                <c:pt idx="295">
                  <c:v>46.415809728078905</c:v>
                </c:pt>
                <c:pt idx="296">
                  <c:v>44.343593257049434</c:v>
                </c:pt>
                <c:pt idx="297">
                  <c:v>49.466611873643977</c:v>
                </c:pt>
                <c:pt idx="298">
                  <c:v>51.210215323728995</c:v>
                </c:pt>
                <c:pt idx="299">
                  <c:v>50.805677206174423</c:v>
                </c:pt>
                <c:pt idx="300">
                  <c:v>44.049908973250858</c:v>
                </c:pt>
                <c:pt idx="301">
                  <c:v>32.550970359709638</c:v>
                </c:pt>
                <c:pt idx="302">
                  <c:v>31.607464352004058</c:v>
                </c:pt>
                <c:pt idx="303">
                  <c:v>29.071852310586692</c:v>
                </c:pt>
                <c:pt idx="304">
                  <c:v>43.695495202735366</c:v>
                </c:pt>
                <c:pt idx="305">
                  <c:v>40.103785082264899</c:v>
                </c:pt>
                <c:pt idx="306">
                  <c:v>45.106464879206619</c:v>
                </c:pt>
                <c:pt idx="307">
                  <c:v>47.933768747338817</c:v>
                </c:pt>
                <c:pt idx="308">
                  <c:v>49.223964422215523</c:v>
                </c:pt>
                <c:pt idx="309">
                  <c:v>47.575046277987425</c:v>
                </c:pt>
                <c:pt idx="310">
                  <c:v>47.787280368943208</c:v>
                </c:pt>
                <c:pt idx="311">
                  <c:v>45.639966106593661</c:v>
                </c:pt>
                <c:pt idx="312">
                  <c:v>50.011040177854468</c:v>
                </c:pt>
                <c:pt idx="313">
                  <c:v>53.91638424785743</c:v>
                </c:pt>
                <c:pt idx="314">
                  <c:v>41.580579821642957</c:v>
                </c:pt>
                <c:pt idx="315">
                  <c:v>44.202528045936127</c:v>
                </c:pt>
                <c:pt idx="316">
                  <c:v>47.303608143207455</c:v>
                </c:pt>
                <c:pt idx="317">
                  <c:v>49.887082111982785</c:v>
                </c:pt>
                <c:pt idx="318">
                  <c:v>51.801535714341469</c:v>
                </c:pt>
                <c:pt idx="319">
                  <c:v>49.973977447942829</c:v>
                </c:pt>
                <c:pt idx="320">
                  <c:v>54.670297564305159</c:v>
                </c:pt>
                <c:pt idx="321">
                  <c:v>57.329004716996039</c:v>
                </c:pt>
                <c:pt idx="322">
                  <c:v>57.269213394082044</c:v>
                </c:pt>
                <c:pt idx="323">
                  <c:v>60.418272875324597</c:v>
                </c:pt>
                <c:pt idx="324">
                  <c:v>60.979347951601596</c:v>
                </c:pt>
                <c:pt idx="325">
                  <c:v>55.539929524730859</c:v>
                </c:pt>
                <c:pt idx="326">
                  <c:v>59.110106515477192</c:v>
                </c:pt>
                <c:pt idx="327">
                  <c:v>62.63628338161292</c:v>
                </c:pt>
                <c:pt idx="328">
                  <c:v>61.735332258522554</c:v>
                </c:pt>
                <c:pt idx="329">
                  <c:v>67.523851139276303</c:v>
                </c:pt>
                <c:pt idx="330">
                  <c:v>67.571553141128675</c:v>
                </c:pt>
                <c:pt idx="331">
                  <c:v>68.596105669658954</c:v>
                </c:pt>
                <c:pt idx="332">
                  <c:v>66.591269137070128</c:v>
                </c:pt>
                <c:pt idx="333">
                  <c:v>58.87439572136806</c:v>
                </c:pt>
                <c:pt idx="334">
                  <c:v>56.000713397466839</c:v>
                </c:pt>
                <c:pt idx="335">
                  <c:v>56.23993931681224</c:v>
                </c:pt>
                <c:pt idx="336">
                  <c:v>60.347657265941109</c:v>
                </c:pt>
                <c:pt idx="337">
                  <c:v>56.626802011727669</c:v>
                </c:pt>
                <c:pt idx="338">
                  <c:v>54.742492999281943</c:v>
                </c:pt>
                <c:pt idx="339">
                  <c:v>55.126355897662826</c:v>
                </c:pt>
                <c:pt idx="340">
                  <c:v>59.915819142962995</c:v>
                </c:pt>
                <c:pt idx="341">
                  <c:v>61.116274591748478</c:v>
                </c:pt>
                <c:pt idx="342">
                  <c:v>61.422540018116322</c:v>
                </c:pt>
                <c:pt idx="343">
                  <c:v>62.745799034659768</c:v>
                </c:pt>
                <c:pt idx="344">
                  <c:v>64.701674839703855</c:v>
                </c:pt>
                <c:pt idx="345">
                  <c:v>67.624952662055932</c:v>
                </c:pt>
                <c:pt idx="346">
                  <c:v>70.979222641859792</c:v>
                </c:pt>
                <c:pt idx="347">
                  <c:v>74.579216867448181</c:v>
                </c:pt>
                <c:pt idx="348">
                  <c:v>73.665931938294335</c:v>
                </c:pt>
                <c:pt idx="349">
                  <c:v>66.814622677083975</c:v>
                </c:pt>
                <c:pt idx="350">
                  <c:v>70.401652459473183</c:v>
                </c:pt>
                <c:pt idx="351">
                  <c:v>71.286202574552092</c:v>
                </c:pt>
                <c:pt idx="352">
                  <c:v>71.406889774624759</c:v>
                </c:pt>
                <c:pt idx="353">
                  <c:v>67.151503029067612</c:v>
                </c:pt>
                <c:pt idx="354">
                  <c:v>73.406816424872659</c:v>
                </c:pt>
                <c:pt idx="355">
                  <c:v>76.152887777514991</c:v>
                </c:pt>
                <c:pt idx="356">
                  <c:v>71.447708298074048</c:v>
                </c:pt>
                <c:pt idx="357">
                  <c:v>72.040578051929273</c:v>
                </c:pt>
                <c:pt idx="358">
                  <c:v>68.135224915537947</c:v>
                </c:pt>
                <c:pt idx="359">
                  <c:v>71.875560204808096</c:v>
                </c:pt>
                <c:pt idx="360">
                  <c:v>65.996292771977977</c:v>
                </c:pt>
                <c:pt idx="361">
                  <c:v>60.694516031547806</c:v>
                </c:pt>
                <c:pt idx="362">
                  <c:v>64.43840689725937</c:v>
                </c:pt>
                <c:pt idx="363">
                  <c:v>64.855656952483983</c:v>
                </c:pt>
                <c:pt idx="364">
                  <c:v>61.661209323645153</c:v>
                </c:pt>
                <c:pt idx="365">
                  <c:v>61.217688829127006</c:v>
                </c:pt>
                <c:pt idx="366">
                  <c:v>56.948184291105285</c:v>
                </c:pt>
                <c:pt idx="367">
                  <c:v>51.470402462556585</c:v>
                </c:pt>
                <c:pt idx="368">
                  <c:v>51.73082476964511</c:v>
                </c:pt>
                <c:pt idx="369">
                  <c:v>50.151270267905453</c:v>
                </c:pt>
                <c:pt idx="370">
                  <c:v>48.998297651608482</c:v>
                </c:pt>
                <c:pt idx="371">
                  <c:v>49.127479168848609</c:v>
                </c:pt>
                <c:pt idx="372">
                  <c:v>55.057769947978493</c:v>
                </c:pt>
                <c:pt idx="373">
                  <c:v>53.061124787774418</c:v>
                </c:pt>
                <c:pt idx="374">
                  <c:v>48.564747020616551</c:v>
                </c:pt>
                <c:pt idx="375">
                  <c:v>48.649948907692412</c:v>
                </c:pt>
                <c:pt idx="376">
                  <c:v>27.531243281375495</c:v>
                </c:pt>
                <c:pt idx="377">
                  <c:v>27.066313537309725</c:v>
                </c:pt>
                <c:pt idx="378">
                  <c:v>32.49020875806292</c:v>
                </c:pt>
                <c:pt idx="379">
                  <c:v>31.904496565075263</c:v>
                </c:pt>
                <c:pt idx="380">
                  <c:v>30.322415565175518</c:v>
                </c:pt>
                <c:pt idx="381">
                  <c:v>25.771201084259999</c:v>
                </c:pt>
                <c:pt idx="382">
                  <c:v>24.07452838490191</c:v>
                </c:pt>
                <c:pt idx="383">
                  <c:v>27.284284199880787</c:v>
                </c:pt>
                <c:pt idx="384">
                  <c:v>26.466425173634931</c:v>
                </c:pt>
                <c:pt idx="385">
                  <c:v>29.27246401701106</c:v>
                </c:pt>
                <c:pt idx="386">
                  <c:v>27.769755581119782</c:v>
                </c:pt>
                <c:pt idx="387">
                  <c:v>23.031092704397679</c:v>
                </c:pt>
                <c:pt idx="388">
                  <c:v>20.219592238405369</c:v>
                </c:pt>
                <c:pt idx="389">
                  <c:v>19.560559965264957</c:v>
                </c:pt>
                <c:pt idx="390">
                  <c:v>28.280986343670435</c:v>
                </c:pt>
                <c:pt idx="391">
                  <c:v>26.549849985888244</c:v>
                </c:pt>
                <c:pt idx="392">
                  <c:v>30.58468256812256</c:v>
                </c:pt>
                <c:pt idx="393">
                  <c:v>30.398647408042521</c:v>
                </c:pt>
                <c:pt idx="394">
                  <c:v>33.357441388386448</c:v>
                </c:pt>
                <c:pt idx="395">
                  <c:v>35.409560665727312</c:v>
                </c:pt>
                <c:pt idx="396">
                  <c:v>32.718429287814629</c:v>
                </c:pt>
                <c:pt idx="397">
                  <c:v>37.113805806151014</c:v>
                </c:pt>
                <c:pt idx="398">
                  <c:v>34.699786158774074</c:v>
                </c:pt>
                <c:pt idx="399">
                  <c:v>39.774793041398404</c:v>
                </c:pt>
                <c:pt idx="400">
                  <c:v>43.065752955132574</c:v>
                </c:pt>
                <c:pt idx="401">
                  <c:v>44.383791426225166</c:v>
                </c:pt>
                <c:pt idx="402">
                  <c:v>41.7632473957729</c:v>
                </c:pt>
                <c:pt idx="403">
                  <c:v>39.530259011079572</c:v>
                </c:pt>
                <c:pt idx="404">
                  <c:v>43.761165890704717</c:v>
                </c:pt>
                <c:pt idx="405">
                  <c:v>48.369692719493081</c:v>
                </c:pt>
                <c:pt idx="406">
                  <c:v>50.292413515167922</c:v>
                </c:pt>
                <c:pt idx="407">
                  <c:v>59.408686629078325</c:v>
                </c:pt>
                <c:pt idx="408">
                  <c:v>62.37705166802391</c:v>
                </c:pt>
                <c:pt idx="409">
                  <c:v>58.949030651744366</c:v>
                </c:pt>
                <c:pt idx="410">
                  <c:v>59.090176921931729</c:v>
                </c:pt>
                <c:pt idx="411">
                  <c:v>53.636197236814503</c:v>
                </c:pt>
                <c:pt idx="412">
                  <c:v>56.989316985574852</c:v>
                </c:pt>
                <c:pt idx="413">
                  <c:v>58.468047333396122</c:v>
                </c:pt>
                <c:pt idx="414">
                  <c:v>60.26123729772614</c:v>
                </c:pt>
                <c:pt idx="415">
                  <c:v>66.221508154494003</c:v>
                </c:pt>
                <c:pt idx="416">
                  <c:v>67.464312203852842</c:v>
                </c:pt>
                <c:pt idx="417">
                  <c:v>71.476475728876608</c:v>
                </c:pt>
                <c:pt idx="418">
                  <c:v>72.124496462877602</c:v>
                </c:pt>
                <c:pt idx="419">
                  <c:v>63.688556832972452</c:v>
                </c:pt>
                <c:pt idx="420">
                  <c:v>73.533911003255881</c:v>
                </c:pt>
                <c:pt idx="421">
                  <c:v>75.037781581623335</c:v>
                </c:pt>
                <c:pt idx="422">
                  <c:v>68.455058735296006</c:v>
                </c:pt>
                <c:pt idx="423">
                  <c:v>69.941060688539579</c:v>
                </c:pt>
                <c:pt idx="424">
                  <c:v>72.500662803161759</c:v>
                </c:pt>
                <c:pt idx="425">
                  <c:v>72.633964390045051</c:v>
                </c:pt>
                <c:pt idx="426">
                  <c:v>73.62183149244504</c:v>
                </c:pt>
                <c:pt idx="427">
                  <c:v>74.258639005515548</c:v>
                </c:pt>
                <c:pt idx="428">
                  <c:v>76.813430354902223</c:v>
                </c:pt>
                <c:pt idx="429">
                  <c:v>69.456447249769781</c:v>
                </c:pt>
                <c:pt idx="430">
                  <c:v>67.514180809814178</c:v>
                </c:pt>
                <c:pt idx="431">
                  <c:v>53.801536243567128</c:v>
                </c:pt>
                <c:pt idx="432">
                  <c:v>53.131705346142333</c:v>
                </c:pt>
                <c:pt idx="433">
                  <c:v>51.890969037586267</c:v>
                </c:pt>
                <c:pt idx="434">
                  <c:v>56.58478862698415</c:v>
                </c:pt>
                <c:pt idx="435">
                  <c:v>51.014841485288457</c:v>
                </c:pt>
                <c:pt idx="436">
                  <c:v>56.175654482855336</c:v>
                </c:pt>
                <c:pt idx="437">
                  <c:v>58.287945233068399</c:v>
                </c:pt>
                <c:pt idx="438">
                  <c:v>56.314545076031543</c:v>
                </c:pt>
                <c:pt idx="439">
                  <c:v>61.148489612049111</c:v>
                </c:pt>
                <c:pt idx="440">
                  <c:v>57.972683595174857</c:v>
                </c:pt>
                <c:pt idx="441">
                  <c:v>71.990799771681566</c:v>
                </c:pt>
                <c:pt idx="442">
                  <c:v>74.304457504504214</c:v>
                </c:pt>
                <c:pt idx="443">
                  <c:v>73.698922608760384</c:v>
                </c:pt>
                <c:pt idx="444">
                  <c:v>68.647465774675908</c:v>
                </c:pt>
                <c:pt idx="445">
                  <c:v>69.59961392634662</c:v>
                </c:pt>
                <c:pt idx="446">
                  <c:v>66.484930403045567</c:v>
                </c:pt>
                <c:pt idx="447">
                  <c:v>63.395088145682465</c:v>
                </c:pt>
                <c:pt idx="448">
                  <c:v>59.111877268798551</c:v>
                </c:pt>
                <c:pt idx="449">
                  <c:v>63.197564111152218</c:v>
                </c:pt>
                <c:pt idx="450">
                  <c:v>66.625223757694727</c:v>
                </c:pt>
                <c:pt idx="451">
                  <c:v>60.173180532352312</c:v>
                </c:pt>
                <c:pt idx="452">
                  <c:v>61.978556381913194</c:v>
                </c:pt>
                <c:pt idx="453">
                  <c:v>64.843172043389274</c:v>
                </c:pt>
                <c:pt idx="454">
                  <c:v>65.609161975148155</c:v>
                </c:pt>
                <c:pt idx="455">
                  <c:v>55.205416493333217</c:v>
                </c:pt>
                <c:pt idx="456">
                  <c:v>55.824134223482396</c:v>
                </c:pt>
                <c:pt idx="457">
                  <c:v>48.429403496109884</c:v>
                </c:pt>
                <c:pt idx="458">
                  <c:v>43.206288204585839</c:v>
                </c:pt>
                <c:pt idx="459">
                  <c:v>42.241361707489354</c:v>
                </c:pt>
                <c:pt idx="460">
                  <c:v>44.014571916355202</c:v>
                </c:pt>
                <c:pt idx="461">
                  <c:v>50.211647191477844</c:v>
                </c:pt>
                <c:pt idx="462">
                  <c:v>55.270942210134294</c:v>
                </c:pt>
                <c:pt idx="463">
                  <c:v>55.533188262758848</c:v>
                </c:pt>
                <c:pt idx="464">
                  <c:v>54.323174651403676</c:v>
                </c:pt>
                <c:pt idx="465">
                  <c:v>58.446093219714768</c:v>
                </c:pt>
                <c:pt idx="466">
                  <c:v>55.521449116673274</c:v>
                </c:pt>
                <c:pt idx="467">
                  <c:v>51.790583245246893</c:v>
                </c:pt>
                <c:pt idx="468">
                  <c:v>52.532339200233181</c:v>
                </c:pt>
                <c:pt idx="469">
                  <c:v>57.078868646865942</c:v>
                </c:pt>
                <c:pt idx="470">
                  <c:v>57.024101384800673</c:v>
                </c:pt>
                <c:pt idx="471">
                  <c:v>58.097887915853974</c:v>
                </c:pt>
                <c:pt idx="472">
                  <c:v>59.247505849322664</c:v>
                </c:pt>
                <c:pt idx="473">
                  <c:v>61.179747407357986</c:v>
                </c:pt>
                <c:pt idx="474">
                  <c:v>58.545255853254979</c:v>
                </c:pt>
                <c:pt idx="475">
                  <c:v>56.508578895175852</c:v>
                </c:pt>
                <c:pt idx="476">
                  <c:v>55.701678108518642</c:v>
                </c:pt>
                <c:pt idx="477">
                  <c:v>48.635332268142889</c:v>
                </c:pt>
                <c:pt idx="478">
                  <c:v>48.813985175523683</c:v>
                </c:pt>
                <c:pt idx="479">
                  <c:v>45.333026528172773</c:v>
                </c:pt>
                <c:pt idx="48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3-41D9-8C09-1B7F9BD3D199}"/>
            </c:ext>
          </c:extLst>
        </c:ser>
        <c:ser>
          <c:idx val="1"/>
          <c:order val="1"/>
          <c:tx>
            <c:strRef>
              <c:f>ConEd!$J$1:$J$15</c:f>
              <c:strCache>
                <c:ptCount val="15"/>
                <c:pt idx="0">
                  <c:v>OverSold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ConEd!$A$16:$A$496</c:f>
              <c:numCache>
                <c:formatCode>m/d/yyyy</c:formatCode>
                <c:ptCount val="481"/>
                <c:pt idx="0">
                  <c:v>45314</c:v>
                </c:pt>
                <c:pt idx="1">
                  <c:v>45315</c:v>
                </c:pt>
                <c:pt idx="2">
                  <c:v>45316</c:v>
                </c:pt>
                <c:pt idx="3">
                  <c:v>45317</c:v>
                </c:pt>
                <c:pt idx="4">
                  <c:v>45320</c:v>
                </c:pt>
                <c:pt idx="5">
                  <c:v>45321</c:v>
                </c:pt>
                <c:pt idx="6">
                  <c:v>45322</c:v>
                </c:pt>
                <c:pt idx="7">
                  <c:v>45323</c:v>
                </c:pt>
                <c:pt idx="8">
                  <c:v>45324</c:v>
                </c:pt>
                <c:pt idx="9">
                  <c:v>45327</c:v>
                </c:pt>
                <c:pt idx="10">
                  <c:v>45328</c:v>
                </c:pt>
                <c:pt idx="11">
                  <c:v>45329</c:v>
                </c:pt>
                <c:pt idx="12">
                  <c:v>45330</c:v>
                </c:pt>
                <c:pt idx="13">
                  <c:v>45331</c:v>
                </c:pt>
                <c:pt idx="14">
                  <c:v>45334</c:v>
                </c:pt>
                <c:pt idx="15">
                  <c:v>45335</c:v>
                </c:pt>
                <c:pt idx="16">
                  <c:v>45336</c:v>
                </c:pt>
                <c:pt idx="17">
                  <c:v>45337</c:v>
                </c:pt>
                <c:pt idx="18">
                  <c:v>45338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45348</c:v>
                </c:pt>
                <c:pt idx="24">
                  <c:v>45349</c:v>
                </c:pt>
                <c:pt idx="25">
                  <c:v>45350</c:v>
                </c:pt>
                <c:pt idx="26">
                  <c:v>45351</c:v>
                </c:pt>
                <c:pt idx="27">
                  <c:v>45352</c:v>
                </c:pt>
                <c:pt idx="28">
                  <c:v>45355</c:v>
                </c:pt>
                <c:pt idx="29">
                  <c:v>45356</c:v>
                </c:pt>
                <c:pt idx="30">
                  <c:v>45357</c:v>
                </c:pt>
                <c:pt idx="31">
                  <c:v>45358</c:v>
                </c:pt>
                <c:pt idx="32">
                  <c:v>45359</c:v>
                </c:pt>
                <c:pt idx="33">
                  <c:v>45362</c:v>
                </c:pt>
                <c:pt idx="34">
                  <c:v>45363</c:v>
                </c:pt>
                <c:pt idx="35">
                  <c:v>45364</c:v>
                </c:pt>
                <c:pt idx="36">
                  <c:v>45365</c:v>
                </c:pt>
                <c:pt idx="37">
                  <c:v>45366</c:v>
                </c:pt>
                <c:pt idx="38">
                  <c:v>45369</c:v>
                </c:pt>
                <c:pt idx="39">
                  <c:v>45370</c:v>
                </c:pt>
                <c:pt idx="40">
                  <c:v>45371</c:v>
                </c:pt>
                <c:pt idx="41">
                  <c:v>45372</c:v>
                </c:pt>
                <c:pt idx="42">
                  <c:v>45373</c:v>
                </c:pt>
                <c:pt idx="43">
                  <c:v>45376</c:v>
                </c:pt>
                <c:pt idx="44">
                  <c:v>45377</c:v>
                </c:pt>
                <c:pt idx="45">
                  <c:v>45378</c:v>
                </c:pt>
                <c:pt idx="46">
                  <c:v>45379</c:v>
                </c:pt>
                <c:pt idx="47">
                  <c:v>45383</c:v>
                </c:pt>
                <c:pt idx="48">
                  <c:v>45384</c:v>
                </c:pt>
                <c:pt idx="49">
                  <c:v>45385</c:v>
                </c:pt>
                <c:pt idx="50">
                  <c:v>45386</c:v>
                </c:pt>
                <c:pt idx="51">
                  <c:v>45387</c:v>
                </c:pt>
                <c:pt idx="52">
                  <c:v>45390</c:v>
                </c:pt>
                <c:pt idx="53">
                  <c:v>45391</c:v>
                </c:pt>
                <c:pt idx="54">
                  <c:v>45392</c:v>
                </c:pt>
                <c:pt idx="55">
                  <c:v>45393</c:v>
                </c:pt>
                <c:pt idx="56">
                  <c:v>45394</c:v>
                </c:pt>
                <c:pt idx="57">
                  <c:v>45397</c:v>
                </c:pt>
                <c:pt idx="58">
                  <c:v>45398</c:v>
                </c:pt>
                <c:pt idx="59">
                  <c:v>45399</c:v>
                </c:pt>
                <c:pt idx="60">
                  <c:v>45400</c:v>
                </c:pt>
                <c:pt idx="61">
                  <c:v>45401</c:v>
                </c:pt>
                <c:pt idx="62">
                  <c:v>45404</c:v>
                </c:pt>
                <c:pt idx="63">
                  <c:v>45405</c:v>
                </c:pt>
                <c:pt idx="64">
                  <c:v>45406</c:v>
                </c:pt>
                <c:pt idx="65">
                  <c:v>45407</c:v>
                </c:pt>
                <c:pt idx="66">
                  <c:v>45408</c:v>
                </c:pt>
                <c:pt idx="67">
                  <c:v>45411</c:v>
                </c:pt>
                <c:pt idx="68">
                  <c:v>45412</c:v>
                </c:pt>
                <c:pt idx="69">
                  <c:v>45413</c:v>
                </c:pt>
                <c:pt idx="70">
                  <c:v>45414</c:v>
                </c:pt>
                <c:pt idx="71">
                  <c:v>45415</c:v>
                </c:pt>
                <c:pt idx="72">
                  <c:v>45418</c:v>
                </c:pt>
                <c:pt idx="73">
                  <c:v>45419</c:v>
                </c:pt>
                <c:pt idx="74">
                  <c:v>45420</c:v>
                </c:pt>
                <c:pt idx="75">
                  <c:v>45421</c:v>
                </c:pt>
                <c:pt idx="76">
                  <c:v>45422</c:v>
                </c:pt>
                <c:pt idx="77">
                  <c:v>45425</c:v>
                </c:pt>
                <c:pt idx="78">
                  <c:v>45426</c:v>
                </c:pt>
                <c:pt idx="79">
                  <c:v>45427</c:v>
                </c:pt>
                <c:pt idx="80">
                  <c:v>45428</c:v>
                </c:pt>
                <c:pt idx="81">
                  <c:v>45429</c:v>
                </c:pt>
                <c:pt idx="82">
                  <c:v>45432</c:v>
                </c:pt>
                <c:pt idx="83">
                  <c:v>45433</c:v>
                </c:pt>
                <c:pt idx="84">
                  <c:v>45434</c:v>
                </c:pt>
                <c:pt idx="85">
                  <c:v>45435</c:v>
                </c:pt>
                <c:pt idx="86">
                  <c:v>45436</c:v>
                </c:pt>
                <c:pt idx="87">
                  <c:v>45440</c:v>
                </c:pt>
                <c:pt idx="88">
                  <c:v>45441</c:v>
                </c:pt>
                <c:pt idx="89">
                  <c:v>45442</c:v>
                </c:pt>
                <c:pt idx="90">
                  <c:v>45443</c:v>
                </c:pt>
                <c:pt idx="91">
                  <c:v>45446</c:v>
                </c:pt>
                <c:pt idx="92">
                  <c:v>45447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45453</c:v>
                </c:pt>
                <c:pt idx="97">
                  <c:v>45454</c:v>
                </c:pt>
                <c:pt idx="98">
                  <c:v>45455</c:v>
                </c:pt>
                <c:pt idx="99">
                  <c:v>45456</c:v>
                </c:pt>
                <c:pt idx="100">
                  <c:v>45457</c:v>
                </c:pt>
                <c:pt idx="101">
                  <c:v>45460</c:v>
                </c:pt>
                <c:pt idx="102">
                  <c:v>45461</c:v>
                </c:pt>
                <c:pt idx="103">
                  <c:v>45463</c:v>
                </c:pt>
                <c:pt idx="104">
                  <c:v>45464</c:v>
                </c:pt>
                <c:pt idx="105">
                  <c:v>45467</c:v>
                </c:pt>
                <c:pt idx="106">
                  <c:v>45468</c:v>
                </c:pt>
                <c:pt idx="107">
                  <c:v>45469</c:v>
                </c:pt>
                <c:pt idx="108">
                  <c:v>45470</c:v>
                </c:pt>
                <c:pt idx="109">
                  <c:v>45471</c:v>
                </c:pt>
                <c:pt idx="110">
                  <c:v>45474</c:v>
                </c:pt>
                <c:pt idx="111">
                  <c:v>45475</c:v>
                </c:pt>
                <c:pt idx="112">
                  <c:v>45476</c:v>
                </c:pt>
                <c:pt idx="113">
                  <c:v>45478</c:v>
                </c:pt>
                <c:pt idx="114">
                  <c:v>45481</c:v>
                </c:pt>
                <c:pt idx="115">
                  <c:v>45482</c:v>
                </c:pt>
                <c:pt idx="116">
                  <c:v>45483</c:v>
                </c:pt>
                <c:pt idx="117">
                  <c:v>45484</c:v>
                </c:pt>
                <c:pt idx="118">
                  <c:v>45485</c:v>
                </c:pt>
                <c:pt idx="119">
                  <c:v>45488</c:v>
                </c:pt>
                <c:pt idx="120">
                  <c:v>45489</c:v>
                </c:pt>
                <c:pt idx="121">
                  <c:v>45490</c:v>
                </c:pt>
                <c:pt idx="122">
                  <c:v>45491</c:v>
                </c:pt>
                <c:pt idx="123">
                  <c:v>45492</c:v>
                </c:pt>
                <c:pt idx="124">
                  <c:v>45495</c:v>
                </c:pt>
                <c:pt idx="125">
                  <c:v>45496</c:v>
                </c:pt>
                <c:pt idx="126">
                  <c:v>45497</c:v>
                </c:pt>
                <c:pt idx="127">
                  <c:v>45498</c:v>
                </c:pt>
                <c:pt idx="128">
                  <c:v>45499</c:v>
                </c:pt>
                <c:pt idx="129">
                  <c:v>45502</c:v>
                </c:pt>
                <c:pt idx="130">
                  <c:v>45503</c:v>
                </c:pt>
                <c:pt idx="131">
                  <c:v>45504</c:v>
                </c:pt>
                <c:pt idx="132">
                  <c:v>45505</c:v>
                </c:pt>
                <c:pt idx="133">
                  <c:v>45506</c:v>
                </c:pt>
                <c:pt idx="134">
                  <c:v>45509</c:v>
                </c:pt>
                <c:pt idx="135">
                  <c:v>45510</c:v>
                </c:pt>
                <c:pt idx="136">
                  <c:v>45511</c:v>
                </c:pt>
                <c:pt idx="137">
                  <c:v>45512</c:v>
                </c:pt>
                <c:pt idx="138">
                  <c:v>45513</c:v>
                </c:pt>
                <c:pt idx="139">
                  <c:v>45516</c:v>
                </c:pt>
                <c:pt idx="140">
                  <c:v>45517</c:v>
                </c:pt>
                <c:pt idx="141">
                  <c:v>45518</c:v>
                </c:pt>
                <c:pt idx="142">
                  <c:v>45519</c:v>
                </c:pt>
                <c:pt idx="143">
                  <c:v>45520</c:v>
                </c:pt>
                <c:pt idx="144">
                  <c:v>45523</c:v>
                </c:pt>
                <c:pt idx="145">
                  <c:v>45524</c:v>
                </c:pt>
                <c:pt idx="146">
                  <c:v>45525</c:v>
                </c:pt>
                <c:pt idx="147">
                  <c:v>45526</c:v>
                </c:pt>
                <c:pt idx="148">
                  <c:v>45527</c:v>
                </c:pt>
                <c:pt idx="149">
                  <c:v>45530</c:v>
                </c:pt>
                <c:pt idx="150">
                  <c:v>45531</c:v>
                </c:pt>
                <c:pt idx="151">
                  <c:v>45532</c:v>
                </c:pt>
                <c:pt idx="152">
                  <c:v>45533</c:v>
                </c:pt>
                <c:pt idx="153">
                  <c:v>45534</c:v>
                </c:pt>
                <c:pt idx="154">
                  <c:v>45538</c:v>
                </c:pt>
                <c:pt idx="155">
                  <c:v>45539</c:v>
                </c:pt>
                <c:pt idx="156">
                  <c:v>45540</c:v>
                </c:pt>
                <c:pt idx="157">
                  <c:v>45541</c:v>
                </c:pt>
                <c:pt idx="158">
                  <c:v>45544</c:v>
                </c:pt>
                <c:pt idx="159">
                  <c:v>45545</c:v>
                </c:pt>
                <c:pt idx="160">
                  <c:v>45546</c:v>
                </c:pt>
                <c:pt idx="161">
                  <c:v>45547</c:v>
                </c:pt>
                <c:pt idx="162">
                  <c:v>45548</c:v>
                </c:pt>
                <c:pt idx="163">
                  <c:v>45551</c:v>
                </c:pt>
                <c:pt idx="164">
                  <c:v>45552</c:v>
                </c:pt>
                <c:pt idx="165">
                  <c:v>45553</c:v>
                </c:pt>
                <c:pt idx="166">
                  <c:v>45554</c:v>
                </c:pt>
                <c:pt idx="167">
                  <c:v>45555</c:v>
                </c:pt>
                <c:pt idx="168">
                  <c:v>45558</c:v>
                </c:pt>
                <c:pt idx="169">
                  <c:v>45559</c:v>
                </c:pt>
                <c:pt idx="170">
                  <c:v>45560</c:v>
                </c:pt>
                <c:pt idx="171">
                  <c:v>45561</c:v>
                </c:pt>
                <c:pt idx="172">
                  <c:v>45562</c:v>
                </c:pt>
                <c:pt idx="173">
                  <c:v>45565</c:v>
                </c:pt>
                <c:pt idx="174">
                  <c:v>45566</c:v>
                </c:pt>
                <c:pt idx="175">
                  <c:v>45567</c:v>
                </c:pt>
                <c:pt idx="176">
                  <c:v>45568</c:v>
                </c:pt>
                <c:pt idx="177">
                  <c:v>45569</c:v>
                </c:pt>
                <c:pt idx="178">
                  <c:v>45572</c:v>
                </c:pt>
                <c:pt idx="179">
                  <c:v>45573</c:v>
                </c:pt>
                <c:pt idx="180">
                  <c:v>45574</c:v>
                </c:pt>
                <c:pt idx="181">
                  <c:v>45575</c:v>
                </c:pt>
                <c:pt idx="182">
                  <c:v>45576</c:v>
                </c:pt>
                <c:pt idx="183">
                  <c:v>45579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45586</c:v>
                </c:pt>
                <c:pt idx="189">
                  <c:v>45587</c:v>
                </c:pt>
                <c:pt idx="190">
                  <c:v>45588</c:v>
                </c:pt>
                <c:pt idx="191">
                  <c:v>45589</c:v>
                </c:pt>
                <c:pt idx="192">
                  <c:v>45590</c:v>
                </c:pt>
                <c:pt idx="193">
                  <c:v>45593</c:v>
                </c:pt>
                <c:pt idx="194">
                  <c:v>45594</c:v>
                </c:pt>
                <c:pt idx="195">
                  <c:v>45595</c:v>
                </c:pt>
                <c:pt idx="196">
                  <c:v>45596</c:v>
                </c:pt>
                <c:pt idx="197">
                  <c:v>45597</c:v>
                </c:pt>
                <c:pt idx="198">
                  <c:v>45600</c:v>
                </c:pt>
                <c:pt idx="199">
                  <c:v>45601</c:v>
                </c:pt>
                <c:pt idx="200">
                  <c:v>45602</c:v>
                </c:pt>
                <c:pt idx="201">
                  <c:v>45603</c:v>
                </c:pt>
                <c:pt idx="202">
                  <c:v>45604</c:v>
                </c:pt>
                <c:pt idx="203">
                  <c:v>45607</c:v>
                </c:pt>
                <c:pt idx="204">
                  <c:v>45608</c:v>
                </c:pt>
                <c:pt idx="205">
                  <c:v>45609</c:v>
                </c:pt>
                <c:pt idx="206">
                  <c:v>45610</c:v>
                </c:pt>
                <c:pt idx="207">
                  <c:v>45611</c:v>
                </c:pt>
                <c:pt idx="208">
                  <c:v>45614</c:v>
                </c:pt>
                <c:pt idx="209">
                  <c:v>45615</c:v>
                </c:pt>
                <c:pt idx="210">
                  <c:v>45616</c:v>
                </c:pt>
                <c:pt idx="211">
                  <c:v>45617</c:v>
                </c:pt>
                <c:pt idx="212">
                  <c:v>45618</c:v>
                </c:pt>
                <c:pt idx="213">
                  <c:v>45621</c:v>
                </c:pt>
                <c:pt idx="214">
                  <c:v>45622</c:v>
                </c:pt>
                <c:pt idx="215">
                  <c:v>45623</c:v>
                </c:pt>
                <c:pt idx="216">
                  <c:v>45625</c:v>
                </c:pt>
                <c:pt idx="217">
                  <c:v>45628</c:v>
                </c:pt>
                <c:pt idx="218">
                  <c:v>45629</c:v>
                </c:pt>
                <c:pt idx="219">
                  <c:v>45630</c:v>
                </c:pt>
                <c:pt idx="220">
                  <c:v>45631</c:v>
                </c:pt>
                <c:pt idx="221">
                  <c:v>45632</c:v>
                </c:pt>
                <c:pt idx="222">
                  <c:v>45635</c:v>
                </c:pt>
                <c:pt idx="223">
                  <c:v>45636</c:v>
                </c:pt>
                <c:pt idx="224">
                  <c:v>45637</c:v>
                </c:pt>
                <c:pt idx="225">
                  <c:v>45638</c:v>
                </c:pt>
                <c:pt idx="226">
                  <c:v>45639</c:v>
                </c:pt>
                <c:pt idx="227">
                  <c:v>45642</c:v>
                </c:pt>
                <c:pt idx="228">
                  <c:v>45643</c:v>
                </c:pt>
                <c:pt idx="229">
                  <c:v>45644</c:v>
                </c:pt>
                <c:pt idx="230">
                  <c:v>45645</c:v>
                </c:pt>
                <c:pt idx="231">
                  <c:v>45646</c:v>
                </c:pt>
                <c:pt idx="232">
                  <c:v>45649</c:v>
                </c:pt>
                <c:pt idx="233">
                  <c:v>45650</c:v>
                </c:pt>
                <c:pt idx="234">
                  <c:v>45652</c:v>
                </c:pt>
                <c:pt idx="235">
                  <c:v>45653</c:v>
                </c:pt>
                <c:pt idx="236">
                  <c:v>45656</c:v>
                </c:pt>
                <c:pt idx="237">
                  <c:v>45657</c:v>
                </c:pt>
                <c:pt idx="238">
                  <c:v>45659</c:v>
                </c:pt>
                <c:pt idx="239">
                  <c:v>45660</c:v>
                </c:pt>
                <c:pt idx="240">
                  <c:v>45663</c:v>
                </c:pt>
                <c:pt idx="241">
                  <c:v>45664</c:v>
                </c:pt>
                <c:pt idx="242">
                  <c:v>45665</c:v>
                </c:pt>
                <c:pt idx="243">
                  <c:v>45667</c:v>
                </c:pt>
                <c:pt idx="244">
                  <c:v>45670</c:v>
                </c:pt>
                <c:pt idx="245">
                  <c:v>45671</c:v>
                </c:pt>
                <c:pt idx="246">
                  <c:v>45672</c:v>
                </c:pt>
                <c:pt idx="247">
                  <c:v>45673</c:v>
                </c:pt>
                <c:pt idx="248">
                  <c:v>45674</c:v>
                </c:pt>
                <c:pt idx="249">
                  <c:v>45678</c:v>
                </c:pt>
                <c:pt idx="250">
                  <c:v>45679</c:v>
                </c:pt>
                <c:pt idx="251">
                  <c:v>45680</c:v>
                </c:pt>
                <c:pt idx="252">
                  <c:v>45681</c:v>
                </c:pt>
                <c:pt idx="253">
                  <c:v>45684</c:v>
                </c:pt>
                <c:pt idx="254">
                  <c:v>45685</c:v>
                </c:pt>
                <c:pt idx="255">
                  <c:v>45686</c:v>
                </c:pt>
                <c:pt idx="256">
                  <c:v>45687</c:v>
                </c:pt>
                <c:pt idx="257">
                  <c:v>45688</c:v>
                </c:pt>
                <c:pt idx="258">
                  <c:v>45691</c:v>
                </c:pt>
                <c:pt idx="259">
                  <c:v>45692</c:v>
                </c:pt>
                <c:pt idx="260">
                  <c:v>45693</c:v>
                </c:pt>
                <c:pt idx="261">
                  <c:v>45694</c:v>
                </c:pt>
                <c:pt idx="262">
                  <c:v>45695</c:v>
                </c:pt>
                <c:pt idx="263">
                  <c:v>45698</c:v>
                </c:pt>
                <c:pt idx="264">
                  <c:v>45699</c:v>
                </c:pt>
                <c:pt idx="265">
                  <c:v>45700</c:v>
                </c:pt>
                <c:pt idx="266">
                  <c:v>45701</c:v>
                </c:pt>
                <c:pt idx="267">
                  <c:v>45702</c:v>
                </c:pt>
                <c:pt idx="268">
                  <c:v>45706</c:v>
                </c:pt>
                <c:pt idx="269">
                  <c:v>45707</c:v>
                </c:pt>
                <c:pt idx="270">
                  <c:v>45708</c:v>
                </c:pt>
                <c:pt idx="271">
                  <c:v>45709</c:v>
                </c:pt>
                <c:pt idx="272">
                  <c:v>45712</c:v>
                </c:pt>
                <c:pt idx="273">
                  <c:v>45713</c:v>
                </c:pt>
                <c:pt idx="274">
                  <c:v>45714</c:v>
                </c:pt>
                <c:pt idx="275">
                  <c:v>45715</c:v>
                </c:pt>
                <c:pt idx="276">
                  <c:v>45716</c:v>
                </c:pt>
                <c:pt idx="277">
                  <c:v>45719</c:v>
                </c:pt>
                <c:pt idx="278">
                  <c:v>45720</c:v>
                </c:pt>
                <c:pt idx="279">
                  <c:v>45721</c:v>
                </c:pt>
                <c:pt idx="280">
                  <c:v>45722</c:v>
                </c:pt>
                <c:pt idx="281">
                  <c:v>45723</c:v>
                </c:pt>
                <c:pt idx="282">
                  <c:v>45726</c:v>
                </c:pt>
                <c:pt idx="283">
                  <c:v>45727</c:v>
                </c:pt>
                <c:pt idx="284">
                  <c:v>45728</c:v>
                </c:pt>
                <c:pt idx="285">
                  <c:v>45729</c:v>
                </c:pt>
                <c:pt idx="286">
                  <c:v>45730</c:v>
                </c:pt>
                <c:pt idx="287">
                  <c:v>45733</c:v>
                </c:pt>
                <c:pt idx="288">
                  <c:v>45734</c:v>
                </c:pt>
                <c:pt idx="289">
                  <c:v>45735</c:v>
                </c:pt>
                <c:pt idx="290">
                  <c:v>45736</c:v>
                </c:pt>
                <c:pt idx="291">
                  <c:v>45737</c:v>
                </c:pt>
                <c:pt idx="292">
                  <c:v>45740</c:v>
                </c:pt>
                <c:pt idx="293">
                  <c:v>45741</c:v>
                </c:pt>
                <c:pt idx="294">
                  <c:v>45742</c:v>
                </c:pt>
                <c:pt idx="295">
                  <c:v>45743</c:v>
                </c:pt>
                <c:pt idx="296">
                  <c:v>45744</c:v>
                </c:pt>
                <c:pt idx="297">
                  <c:v>45747</c:v>
                </c:pt>
                <c:pt idx="298">
                  <c:v>45748</c:v>
                </c:pt>
                <c:pt idx="299">
                  <c:v>45749</c:v>
                </c:pt>
                <c:pt idx="300">
                  <c:v>45750</c:v>
                </c:pt>
                <c:pt idx="301">
                  <c:v>45751</c:v>
                </c:pt>
                <c:pt idx="302">
                  <c:v>45754</c:v>
                </c:pt>
                <c:pt idx="303">
                  <c:v>45755</c:v>
                </c:pt>
                <c:pt idx="304">
                  <c:v>45756</c:v>
                </c:pt>
                <c:pt idx="305">
                  <c:v>45757</c:v>
                </c:pt>
                <c:pt idx="306">
                  <c:v>45758</c:v>
                </c:pt>
                <c:pt idx="307">
                  <c:v>45761</c:v>
                </c:pt>
                <c:pt idx="308">
                  <c:v>45762</c:v>
                </c:pt>
                <c:pt idx="309">
                  <c:v>45763</c:v>
                </c:pt>
                <c:pt idx="310">
                  <c:v>45764</c:v>
                </c:pt>
                <c:pt idx="311">
                  <c:v>45768</c:v>
                </c:pt>
                <c:pt idx="312">
                  <c:v>45769</c:v>
                </c:pt>
                <c:pt idx="313">
                  <c:v>45770</c:v>
                </c:pt>
                <c:pt idx="314">
                  <c:v>45771</c:v>
                </c:pt>
                <c:pt idx="315">
                  <c:v>45772</c:v>
                </c:pt>
                <c:pt idx="316">
                  <c:v>45775</c:v>
                </c:pt>
                <c:pt idx="317">
                  <c:v>45776</c:v>
                </c:pt>
                <c:pt idx="318">
                  <c:v>45777</c:v>
                </c:pt>
                <c:pt idx="319">
                  <c:v>45778</c:v>
                </c:pt>
                <c:pt idx="320">
                  <c:v>45779</c:v>
                </c:pt>
                <c:pt idx="321">
                  <c:v>45782</c:v>
                </c:pt>
                <c:pt idx="322">
                  <c:v>45783</c:v>
                </c:pt>
                <c:pt idx="323">
                  <c:v>45784</c:v>
                </c:pt>
                <c:pt idx="324">
                  <c:v>45785</c:v>
                </c:pt>
                <c:pt idx="325">
                  <c:v>45786</c:v>
                </c:pt>
                <c:pt idx="326">
                  <c:v>45789</c:v>
                </c:pt>
                <c:pt idx="327">
                  <c:v>45790</c:v>
                </c:pt>
                <c:pt idx="328">
                  <c:v>45791</c:v>
                </c:pt>
                <c:pt idx="329">
                  <c:v>45792</c:v>
                </c:pt>
                <c:pt idx="330">
                  <c:v>45793</c:v>
                </c:pt>
                <c:pt idx="331">
                  <c:v>45796</c:v>
                </c:pt>
                <c:pt idx="332">
                  <c:v>45797</c:v>
                </c:pt>
                <c:pt idx="333">
                  <c:v>45798</c:v>
                </c:pt>
                <c:pt idx="334">
                  <c:v>45799</c:v>
                </c:pt>
                <c:pt idx="335">
                  <c:v>45800</c:v>
                </c:pt>
                <c:pt idx="336">
                  <c:v>45804</c:v>
                </c:pt>
                <c:pt idx="337">
                  <c:v>45805</c:v>
                </c:pt>
                <c:pt idx="338">
                  <c:v>45806</c:v>
                </c:pt>
                <c:pt idx="339">
                  <c:v>45807</c:v>
                </c:pt>
                <c:pt idx="340">
                  <c:v>45810</c:v>
                </c:pt>
                <c:pt idx="341">
                  <c:v>45811</c:v>
                </c:pt>
                <c:pt idx="342">
                  <c:v>45812</c:v>
                </c:pt>
                <c:pt idx="343">
                  <c:v>45813</c:v>
                </c:pt>
                <c:pt idx="344">
                  <c:v>45814</c:v>
                </c:pt>
                <c:pt idx="345">
                  <c:v>45817</c:v>
                </c:pt>
                <c:pt idx="346">
                  <c:v>45818</c:v>
                </c:pt>
                <c:pt idx="347">
                  <c:v>45819</c:v>
                </c:pt>
                <c:pt idx="348">
                  <c:v>45820</c:v>
                </c:pt>
                <c:pt idx="349">
                  <c:v>45821</c:v>
                </c:pt>
                <c:pt idx="350">
                  <c:v>45824</c:v>
                </c:pt>
                <c:pt idx="351">
                  <c:v>45825</c:v>
                </c:pt>
                <c:pt idx="352">
                  <c:v>45826</c:v>
                </c:pt>
                <c:pt idx="353">
                  <c:v>45828</c:v>
                </c:pt>
                <c:pt idx="354">
                  <c:v>45831</c:v>
                </c:pt>
                <c:pt idx="355">
                  <c:v>45832</c:v>
                </c:pt>
                <c:pt idx="356">
                  <c:v>45833</c:v>
                </c:pt>
                <c:pt idx="357">
                  <c:v>45834</c:v>
                </c:pt>
                <c:pt idx="358">
                  <c:v>45835</c:v>
                </c:pt>
                <c:pt idx="359">
                  <c:v>45838</c:v>
                </c:pt>
                <c:pt idx="360">
                  <c:v>45839</c:v>
                </c:pt>
                <c:pt idx="361">
                  <c:v>45840</c:v>
                </c:pt>
                <c:pt idx="362">
                  <c:v>45841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45852</c:v>
                </c:pt>
                <c:pt idx="369">
                  <c:v>45853</c:v>
                </c:pt>
                <c:pt idx="370">
                  <c:v>45854</c:v>
                </c:pt>
                <c:pt idx="371">
                  <c:v>45855</c:v>
                </c:pt>
                <c:pt idx="372">
                  <c:v>45856</c:v>
                </c:pt>
                <c:pt idx="373">
                  <c:v>45859</c:v>
                </c:pt>
                <c:pt idx="374">
                  <c:v>45860</c:v>
                </c:pt>
                <c:pt idx="375">
                  <c:v>45861</c:v>
                </c:pt>
                <c:pt idx="376">
                  <c:v>45862</c:v>
                </c:pt>
                <c:pt idx="377">
                  <c:v>45863</c:v>
                </c:pt>
                <c:pt idx="378">
                  <c:v>45866</c:v>
                </c:pt>
                <c:pt idx="379">
                  <c:v>45867</c:v>
                </c:pt>
                <c:pt idx="380">
                  <c:v>45868</c:v>
                </c:pt>
                <c:pt idx="381">
                  <c:v>45869</c:v>
                </c:pt>
                <c:pt idx="382">
                  <c:v>45870</c:v>
                </c:pt>
                <c:pt idx="383">
                  <c:v>45873</c:v>
                </c:pt>
                <c:pt idx="384">
                  <c:v>45874</c:v>
                </c:pt>
                <c:pt idx="385">
                  <c:v>45875</c:v>
                </c:pt>
                <c:pt idx="386">
                  <c:v>45876</c:v>
                </c:pt>
                <c:pt idx="387">
                  <c:v>45877</c:v>
                </c:pt>
                <c:pt idx="388">
                  <c:v>45880</c:v>
                </c:pt>
                <c:pt idx="389">
                  <c:v>45881</c:v>
                </c:pt>
                <c:pt idx="390">
                  <c:v>45882</c:v>
                </c:pt>
                <c:pt idx="391">
                  <c:v>45883</c:v>
                </c:pt>
                <c:pt idx="392">
                  <c:v>45884</c:v>
                </c:pt>
                <c:pt idx="393">
                  <c:v>45887</c:v>
                </c:pt>
                <c:pt idx="394">
                  <c:v>45888</c:v>
                </c:pt>
                <c:pt idx="395">
                  <c:v>45889</c:v>
                </c:pt>
                <c:pt idx="396">
                  <c:v>45890</c:v>
                </c:pt>
                <c:pt idx="397">
                  <c:v>45891</c:v>
                </c:pt>
                <c:pt idx="398">
                  <c:v>45894</c:v>
                </c:pt>
                <c:pt idx="399">
                  <c:v>45895</c:v>
                </c:pt>
                <c:pt idx="400">
                  <c:v>45896</c:v>
                </c:pt>
                <c:pt idx="401">
                  <c:v>45897</c:v>
                </c:pt>
                <c:pt idx="402">
                  <c:v>45898</c:v>
                </c:pt>
                <c:pt idx="403">
                  <c:v>45902</c:v>
                </c:pt>
                <c:pt idx="404">
                  <c:v>45903</c:v>
                </c:pt>
                <c:pt idx="405">
                  <c:v>45904</c:v>
                </c:pt>
                <c:pt idx="406">
                  <c:v>45905</c:v>
                </c:pt>
                <c:pt idx="407">
                  <c:v>45908</c:v>
                </c:pt>
                <c:pt idx="408">
                  <c:v>45909</c:v>
                </c:pt>
                <c:pt idx="409">
                  <c:v>45910</c:v>
                </c:pt>
                <c:pt idx="410">
                  <c:v>45911</c:v>
                </c:pt>
                <c:pt idx="411">
                  <c:v>45912</c:v>
                </c:pt>
                <c:pt idx="412">
                  <c:v>45915</c:v>
                </c:pt>
                <c:pt idx="413">
                  <c:v>45916</c:v>
                </c:pt>
                <c:pt idx="414">
                  <c:v>45917</c:v>
                </c:pt>
                <c:pt idx="415">
                  <c:v>45918</c:v>
                </c:pt>
                <c:pt idx="416">
                  <c:v>45919</c:v>
                </c:pt>
                <c:pt idx="417">
                  <c:v>45922</c:v>
                </c:pt>
                <c:pt idx="418">
                  <c:v>45923</c:v>
                </c:pt>
                <c:pt idx="419">
                  <c:v>45924</c:v>
                </c:pt>
                <c:pt idx="420">
                  <c:v>45925</c:v>
                </c:pt>
                <c:pt idx="421">
                  <c:v>45926</c:v>
                </c:pt>
                <c:pt idx="422">
                  <c:v>45929</c:v>
                </c:pt>
                <c:pt idx="423">
                  <c:v>45930</c:v>
                </c:pt>
                <c:pt idx="424">
                  <c:v>45931</c:v>
                </c:pt>
                <c:pt idx="425">
                  <c:v>45932</c:v>
                </c:pt>
                <c:pt idx="426">
                  <c:v>45933</c:v>
                </c:pt>
                <c:pt idx="427">
                  <c:v>45936</c:v>
                </c:pt>
                <c:pt idx="428">
                  <c:v>45937</c:v>
                </c:pt>
                <c:pt idx="429">
                  <c:v>45938</c:v>
                </c:pt>
                <c:pt idx="430">
                  <c:v>45939</c:v>
                </c:pt>
                <c:pt idx="431">
                  <c:v>45940</c:v>
                </c:pt>
                <c:pt idx="432">
                  <c:v>45943</c:v>
                </c:pt>
                <c:pt idx="433">
                  <c:v>45944</c:v>
                </c:pt>
                <c:pt idx="434">
                  <c:v>45945</c:v>
                </c:pt>
                <c:pt idx="435">
                  <c:v>45946</c:v>
                </c:pt>
                <c:pt idx="436">
                  <c:v>45947</c:v>
                </c:pt>
                <c:pt idx="437">
                  <c:v>45950</c:v>
                </c:pt>
                <c:pt idx="438">
                  <c:v>45951</c:v>
                </c:pt>
                <c:pt idx="439">
                  <c:v>45952</c:v>
                </c:pt>
                <c:pt idx="440">
                  <c:v>45953</c:v>
                </c:pt>
                <c:pt idx="441">
                  <c:v>45954</c:v>
                </c:pt>
                <c:pt idx="442">
                  <c:v>45957</c:v>
                </c:pt>
                <c:pt idx="443">
                  <c:v>45958</c:v>
                </c:pt>
                <c:pt idx="444">
                  <c:v>45959</c:v>
                </c:pt>
                <c:pt idx="445">
                  <c:v>45960</c:v>
                </c:pt>
                <c:pt idx="446">
                  <c:v>45961</c:v>
                </c:pt>
                <c:pt idx="447">
                  <c:v>45964</c:v>
                </c:pt>
                <c:pt idx="448">
                  <c:v>45965</c:v>
                </c:pt>
                <c:pt idx="449">
                  <c:v>45966</c:v>
                </c:pt>
                <c:pt idx="450">
                  <c:v>45967</c:v>
                </c:pt>
                <c:pt idx="451">
                  <c:v>45968</c:v>
                </c:pt>
                <c:pt idx="452">
                  <c:v>45971</c:v>
                </c:pt>
                <c:pt idx="453">
                  <c:v>45972</c:v>
                </c:pt>
                <c:pt idx="454">
                  <c:v>45973</c:v>
                </c:pt>
                <c:pt idx="455">
                  <c:v>45974</c:v>
                </c:pt>
                <c:pt idx="456">
                  <c:v>45975</c:v>
                </c:pt>
                <c:pt idx="457">
                  <c:v>45978</c:v>
                </c:pt>
                <c:pt idx="458">
                  <c:v>45979</c:v>
                </c:pt>
                <c:pt idx="459">
                  <c:v>45980</c:v>
                </c:pt>
                <c:pt idx="460">
                  <c:v>45981</c:v>
                </c:pt>
                <c:pt idx="461">
                  <c:v>45982</c:v>
                </c:pt>
                <c:pt idx="462">
                  <c:v>45985</c:v>
                </c:pt>
                <c:pt idx="463">
                  <c:v>45986</c:v>
                </c:pt>
                <c:pt idx="464">
                  <c:v>45987</c:v>
                </c:pt>
                <c:pt idx="465">
                  <c:v>45989</c:v>
                </c:pt>
                <c:pt idx="466">
                  <c:v>45992</c:v>
                </c:pt>
                <c:pt idx="467">
                  <c:v>45993</c:v>
                </c:pt>
                <c:pt idx="468">
                  <c:v>45994</c:v>
                </c:pt>
                <c:pt idx="469">
                  <c:v>45995</c:v>
                </c:pt>
                <c:pt idx="470">
                  <c:v>45996</c:v>
                </c:pt>
                <c:pt idx="471">
                  <c:v>45999</c:v>
                </c:pt>
                <c:pt idx="472">
                  <c:v>46000</c:v>
                </c:pt>
                <c:pt idx="473">
                  <c:v>46001</c:v>
                </c:pt>
                <c:pt idx="474">
                  <c:v>46002</c:v>
                </c:pt>
                <c:pt idx="475">
                  <c:v>46003</c:v>
                </c:pt>
                <c:pt idx="476">
                  <c:v>46006</c:v>
                </c:pt>
                <c:pt idx="477">
                  <c:v>46007</c:v>
                </c:pt>
                <c:pt idx="478">
                  <c:v>46008</c:v>
                </c:pt>
                <c:pt idx="479">
                  <c:v>46009</c:v>
                </c:pt>
                <c:pt idx="480">
                  <c:v>46010</c:v>
                </c:pt>
              </c:numCache>
            </c:numRef>
          </c:cat>
          <c:val>
            <c:numRef>
              <c:f>ConEd!$J$16:$J$496</c:f>
              <c:numCache>
                <c:formatCode>General</c:formatCode>
                <c:ptCount val="48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33-41D9-8C09-1B7F9BD3D199}"/>
            </c:ext>
          </c:extLst>
        </c:ser>
        <c:ser>
          <c:idx val="2"/>
          <c:order val="2"/>
          <c:tx>
            <c:strRef>
              <c:f>ConEd!$K$1:$K$15</c:f>
              <c:strCache>
                <c:ptCount val="15"/>
                <c:pt idx="0">
                  <c:v>OverBought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ConEd!$A$16:$A$496</c:f>
              <c:numCache>
                <c:formatCode>m/d/yyyy</c:formatCode>
                <c:ptCount val="481"/>
                <c:pt idx="0">
                  <c:v>45314</c:v>
                </c:pt>
                <c:pt idx="1">
                  <c:v>45315</c:v>
                </c:pt>
                <c:pt idx="2">
                  <c:v>45316</c:v>
                </c:pt>
                <c:pt idx="3">
                  <c:v>45317</c:v>
                </c:pt>
                <c:pt idx="4">
                  <c:v>45320</c:v>
                </c:pt>
                <c:pt idx="5">
                  <c:v>45321</c:v>
                </c:pt>
                <c:pt idx="6">
                  <c:v>45322</c:v>
                </c:pt>
                <c:pt idx="7">
                  <c:v>45323</c:v>
                </c:pt>
                <c:pt idx="8">
                  <c:v>45324</c:v>
                </c:pt>
                <c:pt idx="9">
                  <c:v>45327</c:v>
                </c:pt>
                <c:pt idx="10">
                  <c:v>45328</c:v>
                </c:pt>
                <c:pt idx="11">
                  <c:v>45329</c:v>
                </c:pt>
                <c:pt idx="12">
                  <c:v>45330</c:v>
                </c:pt>
                <c:pt idx="13">
                  <c:v>45331</c:v>
                </c:pt>
                <c:pt idx="14">
                  <c:v>45334</c:v>
                </c:pt>
                <c:pt idx="15">
                  <c:v>45335</c:v>
                </c:pt>
                <c:pt idx="16">
                  <c:v>45336</c:v>
                </c:pt>
                <c:pt idx="17">
                  <c:v>45337</c:v>
                </c:pt>
                <c:pt idx="18">
                  <c:v>45338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45348</c:v>
                </c:pt>
                <c:pt idx="24">
                  <c:v>45349</c:v>
                </c:pt>
                <c:pt idx="25">
                  <c:v>45350</c:v>
                </c:pt>
                <c:pt idx="26">
                  <c:v>45351</c:v>
                </c:pt>
                <c:pt idx="27">
                  <c:v>45352</c:v>
                </c:pt>
                <c:pt idx="28">
                  <c:v>45355</c:v>
                </c:pt>
                <c:pt idx="29">
                  <c:v>45356</c:v>
                </c:pt>
                <c:pt idx="30">
                  <c:v>45357</c:v>
                </c:pt>
                <c:pt idx="31">
                  <c:v>45358</c:v>
                </c:pt>
                <c:pt idx="32">
                  <c:v>45359</c:v>
                </c:pt>
                <c:pt idx="33">
                  <c:v>45362</c:v>
                </c:pt>
                <c:pt idx="34">
                  <c:v>45363</c:v>
                </c:pt>
                <c:pt idx="35">
                  <c:v>45364</c:v>
                </c:pt>
                <c:pt idx="36">
                  <c:v>45365</c:v>
                </c:pt>
                <c:pt idx="37">
                  <c:v>45366</c:v>
                </c:pt>
                <c:pt idx="38">
                  <c:v>45369</c:v>
                </c:pt>
                <c:pt idx="39">
                  <c:v>45370</c:v>
                </c:pt>
                <c:pt idx="40">
                  <c:v>45371</c:v>
                </c:pt>
                <c:pt idx="41">
                  <c:v>45372</c:v>
                </c:pt>
                <c:pt idx="42">
                  <c:v>45373</c:v>
                </c:pt>
                <c:pt idx="43">
                  <c:v>45376</c:v>
                </c:pt>
                <c:pt idx="44">
                  <c:v>45377</c:v>
                </c:pt>
                <c:pt idx="45">
                  <c:v>45378</c:v>
                </c:pt>
                <c:pt idx="46">
                  <c:v>45379</c:v>
                </c:pt>
                <c:pt idx="47">
                  <c:v>45383</c:v>
                </c:pt>
                <c:pt idx="48">
                  <c:v>45384</c:v>
                </c:pt>
                <c:pt idx="49">
                  <c:v>45385</c:v>
                </c:pt>
                <c:pt idx="50">
                  <c:v>45386</c:v>
                </c:pt>
                <c:pt idx="51">
                  <c:v>45387</c:v>
                </c:pt>
                <c:pt idx="52">
                  <c:v>45390</c:v>
                </c:pt>
                <c:pt idx="53">
                  <c:v>45391</c:v>
                </c:pt>
                <c:pt idx="54">
                  <c:v>45392</c:v>
                </c:pt>
                <c:pt idx="55">
                  <c:v>45393</c:v>
                </c:pt>
                <c:pt idx="56">
                  <c:v>45394</c:v>
                </c:pt>
                <c:pt idx="57">
                  <c:v>45397</c:v>
                </c:pt>
                <c:pt idx="58">
                  <c:v>45398</c:v>
                </c:pt>
                <c:pt idx="59">
                  <c:v>45399</c:v>
                </c:pt>
                <c:pt idx="60">
                  <c:v>45400</c:v>
                </c:pt>
                <c:pt idx="61">
                  <c:v>45401</c:v>
                </c:pt>
                <c:pt idx="62">
                  <c:v>45404</c:v>
                </c:pt>
                <c:pt idx="63">
                  <c:v>45405</c:v>
                </c:pt>
                <c:pt idx="64">
                  <c:v>45406</c:v>
                </c:pt>
                <c:pt idx="65">
                  <c:v>45407</c:v>
                </c:pt>
                <c:pt idx="66">
                  <c:v>45408</c:v>
                </c:pt>
                <c:pt idx="67">
                  <c:v>45411</c:v>
                </c:pt>
                <c:pt idx="68">
                  <c:v>45412</c:v>
                </c:pt>
                <c:pt idx="69">
                  <c:v>45413</c:v>
                </c:pt>
                <c:pt idx="70">
                  <c:v>45414</c:v>
                </c:pt>
                <c:pt idx="71">
                  <c:v>45415</c:v>
                </c:pt>
                <c:pt idx="72">
                  <c:v>45418</c:v>
                </c:pt>
                <c:pt idx="73">
                  <c:v>45419</c:v>
                </c:pt>
                <c:pt idx="74">
                  <c:v>45420</c:v>
                </c:pt>
                <c:pt idx="75">
                  <c:v>45421</c:v>
                </c:pt>
                <c:pt idx="76">
                  <c:v>45422</c:v>
                </c:pt>
                <c:pt idx="77">
                  <c:v>45425</c:v>
                </c:pt>
                <c:pt idx="78">
                  <c:v>45426</c:v>
                </c:pt>
                <c:pt idx="79">
                  <c:v>45427</c:v>
                </c:pt>
                <c:pt idx="80">
                  <c:v>45428</c:v>
                </c:pt>
                <c:pt idx="81">
                  <c:v>45429</c:v>
                </c:pt>
                <c:pt idx="82">
                  <c:v>45432</c:v>
                </c:pt>
                <c:pt idx="83">
                  <c:v>45433</c:v>
                </c:pt>
                <c:pt idx="84">
                  <c:v>45434</c:v>
                </c:pt>
                <c:pt idx="85">
                  <c:v>45435</c:v>
                </c:pt>
                <c:pt idx="86">
                  <c:v>45436</c:v>
                </c:pt>
                <c:pt idx="87">
                  <c:v>45440</c:v>
                </c:pt>
                <c:pt idx="88">
                  <c:v>45441</c:v>
                </c:pt>
                <c:pt idx="89">
                  <c:v>45442</c:v>
                </c:pt>
                <c:pt idx="90">
                  <c:v>45443</c:v>
                </c:pt>
                <c:pt idx="91">
                  <c:v>45446</c:v>
                </c:pt>
                <c:pt idx="92">
                  <c:v>45447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45453</c:v>
                </c:pt>
                <c:pt idx="97">
                  <c:v>45454</c:v>
                </c:pt>
                <c:pt idx="98">
                  <c:v>45455</c:v>
                </c:pt>
                <c:pt idx="99">
                  <c:v>45456</c:v>
                </c:pt>
                <c:pt idx="100">
                  <c:v>45457</c:v>
                </c:pt>
                <c:pt idx="101">
                  <c:v>45460</c:v>
                </c:pt>
                <c:pt idx="102">
                  <c:v>45461</c:v>
                </c:pt>
                <c:pt idx="103">
                  <c:v>45463</c:v>
                </c:pt>
                <c:pt idx="104">
                  <c:v>45464</c:v>
                </c:pt>
                <c:pt idx="105">
                  <c:v>45467</c:v>
                </c:pt>
                <c:pt idx="106">
                  <c:v>45468</c:v>
                </c:pt>
                <c:pt idx="107">
                  <c:v>45469</c:v>
                </c:pt>
                <c:pt idx="108">
                  <c:v>45470</c:v>
                </c:pt>
                <c:pt idx="109">
                  <c:v>45471</c:v>
                </c:pt>
                <c:pt idx="110">
                  <c:v>45474</c:v>
                </c:pt>
                <c:pt idx="111">
                  <c:v>45475</c:v>
                </c:pt>
                <c:pt idx="112">
                  <c:v>45476</c:v>
                </c:pt>
                <c:pt idx="113">
                  <c:v>45478</c:v>
                </c:pt>
                <c:pt idx="114">
                  <c:v>45481</c:v>
                </c:pt>
                <c:pt idx="115">
                  <c:v>45482</c:v>
                </c:pt>
                <c:pt idx="116">
                  <c:v>45483</c:v>
                </c:pt>
                <c:pt idx="117">
                  <c:v>45484</c:v>
                </c:pt>
                <c:pt idx="118">
                  <c:v>45485</c:v>
                </c:pt>
                <c:pt idx="119">
                  <c:v>45488</c:v>
                </c:pt>
                <c:pt idx="120">
                  <c:v>45489</c:v>
                </c:pt>
                <c:pt idx="121">
                  <c:v>45490</c:v>
                </c:pt>
                <c:pt idx="122">
                  <c:v>45491</c:v>
                </c:pt>
                <c:pt idx="123">
                  <c:v>45492</c:v>
                </c:pt>
                <c:pt idx="124">
                  <c:v>45495</c:v>
                </c:pt>
                <c:pt idx="125">
                  <c:v>45496</c:v>
                </c:pt>
                <c:pt idx="126">
                  <c:v>45497</c:v>
                </c:pt>
                <c:pt idx="127">
                  <c:v>45498</c:v>
                </c:pt>
                <c:pt idx="128">
                  <c:v>45499</c:v>
                </c:pt>
                <c:pt idx="129">
                  <c:v>45502</c:v>
                </c:pt>
                <c:pt idx="130">
                  <c:v>45503</c:v>
                </c:pt>
                <c:pt idx="131">
                  <c:v>45504</c:v>
                </c:pt>
                <c:pt idx="132">
                  <c:v>45505</c:v>
                </c:pt>
                <c:pt idx="133">
                  <c:v>45506</c:v>
                </c:pt>
                <c:pt idx="134">
                  <c:v>45509</c:v>
                </c:pt>
                <c:pt idx="135">
                  <c:v>45510</c:v>
                </c:pt>
                <c:pt idx="136">
                  <c:v>45511</c:v>
                </c:pt>
                <c:pt idx="137">
                  <c:v>45512</c:v>
                </c:pt>
                <c:pt idx="138">
                  <c:v>45513</c:v>
                </c:pt>
                <c:pt idx="139">
                  <c:v>45516</c:v>
                </c:pt>
                <c:pt idx="140">
                  <c:v>45517</c:v>
                </c:pt>
                <c:pt idx="141">
                  <c:v>45518</c:v>
                </c:pt>
                <c:pt idx="142">
                  <c:v>45519</c:v>
                </c:pt>
                <c:pt idx="143">
                  <c:v>45520</c:v>
                </c:pt>
                <c:pt idx="144">
                  <c:v>45523</c:v>
                </c:pt>
                <c:pt idx="145">
                  <c:v>45524</c:v>
                </c:pt>
                <c:pt idx="146">
                  <c:v>45525</c:v>
                </c:pt>
                <c:pt idx="147">
                  <c:v>45526</c:v>
                </c:pt>
                <c:pt idx="148">
                  <c:v>45527</c:v>
                </c:pt>
                <c:pt idx="149">
                  <c:v>45530</c:v>
                </c:pt>
                <c:pt idx="150">
                  <c:v>45531</c:v>
                </c:pt>
                <c:pt idx="151">
                  <c:v>45532</c:v>
                </c:pt>
                <c:pt idx="152">
                  <c:v>45533</c:v>
                </c:pt>
                <c:pt idx="153">
                  <c:v>45534</c:v>
                </c:pt>
                <c:pt idx="154">
                  <c:v>45538</c:v>
                </c:pt>
                <c:pt idx="155">
                  <c:v>45539</c:v>
                </c:pt>
                <c:pt idx="156">
                  <c:v>45540</c:v>
                </c:pt>
                <c:pt idx="157">
                  <c:v>45541</c:v>
                </c:pt>
                <c:pt idx="158">
                  <c:v>45544</c:v>
                </c:pt>
                <c:pt idx="159">
                  <c:v>45545</c:v>
                </c:pt>
                <c:pt idx="160">
                  <c:v>45546</c:v>
                </c:pt>
                <c:pt idx="161">
                  <c:v>45547</c:v>
                </c:pt>
                <c:pt idx="162">
                  <c:v>45548</c:v>
                </c:pt>
                <c:pt idx="163">
                  <c:v>45551</c:v>
                </c:pt>
                <c:pt idx="164">
                  <c:v>45552</c:v>
                </c:pt>
                <c:pt idx="165">
                  <c:v>45553</c:v>
                </c:pt>
                <c:pt idx="166">
                  <c:v>45554</c:v>
                </c:pt>
                <c:pt idx="167">
                  <c:v>45555</c:v>
                </c:pt>
                <c:pt idx="168">
                  <c:v>45558</c:v>
                </c:pt>
                <c:pt idx="169">
                  <c:v>45559</c:v>
                </c:pt>
                <c:pt idx="170">
                  <c:v>45560</c:v>
                </c:pt>
                <c:pt idx="171">
                  <c:v>45561</c:v>
                </c:pt>
                <c:pt idx="172">
                  <c:v>45562</c:v>
                </c:pt>
                <c:pt idx="173">
                  <c:v>45565</c:v>
                </c:pt>
                <c:pt idx="174">
                  <c:v>45566</c:v>
                </c:pt>
                <c:pt idx="175">
                  <c:v>45567</c:v>
                </c:pt>
                <c:pt idx="176">
                  <c:v>45568</c:v>
                </c:pt>
                <c:pt idx="177">
                  <c:v>45569</c:v>
                </c:pt>
                <c:pt idx="178">
                  <c:v>45572</c:v>
                </c:pt>
                <c:pt idx="179">
                  <c:v>45573</c:v>
                </c:pt>
                <c:pt idx="180">
                  <c:v>45574</c:v>
                </c:pt>
                <c:pt idx="181">
                  <c:v>45575</c:v>
                </c:pt>
                <c:pt idx="182">
                  <c:v>45576</c:v>
                </c:pt>
                <c:pt idx="183">
                  <c:v>45579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45586</c:v>
                </c:pt>
                <c:pt idx="189">
                  <c:v>45587</c:v>
                </c:pt>
                <c:pt idx="190">
                  <c:v>45588</c:v>
                </c:pt>
                <c:pt idx="191">
                  <c:v>45589</c:v>
                </c:pt>
                <c:pt idx="192">
                  <c:v>45590</c:v>
                </c:pt>
                <c:pt idx="193">
                  <c:v>45593</c:v>
                </c:pt>
                <c:pt idx="194">
                  <c:v>45594</c:v>
                </c:pt>
                <c:pt idx="195">
                  <c:v>45595</c:v>
                </c:pt>
                <c:pt idx="196">
                  <c:v>45596</c:v>
                </c:pt>
                <c:pt idx="197">
                  <c:v>45597</c:v>
                </c:pt>
                <c:pt idx="198">
                  <c:v>45600</c:v>
                </c:pt>
                <c:pt idx="199">
                  <c:v>45601</c:v>
                </c:pt>
                <c:pt idx="200">
                  <c:v>45602</c:v>
                </c:pt>
                <c:pt idx="201">
                  <c:v>45603</c:v>
                </c:pt>
                <c:pt idx="202">
                  <c:v>45604</c:v>
                </c:pt>
                <c:pt idx="203">
                  <c:v>45607</c:v>
                </c:pt>
                <c:pt idx="204">
                  <c:v>45608</c:v>
                </c:pt>
                <c:pt idx="205">
                  <c:v>45609</c:v>
                </c:pt>
                <c:pt idx="206">
                  <c:v>45610</c:v>
                </c:pt>
                <c:pt idx="207">
                  <c:v>45611</c:v>
                </c:pt>
                <c:pt idx="208">
                  <c:v>45614</c:v>
                </c:pt>
                <c:pt idx="209">
                  <c:v>45615</c:v>
                </c:pt>
                <c:pt idx="210">
                  <c:v>45616</c:v>
                </c:pt>
                <c:pt idx="211">
                  <c:v>45617</c:v>
                </c:pt>
                <c:pt idx="212">
                  <c:v>45618</c:v>
                </c:pt>
                <c:pt idx="213">
                  <c:v>45621</c:v>
                </c:pt>
                <c:pt idx="214">
                  <c:v>45622</c:v>
                </c:pt>
                <c:pt idx="215">
                  <c:v>45623</c:v>
                </c:pt>
                <c:pt idx="216">
                  <c:v>45625</c:v>
                </c:pt>
                <c:pt idx="217">
                  <c:v>45628</c:v>
                </c:pt>
                <c:pt idx="218">
                  <c:v>45629</c:v>
                </c:pt>
                <c:pt idx="219">
                  <c:v>45630</c:v>
                </c:pt>
                <c:pt idx="220">
                  <c:v>45631</c:v>
                </c:pt>
                <c:pt idx="221">
                  <c:v>45632</c:v>
                </c:pt>
                <c:pt idx="222">
                  <c:v>45635</c:v>
                </c:pt>
                <c:pt idx="223">
                  <c:v>45636</c:v>
                </c:pt>
                <c:pt idx="224">
                  <c:v>45637</c:v>
                </c:pt>
                <c:pt idx="225">
                  <c:v>45638</c:v>
                </c:pt>
                <c:pt idx="226">
                  <c:v>45639</c:v>
                </c:pt>
                <c:pt idx="227">
                  <c:v>45642</c:v>
                </c:pt>
                <c:pt idx="228">
                  <c:v>45643</c:v>
                </c:pt>
                <c:pt idx="229">
                  <c:v>45644</c:v>
                </c:pt>
                <c:pt idx="230">
                  <c:v>45645</c:v>
                </c:pt>
                <c:pt idx="231">
                  <c:v>45646</c:v>
                </c:pt>
                <c:pt idx="232">
                  <c:v>45649</c:v>
                </c:pt>
                <c:pt idx="233">
                  <c:v>45650</c:v>
                </c:pt>
                <c:pt idx="234">
                  <c:v>45652</c:v>
                </c:pt>
                <c:pt idx="235">
                  <c:v>45653</c:v>
                </c:pt>
                <c:pt idx="236">
                  <c:v>45656</c:v>
                </c:pt>
                <c:pt idx="237">
                  <c:v>45657</c:v>
                </c:pt>
                <c:pt idx="238">
                  <c:v>45659</c:v>
                </c:pt>
                <c:pt idx="239">
                  <c:v>45660</c:v>
                </c:pt>
                <c:pt idx="240">
                  <c:v>45663</c:v>
                </c:pt>
                <c:pt idx="241">
                  <c:v>45664</c:v>
                </c:pt>
                <c:pt idx="242">
                  <c:v>45665</c:v>
                </c:pt>
                <c:pt idx="243">
                  <c:v>45667</c:v>
                </c:pt>
                <c:pt idx="244">
                  <c:v>45670</c:v>
                </c:pt>
                <c:pt idx="245">
                  <c:v>45671</c:v>
                </c:pt>
                <c:pt idx="246">
                  <c:v>45672</c:v>
                </c:pt>
                <c:pt idx="247">
                  <c:v>45673</c:v>
                </c:pt>
                <c:pt idx="248">
                  <c:v>45674</c:v>
                </c:pt>
                <c:pt idx="249">
                  <c:v>45678</c:v>
                </c:pt>
                <c:pt idx="250">
                  <c:v>45679</c:v>
                </c:pt>
                <c:pt idx="251">
                  <c:v>45680</c:v>
                </c:pt>
                <c:pt idx="252">
                  <c:v>45681</c:v>
                </c:pt>
                <c:pt idx="253">
                  <c:v>45684</c:v>
                </c:pt>
                <c:pt idx="254">
                  <c:v>45685</c:v>
                </c:pt>
                <c:pt idx="255">
                  <c:v>45686</c:v>
                </c:pt>
                <c:pt idx="256">
                  <c:v>45687</c:v>
                </c:pt>
                <c:pt idx="257">
                  <c:v>45688</c:v>
                </c:pt>
                <c:pt idx="258">
                  <c:v>45691</c:v>
                </c:pt>
                <c:pt idx="259">
                  <c:v>45692</c:v>
                </c:pt>
                <c:pt idx="260">
                  <c:v>45693</c:v>
                </c:pt>
                <c:pt idx="261">
                  <c:v>45694</c:v>
                </c:pt>
                <c:pt idx="262">
                  <c:v>45695</c:v>
                </c:pt>
                <c:pt idx="263">
                  <c:v>45698</c:v>
                </c:pt>
                <c:pt idx="264">
                  <c:v>45699</c:v>
                </c:pt>
                <c:pt idx="265">
                  <c:v>45700</c:v>
                </c:pt>
                <c:pt idx="266">
                  <c:v>45701</c:v>
                </c:pt>
                <c:pt idx="267">
                  <c:v>45702</c:v>
                </c:pt>
                <c:pt idx="268">
                  <c:v>45706</c:v>
                </c:pt>
                <c:pt idx="269">
                  <c:v>45707</c:v>
                </c:pt>
                <c:pt idx="270">
                  <c:v>45708</c:v>
                </c:pt>
                <c:pt idx="271">
                  <c:v>45709</c:v>
                </c:pt>
                <c:pt idx="272">
                  <c:v>45712</c:v>
                </c:pt>
                <c:pt idx="273">
                  <c:v>45713</c:v>
                </c:pt>
                <c:pt idx="274">
                  <c:v>45714</c:v>
                </c:pt>
                <c:pt idx="275">
                  <c:v>45715</c:v>
                </c:pt>
                <c:pt idx="276">
                  <c:v>45716</c:v>
                </c:pt>
                <c:pt idx="277">
                  <c:v>45719</c:v>
                </c:pt>
                <c:pt idx="278">
                  <c:v>45720</c:v>
                </c:pt>
                <c:pt idx="279">
                  <c:v>45721</c:v>
                </c:pt>
                <c:pt idx="280">
                  <c:v>45722</c:v>
                </c:pt>
                <c:pt idx="281">
                  <c:v>45723</c:v>
                </c:pt>
                <c:pt idx="282">
                  <c:v>45726</c:v>
                </c:pt>
                <c:pt idx="283">
                  <c:v>45727</c:v>
                </c:pt>
                <c:pt idx="284">
                  <c:v>45728</c:v>
                </c:pt>
                <c:pt idx="285">
                  <c:v>45729</c:v>
                </c:pt>
                <c:pt idx="286">
                  <c:v>45730</c:v>
                </c:pt>
                <c:pt idx="287">
                  <c:v>45733</c:v>
                </c:pt>
                <c:pt idx="288">
                  <c:v>45734</c:v>
                </c:pt>
                <c:pt idx="289">
                  <c:v>45735</c:v>
                </c:pt>
                <c:pt idx="290">
                  <c:v>45736</c:v>
                </c:pt>
                <c:pt idx="291">
                  <c:v>45737</c:v>
                </c:pt>
                <c:pt idx="292">
                  <c:v>45740</c:v>
                </c:pt>
                <c:pt idx="293">
                  <c:v>45741</c:v>
                </c:pt>
                <c:pt idx="294">
                  <c:v>45742</c:v>
                </c:pt>
                <c:pt idx="295">
                  <c:v>45743</c:v>
                </c:pt>
                <c:pt idx="296">
                  <c:v>45744</c:v>
                </c:pt>
                <c:pt idx="297">
                  <c:v>45747</c:v>
                </c:pt>
                <c:pt idx="298">
                  <c:v>45748</c:v>
                </c:pt>
                <c:pt idx="299">
                  <c:v>45749</c:v>
                </c:pt>
                <c:pt idx="300">
                  <c:v>45750</c:v>
                </c:pt>
                <c:pt idx="301">
                  <c:v>45751</c:v>
                </c:pt>
                <c:pt idx="302">
                  <c:v>45754</c:v>
                </c:pt>
                <c:pt idx="303">
                  <c:v>45755</c:v>
                </c:pt>
                <c:pt idx="304">
                  <c:v>45756</c:v>
                </c:pt>
                <c:pt idx="305">
                  <c:v>45757</c:v>
                </c:pt>
                <c:pt idx="306">
                  <c:v>45758</c:v>
                </c:pt>
                <c:pt idx="307">
                  <c:v>45761</c:v>
                </c:pt>
                <c:pt idx="308">
                  <c:v>45762</c:v>
                </c:pt>
                <c:pt idx="309">
                  <c:v>45763</c:v>
                </c:pt>
                <c:pt idx="310">
                  <c:v>45764</c:v>
                </c:pt>
                <c:pt idx="311">
                  <c:v>45768</c:v>
                </c:pt>
                <c:pt idx="312">
                  <c:v>45769</c:v>
                </c:pt>
                <c:pt idx="313">
                  <c:v>45770</c:v>
                </c:pt>
                <c:pt idx="314">
                  <c:v>45771</c:v>
                </c:pt>
                <c:pt idx="315">
                  <c:v>45772</c:v>
                </c:pt>
                <c:pt idx="316">
                  <c:v>45775</c:v>
                </c:pt>
                <c:pt idx="317">
                  <c:v>45776</c:v>
                </c:pt>
                <c:pt idx="318">
                  <c:v>45777</c:v>
                </c:pt>
                <c:pt idx="319">
                  <c:v>45778</c:v>
                </c:pt>
                <c:pt idx="320">
                  <c:v>45779</c:v>
                </c:pt>
                <c:pt idx="321">
                  <c:v>45782</c:v>
                </c:pt>
                <c:pt idx="322">
                  <c:v>45783</c:v>
                </c:pt>
                <c:pt idx="323">
                  <c:v>45784</c:v>
                </c:pt>
                <c:pt idx="324">
                  <c:v>45785</c:v>
                </c:pt>
                <c:pt idx="325">
                  <c:v>45786</c:v>
                </c:pt>
                <c:pt idx="326">
                  <c:v>45789</c:v>
                </c:pt>
                <c:pt idx="327">
                  <c:v>45790</c:v>
                </c:pt>
                <c:pt idx="328">
                  <c:v>45791</c:v>
                </c:pt>
                <c:pt idx="329">
                  <c:v>45792</c:v>
                </c:pt>
                <c:pt idx="330">
                  <c:v>45793</c:v>
                </c:pt>
                <c:pt idx="331">
                  <c:v>45796</c:v>
                </c:pt>
                <c:pt idx="332">
                  <c:v>45797</c:v>
                </c:pt>
                <c:pt idx="333">
                  <c:v>45798</c:v>
                </c:pt>
                <c:pt idx="334">
                  <c:v>45799</c:v>
                </c:pt>
                <c:pt idx="335">
                  <c:v>45800</c:v>
                </c:pt>
                <c:pt idx="336">
                  <c:v>45804</c:v>
                </c:pt>
                <c:pt idx="337">
                  <c:v>45805</c:v>
                </c:pt>
                <c:pt idx="338">
                  <c:v>45806</c:v>
                </c:pt>
                <c:pt idx="339">
                  <c:v>45807</c:v>
                </c:pt>
                <c:pt idx="340">
                  <c:v>45810</c:v>
                </c:pt>
                <c:pt idx="341">
                  <c:v>45811</c:v>
                </c:pt>
                <c:pt idx="342">
                  <c:v>45812</c:v>
                </c:pt>
                <c:pt idx="343">
                  <c:v>45813</c:v>
                </c:pt>
                <c:pt idx="344">
                  <c:v>45814</c:v>
                </c:pt>
                <c:pt idx="345">
                  <c:v>45817</c:v>
                </c:pt>
                <c:pt idx="346">
                  <c:v>45818</c:v>
                </c:pt>
                <c:pt idx="347">
                  <c:v>45819</c:v>
                </c:pt>
                <c:pt idx="348">
                  <c:v>45820</c:v>
                </c:pt>
                <c:pt idx="349">
                  <c:v>45821</c:v>
                </c:pt>
                <c:pt idx="350">
                  <c:v>45824</c:v>
                </c:pt>
                <c:pt idx="351">
                  <c:v>45825</c:v>
                </c:pt>
                <c:pt idx="352">
                  <c:v>45826</c:v>
                </c:pt>
                <c:pt idx="353">
                  <c:v>45828</c:v>
                </c:pt>
                <c:pt idx="354">
                  <c:v>45831</c:v>
                </c:pt>
                <c:pt idx="355">
                  <c:v>45832</c:v>
                </c:pt>
                <c:pt idx="356">
                  <c:v>45833</c:v>
                </c:pt>
                <c:pt idx="357">
                  <c:v>45834</c:v>
                </c:pt>
                <c:pt idx="358">
                  <c:v>45835</c:v>
                </c:pt>
                <c:pt idx="359">
                  <c:v>45838</c:v>
                </c:pt>
                <c:pt idx="360">
                  <c:v>45839</c:v>
                </c:pt>
                <c:pt idx="361">
                  <c:v>45840</c:v>
                </c:pt>
                <c:pt idx="362">
                  <c:v>45841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45852</c:v>
                </c:pt>
                <c:pt idx="369">
                  <c:v>45853</c:v>
                </c:pt>
                <c:pt idx="370">
                  <c:v>45854</c:v>
                </c:pt>
                <c:pt idx="371">
                  <c:v>45855</c:v>
                </c:pt>
                <c:pt idx="372">
                  <c:v>45856</c:v>
                </c:pt>
                <c:pt idx="373">
                  <c:v>45859</c:v>
                </c:pt>
                <c:pt idx="374">
                  <c:v>45860</c:v>
                </c:pt>
                <c:pt idx="375">
                  <c:v>45861</c:v>
                </c:pt>
                <c:pt idx="376">
                  <c:v>45862</c:v>
                </c:pt>
                <c:pt idx="377">
                  <c:v>45863</c:v>
                </c:pt>
                <c:pt idx="378">
                  <c:v>45866</c:v>
                </c:pt>
                <c:pt idx="379">
                  <c:v>45867</c:v>
                </c:pt>
                <c:pt idx="380">
                  <c:v>45868</c:v>
                </c:pt>
                <c:pt idx="381">
                  <c:v>45869</c:v>
                </c:pt>
                <c:pt idx="382">
                  <c:v>45870</c:v>
                </c:pt>
                <c:pt idx="383">
                  <c:v>45873</c:v>
                </c:pt>
                <c:pt idx="384">
                  <c:v>45874</c:v>
                </c:pt>
                <c:pt idx="385">
                  <c:v>45875</c:v>
                </c:pt>
                <c:pt idx="386">
                  <c:v>45876</c:v>
                </c:pt>
                <c:pt idx="387">
                  <c:v>45877</c:v>
                </c:pt>
                <c:pt idx="388">
                  <c:v>45880</c:v>
                </c:pt>
                <c:pt idx="389">
                  <c:v>45881</c:v>
                </c:pt>
                <c:pt idx="390">
                  <c:v>45882</c:v>
                </c:pt>
                <c:pt idx="391">
                  <c:v>45883</c:v>
                </c:pt>
                <c:pt idx="392">
                  <c:v>45884</c:v>
                </c:pt>
                <c:pt idx="393">
                  <c:v>45887</c:v>
                </c:pt>
                <c:pt idx="394">
                  <c:v>45888</c:v>
                </c:pt>
                <c:pt idx="395">
                  <c:v>45889</c:v>
                </c:pt>
                <c:pt idx="396">
                  <c:v>45890</c:v>
                </c:pt>
                <c:pt idx="397">
                  <c:v>45891</c:v>
                </c:pt>
                <c:pt idx="398">
                  <c:v>45894</c:v>
                </c:pt>
                <c:pt idx="399">
                  <c:v>45895</c:v>
                </c:pt>
                <c:pt idx="400">
                  <c:v>45896</c:v>
                </c:pt>
                <c:pt idx="401">
                  <c:v>45897</c:v>
                </c:pt>
                <c:pt idx="402">
                  <c:v>45898</c:v>
                </c:pt>
                <c:pt idx="403">
                  <c:v>45902</c:v>
                </c:pt>
                <c:pt idx="404">
                  <c:v>45903</c:v>
                </c:pt>
                <c:pt idx="405">
                  <c:v>45904</c:v>
                </c:pt>
                <c:pt idx="406">
                  <c:v>45905</c:v>
                </c:pt>
                <c:pt idx="407">
                  <c:v>45908</c:v>
                </c:pt>
                <c:pt idx="408">
                  <c:v>45909</c:v>
                </c:pt>
                <c:pt idx="409">
                  <c:v>45910</c:v>
                </c:pt>
                <c:pt idx="410">
                  <c:v>45911</c:v>
                </c:pt>
                <c:pt idx="411">
                  <c:v>45912</c:v>
                </c:pt>
                <c:pt idx="412">
                  <c:v>45915</c:v>
                </c:pt>
                <c:pt idx="413">
                  <c:v>45916</c:v>
                </c:pt>
                <c:pt idx="414">
                  <c:v>45917</c:v>
                </c:pt>
                <c:pt idx="415">
                  <c:v>45918</c:v>
                </c:pt>
                <c:pt idx="416">
                  <c:v>45919</c:v>
                </c:pt>
                <c:pt idx="417">
                  <c:v>45922</c:v>
                </c:pt>
                <c:pt idx="418">
                  <c:v>45923</c:v>
                </c:pt>
                <c:pt idx="419">
                  <c:v>45924</c:v>
                </c:pt>
                <c:pt idx="420">
                  <c:v>45925</c:v>
                </c:pt>
                <c:pt idx="421">
                  <c:v>45926</c:v>
                </c:pt>
                <c:pt idx="422">
                  <c:v>45929</c:v>
                </c:pt>
                <c:pt idx="423">
                  <c:v>45930</c:v>
                </c:pt>
                <c:pt idx="424">
                  <c:v>45931</c:v>
                </c:pt>
                <c:pt idx="425">
                  <c:v>45932</c:v>
                </c:pt>
                <c:pt idx="426">
                  <c:v>45933</c:v>
                </c:pt>
                <c:pt idx="427">
                  <c:v>45936</c:v>
                </c:pt>
                <c:pt idx="428">
                  <c:v>45937</c:v>
                </c:pt>
                <c:pt idx="429">
                  <c:v>45938</c:v>
                </c:pt>
                <c:pt idx="430">
                  <c:v>45939</c:v>
                </c:pt>
                <c:pt idx="431">
                  <c:v>45940</c:v>
                </c:pt>
                <c:pt idx="432">
                  <c:v>45943</c:v>
                </c:pt>
                <c:pt idx="433">
                  <c:v>45944</c:v>
                </c:pt>
                <c:pt idx="434">
                  <c:v>45945</c:v>
                </c:pt>
                <c:pt idx="435">
                  <c:v>45946</c:v>
                </c:pt>
                <c:pt idx="436">
                  <c:v>45947</c:v>
                </c:pt>
                <c:pt idx="437">
                  <c:v>45950</c:v>
                </c:pt>
                <c:pt idx="438">
                  <c:v>45951</c:v>
                </c:pt>
                <c:pt idx="439">
                  <c:v>45952</c:v>
                </c:pt>
                <c:pt idx="440">
                  <c:v>45953</c:v>
                </c:pt>
                <c:pt idx="441">
                  <c:v>45954</c:v>
                </c:pt>
                <c:pt idx="442">
                  <c:v>45957</c:v>
                </c:pt>
                <c:pt idx="443">
                  <c:v>45958</c:v>
                </c:pt>
                <c:pt idx="444">
                  <c:v>45959</c:v>
                </c:pt>
                <c:pt idx="445">
                  <c:v>45960</c:v>
                </c:pt>
                <c:pt idx="446">
                  <c:v>45961</c:v>
                </c:pt>
                <c:pt idx="447">
                  <c:v>45964</c:v>
                </c:pt>
                <c:pt idx="448">
                  <c:v>45965</c:v>
                </c:pt>
                <c:pt idx="449">
                  <c:v>45966</c:v>
                </c:pt>
                <c:pt idx="450">
                  <c:v>45967</c:v>
                </c:pt>
                <c:pt idx="451">
                  <c:v>45968</c:v>
                </c:pt>
                <c:pt idx="452">
                  <c:v>45971</c:v>
                </c:pt>
                <c:pt idx="453">
                  <c:v>45972</c:v>
                </c:pt>
                <c:pt idx="454">
                  <c:v>45973</c:v>
                </c:pt>
                <c:pt idx="455">
                  <c:v>45974</c:v>
                </c:pt>
                <c:pt idx="456">
                  <c:v>45975</c:v>
                </c:pt>
                <c:pt idx="457">
                  <c:v>45978</c:v>
                </c:pt>
                <c:pt idx="458">
                  <c:v>45979</c:v>
                </c:pt>
                <c:pt idx="459">
                  <c:v>45980</c:v>
                </c:pt>
                <c:pt idx="460">
                  <c:v>45981</c:v>
                </c:pt>
                <c:pt idx="461">
                  <c:v>45982</c:v>
                </c:pt>
                <c:pt idx="462">
                  <c:v>45985</c:v>
                </c:pt>
                <c:pt idx="463">
                  <c:v>45986</c:v>
                </c:pt>
                <c:pt idx="464">
                  <c:v>45987</c:v>
                </c:pt>
                <c:pt idx="465">
                  <c:v>45989</c:v>
                </c:pt>
                <c:pt idx="466">
                  <c:v>45992</c:v>
                </c:pt>
                <c:pt idx="467">
                  <c:v>45993</c:v>
                </c:pt>
                <c:pt idx="468">
                  <c:v>45994</c:v>
                </c:pt>
                <c:pt idx="469">
                  <c:v>45995</c:v>
                </c:pt>
                <c:pt idx="470">
                  <c:v>45996</c:v>
                </c:pt>
                <c:pt idx="471">
                  <c:v>45999</c:v>
                </c:pt>
                <c:pt idx="472">
                  <c:v>46000</c:v>
                </c:pt>
                <c:pt idx="473">
                  <c:v>46001</c:v>
                </c:pt>
                <c:pt idx="474">
                  <c:v>46002</c:v>
                </c:pt>
                <c:pt idx="475">
                  <c:v>46003</c:v>
                </c:pt>
                <c:pt idx="476">
                  <c:v>46006</c:v>
                </c:pt>
                <c:pt idx="477">
                  <c:v>46007</c:v>
                </c:pt>
                <c:pt idx="478">
                  <c:v>46008</c:v>
                </c:pt>
                <c:pt idx="479">
                  <c:v>46009</c:v>
                </c:pt>
                <c:pt idx="480">
                  <c:v>46010</c:v>
                </c:pt>
              </c:numCache>
            </c:numRef>
          </c:cat>
          <c:val>
            <c:numRef>
              <c:f>ConEd!$K$16:$K$496</c:f>
              <c:numCache>
                <c:formatCode>General</c:formatCode>
                <c:ptCount val="481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33-41D9-8C09-1B7F9BD3D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065375"/>
        <c:axId val="534066335"/>
      </c:lineChart>
      <c:dateAx>
        <c:axId val="534065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066335"/>
        <c:crosses val="autoZero"/>
        <c:auto val="1"/>
        <c:lblOffset val="100"/>
        <c:baseTimeUnit val="days"/>
      </c:dateAx>
      <c:valAx>
        <c:axId val="53406633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06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20409</xdr:colOff>
      <xdr:row>2</xdr:row>
      <xdr:rowOff>111578</xdr:rowOff>
    </xdr:from>
    <xdr:to>
      <xdr:col>14</xdr:col>
      <xdr:colOff>149677</xdr:colOff>
      <xdr:row>26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4C4169-B474-7881-36ED-8130FE02B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0</xdr:row>
      <xdr:rowOff>0</xdr:rowOff>
    </xdr:from>
    <xdr:to>
      <xdr:col>9</xdr:col>
      <xdr:colOff>82412</xdr:colOff>
      <xdr:row>12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EAA6A-EC41-41CB-8C1B-D0684A7A8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546652</xdr:colOff>
      <xdr:row>13</xdr:row>
      <xdr:rowOff>16567</xdr:rowOff>
    </xdr:from>
    <xdr:to>
      <xdr:col>9</xdr:col>
      <xdr:colOff>124240</xdr:colOff>
      <xdr:row>25</xdr:row>
      <xdr:rowOff>157370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B37826-F082-4E5E-AA56-E976FAFEE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" c="495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</a>
  <a r="1" c="495">
    <v>161.5</v>
    <v>160.1</v>
    <v>160.86000000000001</v>
    <v>159.16</v>
    <v>161.13999999999999</v>
    <v>160.08000000000001</v>
    <v>161.22999999999999</v>
    <v>162.16</v>
    <v>165.8</v>
    <v>166.96</v>
    <v>166.08</v>
    <v>166.84</v>
    <v>171.48</v>
    <v>172.83</v>
    <v>173.94</v>
    <v>173.93</v>
    <v>190.43</v>
    <v>187.42</v>
    <v>187.14</v>
    <v>187.87</v>
    <v>183.66</v>
    <v>186.9</v>
    <v>185.79</v>
    <v>183.42</v>
    <v>183.41</v>
    <v>183.74</v>
    <v>184.36</v>
    <v>186.34</v>
    <v>186.16</v>
    <v>183.7</v>
    <v>183.57</v>
    <v>186.87</v>
    <v>187.64</v>
    <v>183.44</v>
    <v>179.7</v>
    <v>184.21</v>
    <v>185.72</v>
    <v>184.13</v>
    <v>184.87</v>
    <v>185.3</v>
    <v>185.03</v>
    <v>188.2</v>
    <v>193.06</v>
    <v>191.95</v>
    <v>196.16</v>
    <v>196.54</v>
    <v>195.95</v>
    <v>191.73</v>
    <v>197.78</v>
    <v>196.7</v>
    <v>193.43</v>
    <v>191.07</v>
    <v>191.69</v>
    <v>193.34</v>
    <v>193.96</v>
    <v>191.9</v>
    <v>190.84</v>
    <v>188.79</v>
    <v>188.5</v>
    <v>190.8</v>
    <v>190.96</v>
    <v>189.83</v>
    <v>188.88</v>
    <v>190.9</v>
    <v>187.94</v>
    <v>189.14</v>
    <v>189.82</v>
    <v>189.31</v>
    <v>186.04</v>
    <v>185.9</v>
    <v>182.27</v>
    <v>181.25</v>
    <v>183.75</v>
    <v>183.1</v>
    <v>181.47</v>
    <v>181.58</v>
    <v>181.9</v>
    <v>182.19</v>
    <v>184.1</v>
    <v>168.91</v>
    <v>167.13</v>
    <v>167.43</v>
    <v>166.2</v>
    <v>164.43</v>
    <v>164.69</v>
    <v>165.71</v>
    <v>168.61</v>
    <v>168.38</v>
    <v>169.9</v>
    <v>166.27</v>
    <v>167.15</v>
    <v>167.56</v>
    <v>167.36</v>
    <v>168.26</v>
    <v>168.97</v>
    <v>169.03</v>
    <v>169.92</v>
    <v>173.47</v>
    <v>173.69</v>
    <v>170.67</v>
    <v>170.89</v>
    <v>169.66</v>
    <v>167.05</v>
    <v>165.63</v>
    <v>166.85</v>
    <v>165.28</v>
    <v>165.81</v>
    <v>167.38</v>
    <v>168.2</v>
    <v>170.01</v>
    <v>170.38</v>
    <v>169.32</v>
    <v>169</v>
    <v>169.12</v>
    <v>169.21</v>
    <v>169.5</v>
    <v>170.55</v>
    <v>173.92</v>
    <v>172.46</v>
    <v>175.01</v>
    <v>172.6</v>
    <v>171.87</v>
    <v>170.85</v>
    <v>172.95</v>
    <v>175.1</v>
    <v>177.3</v>
    <v>175.73</v>
    <v>176.02</v>
    <v>177.64</v>
    <v>176.48</v>
    <v>177.84</v>
    <v>178.31</v>
    <v>182.83</v>
    <v>182.88</v>
    <v>185.81</v>
    <v>187.45</v>
    <v>185.22</v>
    <v>183.25</v>
    <v>184.15</v>
    <v>184.1</v>
    <v>184.02</v>
    <v>191.98</v>
    <v>191.75</v>
    <v>191.5</v>
    <v>191.04</v>
    <v>192.14</v>
    <v>189.66</v>
    <v>189.12</v>
    <v>183.31</v>
    <v>186.8</v>
    <v>186.8</v>
    <v>192.61</v>
    <v>191.45</v>
    <v>189.48</v>
    <v>190.99</v>
    <v>192.32</v>
    <v>193.95</v>
    <v>193.78</v>
    <v>194.73</v>
    <v>196.03</v>
    <v>197.21</v>
    <v>195.96</v>
    <v>196.1</v>
    <v>197.98</v>
    <v>198.73</v>
    <v>198.46</v>
    <v>198.9</v>
    <v>202.13</v>
    <v>201.28</v>
    <v>204.11</v>
    <v>202.59</v>
    <v>200.74</v>
    <v>203.53</v>
    <v>205.32</v>
    <v>209.89</v>
    <v>211.61</v>
    <v>214.79</v>
    <v>217.16</v>
    <v>214.13</v>
    <v>214.94</v>
    <v>213.89</v>
    <v>217.7</v>
    <v>220.5</v>
    <v>220.97</v>
    <v>221.23</v>
    <v>223.43</v>
    <v>220.84</v>
    <v>221.08</v>
    <v>219.35</v>
    <v>219.73</v>
    <v>222.72</v>
    <v>226</v>
    <v>227.12</v>
    <v>228.62</v>
    <v>234.3</v>
    <v>233.02</v>
    <v>233.26</v>
    <v>235.26</v>
    <v>232.96</v>
    <v>233.67</v>
    <v>232.88</v>
    <v>232.2</v>
    <v>231.75</v>
    <v>232.25</v>
    <v>232.75</v>
    <v>218.39</v>
    <v>214.67</v>
    <v>212.91</v>
    <v>210.43</v>
    <v>204.9</v>
    <v>206.72</v>
    <v>208.25</v>
    <v>206.32</v>
    <v>207.57</v>
    <v>213.6</v>
    <v>213.69</v>
    <v>213.72</v>
    <v>213.57</v>
    <v>210.86</v>
    <v>210.92</v>
    <v>208.99</v>
    <v>204.99</v>
    <v>208.09</v>
    <v>210.25</v>
    <v>214.6</v>
    <v>222.4</v>
    <v>222.97</v>
    <v>226.13</v>
    <v>228.83</v>
    <v>226.92</v>
    <v>227.41</v>
    <v>227.39</v>
    <v>229</v>
    <v>233.49</v>
    <v>234.75</v>
    <v>238.04</v>
    <v>230</v>
    <v>231.72</v>
    <v>230.12</v>
    <v>232.26</v>
    <v>230.82</v>
    <v>229.33</v>
    <v>228.97</v>
    <v>220.17</v>
    <v>223.92</v>
    <v>223.36</v>
    <v>221.93</v>
    <v>224.41</v>
    <v>224.89</v>
    <v>222.78</v>
    <v>220.25</v>
    <v>219.83</v>
    <v>219.94</v>
    <v>222.65</v>
    <v>222.67</v>
    <v>223.96</v>
    <v>223.18</v>
    <v>219.75</v>
    <v>217.4</v>
    <v>217.75</v>
    <v>220.03</v>
    <v>222.66</v>
    <v>224.79</v>
    <v>224.26</v>
    <v>223.26</v>
    <v>226.04</v>
    <v>224.8</v>
    <v>224.13</v>
    <v>225.66</v>
    <v>228.63</v>
    <v>258.27</v>
    <v>255.7</v>
    <v>260.73</v>
    <v>264.45999999999998</v>
    <v>263.3</v>
    <v>253.44</v>
    <v>252.34</v>
    <v>249.27</v>
    <v>254.7</v>
    <v>255.81</v>
    <v>259.19</v>
    <v>261.27999999999997</v>
    <v>263.07</v>
    <v>264.32</v>
    <v>264.74</v>
    <v>261.48</v>
    <v>261.87</v>
    <v>257.75</v>
    <v>255.84</v>
    <v>253.23</v>
    <v>252.44</v>
    <v>250.19</v>
    <v>253.21</v>
    <v>251.35</v>
    <v>248.69</v>
    <v>261.54000000000002</v>
    <v>256.89999999999998</v>
    <v>248.95</v>
    <v>249.63</v>
    <v>245.8</v>
    <v>248.35</v>
    <v>252.97</v>
    <v>246.95</v>
    <v>252.29</v>
    <v>243.32</v>
    <v>243.87</v>
    <v>248.45</v>
    <v>249.9</v>
    <v>250.34</v>
    <v>246.21</v>
    <v>244</v>
    <v>248.66</v>
    <v>250.34</v>
    <v>249.98</v>
    <v>243.49</v>
    <v>227.48</v>
    <v>225.78</v>
    <v>221.03</v>
    <v>235.31</v>
    <v>229.55</v>
    <v>235.48</v>
    <v>239.06</v>
    <v>240.7</v>
    <v>238.57</v>
    <v>238.81</v>
    <v>236.22</v>
    <v>240.9</v>
    <v>245.48</v>
    <v>229.33</v>
    <v>232.41</v>
    <v>236.16</v>
    <v>239.39</v>
    <v>241.82</v>
    <v>239.66</v>
    <v>245.55</v>
    <v>249.18</v>
    <v>249.12</v>
    <v>253.37</v>
    <v>254.14</v>
    <v>249.2</v>
    <v>253.69</v>
    <v>258.58999999999997</v>
    <v>257.82</v>
    <v>266.68</v>
    <v>266.76</v>
    <v>268.41000000000003</v>
    <v>266.95</v>
    <v>260.87</v>
    <v>258.37</v>
    <v>258.63</v>
    <v>263.23</v>
    <v>260.24</v>
    <v>258.69</v>
    <v>259.06</v>
    <v>263.89999999999998</v>
    <v>265.2</v>
    <v>265.52</v>
    <v>266.86</v>
    <v>268.87</v>
    <v>272.08</v>
    <v>276.24</v>
    <v>281.52</v>
    <v>281.02999999999997</v>
    <v>277.22000000000003</v>
    <v>281.83</v>
    <v>283.05</v>
    <v>283.20999999999998</v>
    <v>280.97000000000003</v>
    <v>289.18</v>
    <v>293.79000000000002</v>
    <v>291.06</v>
    <v>291.93</v>
    <v>289.7</v>
    <v>294.77999999999997</v>
    <v>291.2</v>
    <v>287.64999999999998</v>
    <v>291.97000000000003</v>
    <v>292.47000000000003</v>
    <v>290.42</v>
    <v>290.14</v>
    <v>287.43</v>
    <v>283.58999999999997</v>
    <v>283.79000000000002</v>
    <v>282.7</v>
    <v>281.92</v>
    <v>282</v>
    <v>285.87</v>
    <v>284.70999999999998</v>
    <v>281.95999999999998</v>
    <v>282.01</v>
    <v>260.51</v>
    <v>259.72000000000003</v>
    <v>263.20999999999998</v>
    <v>262.41000000000003</v>
    <v>260.26</v>
    <v>253.15</v>
    <v>250.05</v>
    <v>251.98</v>
    <v>250.67</v>
    <v>252.28</v>
    <v>250.16</v>
    <v>242.27</v>
    <v>236.3</v>
    <v>234.77</v>
    <v>240.07</v>
    <v>237.11</v>
    <v>239.72</v>
    <v>239.45</v>
    <v>241.28</v>
    <v>242.55</v>
    <v>239.4</v>
    <v>242.09</v>
    <v>239.43</v>
    <v>242.63</v>
    <v>244.84</v>
    <v>245.73</v>
    <v>243.49</v>
    <v>241.5</v>
    <v>244.1</v>
    <v>247.18</v>
    <v>248.53</v>
    <v>256.08999999999997</v>
    <v>259.11</v>
    <v>256.88</v>
    <v>257.01</v>
    <v>253.44</v>
    <v>256.24</v>
    <v>257.52</v>
    <v>259.08</v>
    <v>265</v>
    <v>266.39999999999998</v>
    <v>271.37</v>
    <v>272.24</v>
    <v>267.52999999999997</v>
    <v>281.44</v>
    <v>284.31</v>
    <v>279.8</v>
    <v>282.16000000000003</v>
    <v>286.49</v>
    <v>286.72000000000003</v>
    <v>288.37</v>
    <v>289.42</v>
    <v>293.87</v>
    <v>289.45999999999998</v>
    <v>288.23</v>
    <v>277.82</v>
    <v>277.22000000000003</v>
    <v>276.14999999999998</v>
    <v>280.75</v>
    <v>275.97000000000003</v>
    <v>281.27999999999997</v>
    <v>283.64999999999998</v>
    <v>282.05</v>
    <v>287.51</v>
    <v>285</v>
    <v>307.45999999999998</v>
    <v>313.08999999999997</v>
    <v>312.57</v>
    <v>308.20999999999998</v>
    <v>310.06</v>
    <v>307.41000000000003</v>
    <v>304.73</v>
    <v>300.85000000000002</v>
    <v>306.77</v>
    <v>312.42</v>
    <v>306.38</v>
    <v>309.13</v>
    <v>313.72000000000003</v>
    <v>314.98</v>
    <v>304.86</v>
    <v>305.69</v>
    <v>297.17</v>
    <v>289.95</v>
    <v>288.52999999999997</v>
    <v>290.39999999999998</v>
    <v>297.44</v>
    <v>304.12</v>
    <v>304.48</v>
    <v>303.20999999999998</v>
    <v>308.58</v>
    <v>305.67</v>
    <v>301.77999999999997</v>
    <v>302.62</v>
    <v>307.99</v>
    <v>307.94</v>
    <v>309.18</v>
    <v>310.48</v>
    <v>312.67</v>
    <v>310.74</v>
    <v>309.24</v>
    <v>308.66000000000003</v>
    <v>303.18</v>
    <v>303.32</v>
    <v>300.45</v>
    <v>300.98</v>
  </a>
</arrayData>
</file>

<file path=xl/richData/rdrichvalue.xml><?xml version="1.0" encoding="utf-8"?>
<rvData xmlns="http://schemas.microsoft.com/office/spreadsheetml/2017/richdata" count="984">
  <rv s="0">
    <fb>45293</fb>
    <v>0</v>
  </rv>
  <rv s="0">
    <fb>161.5</fb>
    <v>1</v>
  </rv>
  <rv s="0">
    <fb>45294</fb>
    <v>0</v>
  </rv>
  <rv s="0">
    <fb>160.1</fb>
    <v>1</v>
  </rv>
  <rv s="0">
    <fb>45295</fb>
    <v>0</v>
  </rv>
  <rv s="0">
    <fb>160.86000000000001</fb>
    <v>1</v>
  </rv>
  <rv s="0">
    <fb>45296</fb>
    <v>0</v>
  </rv>
  <rv s="0">
    <fb>159.16</fb>
    <v>1</v>
  </rv>
  <rv s="0">
    <fb>45299</fb>
    <v>0</v>
  </rv>
  <rv s="0">
    <fb>161.13999999999999</fb>
    <v>1</v>
  </rv>
  <rv s="0">
    <fb>45300</fb>
    <v>0</v>
  </rv>
  <rv s="0">
    <fb>160.08000000000001</fb>
    <v>1</v>
  </rv>
  <rv s="0">
    <fb>45301</fb>
    <v>0</v>
  </rv>
  <rv s="0">
    <fb>161.22999999999999</fb>
    <v>1</v>
  </rv>
  <rv s="0">
    <fb>45302</fb>
    <v>0</v>
  </rv>
  <rv s="0">
    <fb>162.16</fb>
    <v>1</v>
  </rv>
  <rv s="0">
    <fb>45303</fb>
    <v>0</v>
  </rv>
  <rv s="0">
    <fb>165.8</fb>
    <v>1</v>
  </rv>
  <rv s="0">
    <fb>45307</fb>
    <v>0</v>
  </rv>
  <rv s="0">
    <fb>166.96</fb>
    <v>1</v>
  </rv>
  <rv s="0">
    <fb>45308</fb>
    <v>0</v>
  </rv>
  <rv s="0">
    <fb>166.08</fb>
    <v>1</v>
  </rv>
  <rv s="0">
    <fb>45309</fb>
    <v>0</v>
  </rv>
  <rv s="0">
    <fb>166.84</fb>
    <v>1</v>
  </rv>
  <rv s="0">
    <fb>45310</fb>
    <v>0</v>
  </rv>
  <rv s="0">
    <fb>171.48</fb>
    <v>1</v>
  </rv>
  <rv s="0">
    <fb>45313</fb>
    <v>0</v>
  </rv>
  <rv s="0">
    <fb>172.83</fb>
    <v>1</v>
  </rv>
  <rv s="0">
    <fb>45314</fb>
    <v>0</v>
  </rv>
  <rv s="0">
    <fb>173.94</fb>
    <v>1</v>
  </rv>
  <rv s="0">
    <fb>45315</fb>
    <v>0</v>
  </rv>
  <rv s="0">
    <fb>173.93</fb>
    <v>1</v>
  </rv>
  <rv s="0">
    <fb>45316</fb>
    <v>0</v>
  </rv>
  <rv s="0">
    <fb>190.43</fb>
    <v>1</v>
  </rv>
  <rv s="0">
    <fb>45317</fb>
    <v>0</v>
  </rv>
  <rv s="0">
    <fb>187.42</fb>
    <v>1</v>
  </rv>
  <rv s="0">
    <fb>45320</fb>
    <v>0</v>
  </rv>
  <rv s="0">
    <fb>187.14</fb>
    <v>1</v>
  </rv>
  <rv s="0">
    <fb>45321</fb>
    <v>0</v>
  </rv>
  <rv s="0">
    <fb>187.87</fb>
    <v>1</v>
  </rv>
  <rv s="0">
    <fb>45322</fb>
    <v>0</v>
  </rv>
  <rv s="0">
    <fb>183.66</fb>
    <v>1</v>
  </rv>
  <rv s="0">
    <fb>45323</fb>
    <v>0</v>
  </rv>
  <rv s="0">
    <fb>186.9</fb>
    <v>1</v>
  </rv>
  <rv s="0">
    <fb>45324</fb>
    <v>0</v>
  </rv>
  <rv s="0">
    <fb>185.79</fb>
    <v>1</v>
  </rv>
  <rv s="0">
    <fb>45327</fb>
    <v>0</v>
  </rv>
  <rv s="0">
    <fb>183.42</fb>
    <v>1</v>
  </rv>
  <rv s="0">
    <fb>45328</fb>
    <v>0</v>
  </rv>
  <rv s="0">
    <fb>183.41</fb>
    <v>1</v>
  </rv>
  <rv s="0">
    <fb>45329</fb>
    <v>0</v>
  </rv>
  <rv s="0">
    <fb>183.74</fb>
    <v>1</v>
  </rv>
  <rv s="0">
    <fb>45330</fb>
    <v>0</v>
  </rv>
  <rv s="0">
    <fb>184.36</fb>
    <v>1</v>
  </rv>
  <rv s="0">
    <fb>45331</fb>
    <v>0</v>
  </rv>
  <rv s="0">
    <fb>186.34</fb>
    <v>1</v>
  </rv>
  <rv s="0">
    <fb>45334</fb>
    <v>0</v>
  </rv>
  <rv s="0">
    <fb>186.16</fb>
    <v>1</v>
  </rv>
  <rv s="0">
    <fb>45335</fb>
    <v>0</v>
  </rv>
  <rv s="0">
    <fb>183.7</fb>
    <v>1</v>
  </rv>
  <rv s="0">
    <fb>45336</fb>
    <v>0</v>
  </rv>
  <rv s="0">
    <fb>183.57</fb>
    <v>1</v>
  </rv>
  <rv s="0">
    <fb>45337</fb>
    <v>0</v>
  </rv>
  <rv s="0">
    <fb>186.87</fb>
    <v>1</v>
  </rv>
  <rv s="0">
    <fb>45338</fb>
    <v>0</v>
  </rv>
  <rv s="0">
    <fb>187.64</fb>
    <v>1</v>
  </rv>
  <rv s="0">
    <fb>45342</fb>
    <v>0</v>
  </rv>
  <rv s="0">
    <fb>183.44</fb>
    <v>1</v>
  </rv>
  <rv s="0">
    <fb>45343</fb>
    <v>0</v>
  </rv>
  <rv s="0">
    <fb>179.7</fb>
    <v>1</v>
  </rv>
  <rv s="0">
    <fb>45344</fb>
    <v>0</v>
  </rv>
  <rv s="0">
    <fb>184.21</fb>
    <v>1</v>
  </rv>
  <rv s="0">
    <fb>45345</fb>
    <v>0</v>
  </rv>
  <rv s="0">
    <fb>185.72</fb>
    <v>1</v>
  </rv>
  <rv s="0">
    <fb>45348</fb>
    <v>0</v>
  </rv>
  <rv s="0">
    <fb>184.13</fb>
    <v>1</v>
  </rv>
  <rv s="0">
    <fb>45349</fb>
    <v>0</v>
  </rv>
  <rv s="0">
    <fb>184.87</fb>
    <v>1</v>
  </rv>
  <rv s="0">
    <fb>45350</fb>
    <v>0</v>
  </rv>
  <rv s="0">
    <fb>185.3</fb>
    <v>1</v>
  </rv>
  <rv s="0">
    <fb>45351</fb>
    <v>0</v>
  </rv>
  <rv s="0">
    <fb>185.03</fb>
    <v>1</v>
  </rv>
  <rv s="0">
    <fb>45352</fb>
    <v>0</v>
  </rv>
  <rv s="0">
    <fb>188.2</fb>
    <v>1</v>
  </rv>
  <rv s="0">
    <fb>45355</fb>
    <v>0</v>
  </rv>
  <rv s="0">
    <fb>193.06</fb>
    <v>1</v>
  </rv>
  <rv s="0">
    <fb>45356</fb>
    <v>0</v>
  </rv>
  <rv s="0">
    <fb>191.95</fb>
    <v>1</v>
  </rv>
  <rv s="0">
    <fb>45357</fb>
    <v>0</v>
  </rv>
  <rv s="0">
    <fb>196.16</fb>
    <v>1</v>
  </rv>
  <rv s="0">
    <fb>45358</fb>
    <v>0</v>
  </rv>
  <rv s="0">
    <fb>196.54</fb>
    <v>1</v>
  </rv>
  <rv s="0">
    <fb>45359</fb>
    <v>0</v>
  </rv>
  <rv s="0">
    <fb>195.95</fb>
    <v>1</v>
  </rv>
  <rv s="0">
    <fb>45362</fb>
    <v>0</v>
  </rv>
  <rv s="0">
    <fb>191.73</fb>
    <v>1</v>
  </rv>
  <rv s="0">
    <fb>45363</fb>
    <v>0</v>
  </rv>
  <rv s="0">
    <fb>197.78</fb>
    <v>1</v>
  </rv>
  <rv s="0">
    <fb>45364</fb>
    <v>0</v>
  </rv>
  <rv s="0">
    <fb>196.7</fb>
    <v>1</v>
  </rv>
  <rv s="0">
    <fb>45365</fb>
    <v>0</v>
  </rv>
  <rv s="0">
    <fb>193.43</fb>
    <v>1</v>
  </rv>
  <rv s="0">
    <fb>45366</fb>
    <v>0</v>
  </rv>
  <rv s="0">
    <fb>191.07</fb>
    <v>1</v>
  </rv>
  <rv s="0">
    <fb>45369</fb>
    <v>0</v>
  </rv>
  <rv s="0">
    <fb>191.69</fb>
    <v>1</v>
  </rv>
  <rv s="0">
    <fb>45370</fb>
    <v>0</v>
  </rv>
  <rv s="0">
    <fb>193.34</fb>
    <v>1</v>
  </rv>
  <rv s="0">
    <fb>45371</fb>
    <v>0</v>
  </rv>
  <rv s="0">
    <fb>193.96</fb>
    <v>1</v>
  </rv>
  <rv s="0">
    <fb>45372</fb>
    <v>0</v>
  </rv>
  <rv s="0">
    <fb>191.9</fb>
    <v>1</v>
  </rv>
  <rv s="0">
    <fb>45373</fb>
    <v>0</v>
  </rv>
  <rv s="0">
    <fb>190.84</fb>
    <v>1</v>
  </rv>
  <rv s="0">
    <fb>45376</fb>
    <v>0</v>
  </rv>
  <rv s="0">
    <fb>188.79</fb>
    <v>1</v>
  </rv>
  <rv s="0">
    <fb>45377</fb>
    <v>0</v>
  </rv>
  <rv s="0">
    <fb>188.5</fb>
    <v>1</v>
  </rv>
  <rv s="0">
    <fb>45378</fb>
    <v>0</v>
  </rv>
  <rv s="0">
    <fb>190.8</fb>
    <v>1</v>
  </rv>
  <rv s="0">
    <fb>45379</fb>
    <v>0</v>
  </rv>
  <rv s="0">
    <fb>190.96</fb>
    <v>1</v>
  </rv>
  <rv s="0">
    <fb>45383</fb>
    <v>0</v>
  </rv>
  <rv s="0">
    <fb>189.83</fb>
    <v>1</v>
  </rv>
  <rv s="0">
    <fb>45384</fb>
    <v>0</v>
  </rv>
  <rv s="0">
    <fb>188.88</fb>
    <v>1</v>
  </rv>
  <rv s="0">
    <fb>45385</fb>
    <v>0</v>
  </rv>
  <rv s="0">
    <fb>190.9</fb>
    <v>1</v>
  </rv>
  <rv s="0">
    <fb>45386</fb>
    <v>0</v>
  </rv>
  <rv s="0">
    <fb>187.94</fb>
    <v>1</v>
  </rv>
  <rv s="0">
    <fb>45387</fb>
    <v>0</v>
  </rv>
  <rv s="0">
    <fb>189.14</fb>
    <v>1</v>
  </rv>
  <rv s="0">
    <fb>45390</fb>
    <v>0</v>
  </rv>
  <rv s="0">
    <fb>189.82</fb>
    <v>1</v>
  </rv>
  <rv s="0">
    <fb>45391</fb>
    <v>0</v>
  </rv>
  <rv s="0">
    <fb>189.31</fb>
    <v>1</v>
  </rv>
  <rv s="0">
    <fb>45392</fb>
    <v>0</v>
  </rv>
  <rv s="0">
    <fb>186.04</fb>
    <v>1</v>
  </rv>
  <rv s="0">
    <fb>45393</fb>
    <v>0</v>
  </rv>
  <rv s="0">
    <fb>185.9</fb>
    <v>1</v>
  </rv>
  <rv s="0">
    <fb>45394</fb>
    <v>0</v>
  </rv>
  <rv s="0">
    <fb>182.27</fb>
    <v>1</v>
  </rv>
  <rv s="0">
    <fb>45397</fb>
    <v>0</v>
  </rv>
  <rv s="0">
    <fb>181.25</fb>
    <v>1</v>
  </rv>
  <rv s="0">
    <fb>45398</fb>
    <v>0</v>
  </rv>
  <rv s="0">
    <fb>183.75</fb>
    <v>1</v>
  </rv>
  <rv s="0">
    <fb>45399</fb>
    <v>0</v>
  </rv>
  <rv s="0">
    <fb>183.1</fb>
    <v>1</v>
  </rv>
  <rv s="0">
    <fb>45400</fb>
    <v>0</v>
  </rv>
  <rv s="0">
    <fb>181.47</fb>
    <v>1</v>
  </rv>
  <rv s="0">
    <fb>45401</fb>
    <v>0</v>
  </rv>
  <rv s="0">
    <fb>181.58</fb>
    <v>1</v>
  </rv>
  <rv s="0">
    <fb>45404</fb>
    <v>0</v>
  </rv>
  <rv s="0">
    <fb>181.9</fb>
    <v>1</v>
  </rv>
  <rv s="0">
    <fb>45405</fb>
    <v>0</v>
  </rv>
  <rv s="0">
    <fb>182.19</fb>
    <v>1</v>
  </rv>
  <rv s="0">
    <fb>45406</fb>
    <v>0</v>
  </rv>
  <rv s="0">
    <fb>184.1</fb>
    <v>1</v>
  </rv>
  <rv s="0">
    <fb>45407</fb>
    <v>0</v>
  </rv>
  <rv s="0">
    <fb>168.91</fb>
    <v>1</v>
  </rv>
  <rv s="0">
    <fb>45408</fb>
    <v>0</v>
  </rv>
  <rv s="0">
    <fb>167.13</fb>
    <v>1</v>
  </rv>
  <rv s="0">
    <fb>45411</fb>
    <v>0</v>
  </rv>
  <rv s="0">
    <fb>167.43</fb>
    <v>1</v>
  </rv>
  <rv s="0">
    <fb>45412</fb>
    <v>0</v>
  </rv>
  <rv s="0">
    <fb>166.2</fb>
    <v>1</v>
  </rv>
  <rv s="0">
    <fb>45413</fb>
    <v>0</v>
  </rv>
  <rv s="0">
    <fb>164.43</fb>
    <v>1</v>
  </rv>
  <rv s="0">
    <fb>45414</fb>
    <v>0</v>
  </rv>
  <rv s="0">
    <fb>164.69</fb>
    <v>1</v>
  </rv>
  <rv s="0">
    <fb>45415</fb>
    <v>0</v>
  </rv>
  <rv s="0">
    <fb>165.71</fb>
    <v>1</v>
  </rv>
  <rv s="0">
    <fb>45418</fb>
    <v>0</v>
  </rv>
  <rv s="0">
    <fb>168.61</fb>
    <v>1</v>
  </rv>
  <rv s="0">
    <fb>45419</fb>
    <v>0</v>
  </rv>
  <rv s="0">
    <fb>168.38</fb>
    <v>1</v>
  </rv>
  <rv s="0">
    <fb>45420</fb>
    <v>0</v>
  </rv>
  <rv s="0">
    <fb>169.9</fb>
    <v>1</v>
  </rv>
  <rv s="0">
    <fb>45421</fb>
    <v>0</v>
  </rv>
  <rv s="0">
    <fb>166.27</fb>
    <v>1</v>
  </rv>
  <rv s="0">
    <fb>45422</fb>
    <v>0</v>
  </rv>
  <rv s="0">
    <fb>167.15</fb>
    <v>1</v>
  </rv>
  <rv s="0">
    <fb>45425</fb>
    <v>0</v>
  </rv>
  <rv s="0">
    <fb>167.56</fb>
    <v>1</v>
  </rv>
  <rv s="0">
    <fb>45426</fb>
    <v>0</v>
  </rv>
  <rv s="0">
    <fb>167.36</fb>
    <v>1</v>
  </rv>
  <rv s="0">
    <fb>45427</fb>
    <v>0</v>
  </rv>
  <rv s="0">
    <fb>168.26</fb>
    <v>1</v>
  </rv>
  <rv s="0">
    <fb>45428</fb>
    <v>0</v>
  </rv>
  <rv s="0">
    <fb>168.97</fb>
    <v>1</v>
  </rv>
  <rv s="0">
    <fb>45429</fb>
    <v>0</v>
  </rv>
  <rv s="0">
    <fb>169.03</fb>
    <v>1</v>
  </rv>
  <rv s="0">
    <fb>45432</fb>
    <v>0</v>
  </rv>
  <rv s="0">
    <fb>169.92</fb>
    <v>1</v>
  </rv>
  <rv s="0">
    <fb>45433</fb>
    <v>0</v>
  </rv>
  <rv s="0">
    <fb>173.47</fb>
    <v>1</v>
  </rv>
  <rv s="0">
    <fb>45434</fb>
    <v>0</v>
  </rv>
  <rv s="0">
    <fb>173.69</fb>
    <v>1</v>
  </rv>
  <rv s="0">
    <fb>45435</fb>
    <v>0</v>
  </rv>
  <rv s="0">
    <fb>170.67</fb>
    <v>1</v>
  </rv>
  <rv s="0">
    <fb>45436</fb>
    <v>0</v>
  </rv>
  <rv s="0">
    <fb>170.89</fb>
    <v>1</v>
  </rv>
  <rv s="0">
    <fb>45440</fb>
    <v>0</v>
  </rv>
  <rv s="0">
    <fb>169.66</fb>
    <v>1</v>
  </rv>
  <rv s="0">
    <fb>45441</fb>
    <v>0</v>
  </rv>
  <rv s="0">
    <fb>167.05</fb>
    <v>1</v>
  </rv>
  <rv s="0">
    <fb>45442</fb>
    <v>0</v>
  </rv>
  <rv s="0">
    <fb>165.63</fb>
    <v>1</v>
  </rv>
  <rv s="0">
    <fb>45443</fb>
    <v>0</v>
  </rv>
  <rv s="0">
    <fb>166.85</fb>
    <v>1</v>
  </rv>
  <rv s="0">
    <fb>45446</fb>
    <v>0</v>
  </rv>
  <rv s="0">
    <fb>165.28</fb>
    <v>1</v>
  </rv>
  <rv s="0">
    <fb>45447</fb>
    <v>0</v>
  </rv>
  <rv s="0">
    <fb>165.81</fb>
    <v>1</v>
  </rv>
  <rv s="0">
    <fb>45448</fb>
    <v>0</v>
  </rv>
  <rv s="0">
    <fb>167.38</fb>
    <v>1</v>
  </rv>
  <rv s="0">
    <fb>45449</fb>
    <v>0</v>
  </rv>
  <rv s="0">
    <fb>168.2</fb>
    <v>1</v>
  </rv>
  <rv s="0">
    <fb>45450</fb>
    <v>0</v>
  </rv>
  <rv s="0">
    <fb>170.01</fb>
    <v>1</v>
  </rv>
  <rv s="0">
    <fb>45453</fb>
    <v>0</v>
  </rv>
  <rv s="0">
    <fb>170.38</fb>
    <v>1</v>
  </rv>
  <rv s="0">
    <fb>45454</fb>
    <v>0</v>
  </rv>
  <rv s="0">
    <fb>169.32</fb>
    <v>1</v>
  </rv>
  <rv s="0">
    <fb>45455</fb>
    <v>0</v>
  </rv>
  <rv s="0">
    <fb>169</fb>
    <v>1</v>
  </rv>
  <rv s="0">
    <fb>45456</fb>
    <v>0</v>
  </rv>
  <rv s="0">
    <fb>169.12</fb>
    <v>1</v>
  </rv>
  <rv s="0">
    <fb>45457</fb>
    <v>0</v>
  </rv>
  <rv s="0">
    <fb>169.21</fb>
    <v>1</v>
  </rv>
  <rv s="0">
    <fb>45460</fb>
    <v>0</v>
  </rv>
  <rv s="0">
    <fb>169.5</fb>
    <v>1</v>
  </rv>
  <rv s="0">
    <fb>45461</fb>
    <v>0</v>
  </rv>
  <rv s="0">
    <fb>170.55</fb>
    <v>1</v>
  </rv>
  <rv s="0">
    <fb>45463</fb>
    <v>0</v>
  </rv>
  <rv s="0">
    <fb>173.92</fb>
    <v>1</v>
  </rv>
  <rv s="0">
    <fb>45464</fb>
    <v>0</v>
  </rv>
  <rv s="0">
    <fb>172.46</fb>
    <v>1</v>
  </rv>
  <rv s="0">
    <fb>45467</fb>
    <v>0</v>
  </rv>
  <rv s="0">
    <fb>175.01</fb>
    <v>1</v>
  </rv>
  <rv s="0">
    <fb>45468</fb>
    <v>0</v>
  </rv>
  <rv s="0">
    <fb>172.6</fb>
    <v>1</v>
  </rv>
  <rv s="0">
    <fb>45469</fb>
    <v>0</v>
  </rv>
  <rv s="0">
    <fb>171.87</fb>
    <v>1</v>
  </rv>
  <rv s="0">
    <fb>45470</fb>
    <v>0</v>
  </rv>
  <rv s="0">
    <fb>170.85</fb>
    <v>1</v>
  </rv>
  <rv s="0">
    <fb>45471</fb>
    <v>0</v>
  </rv>
  <rv s="0">
    <fb>172.95</fb>
    <v>1</v>
  </rv>
  <rv s="0">
    <fb>45474</fb>
    <v>0</v>
  </rv>
  <rv s="0">
    <fb>175.1</fb>
    <v>1</v>
  </rv>
  <rv s="0">
    <fb>45475</fb>
    <v>0</v>
  </rv>
  <rv s="0">
    <fb>177.3</fb>
    <v>1</v>
  </rv>
  <rv s="0">
    <fb>45476</fb>
    <v>0</v>
  </rv>
  <rv s="0">
    <fb>175.73</fb>
    <v>1</v>
  </rv>
  <rv s="0">
    <fb>45478</fb>
    <v>0</v>
  </rv>
  <rv s="0">
    <fb>176.02</fb>
    <v>1</v>
  </rv>
  <rv s="0">
    <fb>45481</fb>
    <v>0</v>
  </rv>
  <rv s="0">
    <fb>177.64</fb>
    <v>1</v>
  </rv>
  <rv s="0">
    <fb>45482</fb>
    <v>0</v>
  </rv>
  <rv s="0">
    <fb>176.48</fb>
    <v>1</v>
  </rv>
  <rv s="0">
    <fb>45483</fb>
    <v>0</v>
  </rv>
  <rv s="0">
    <fb>177.84</fb>
    <v>1</v>
  </rv>
  <rv s="0">
    <fb>45484</fb>
    <v>0</v>
  </rv>
  <rv s="0">
    <fb>178.31</fb>
    <v>1</v>
  </rv>
  <rv s="0">
    <fb>45485</fb>
    <v>0</v>
  </rv>
  <rv s="0">
    <fb>182.83</fb>
    <v>1</v>
  </rv>
  <rv s="0">
    <fb>45488</fb>
    <v>0</v>
  </rv>
  <rv s="0">
    <fb>182.88</fb>
    <v>1</v>
  </rv>
  <rv s="0">
    <fb>45489</fb>
    <v>0</v>
  </rv>
  <rv s="0">
    <fb>185.81</fb>
    <v>1</v>
  </rv>
  <rv s="0">
    <fb>45490</fb>
    <v>0</v>
  </rv>
  <rv s="0">
    <fb>187.45</fb>
    <v>1</v>
  </rv>
  <rv s="0">
    <fb>45491</fb>
    <v>0</v>
  </rv>
  <rv s="0">
    <fb>185.22</fb>
    <v>1</v>
  </rv>
  <rv s="0">
    <fb>45492</fb>
    <v>0</v>
  </rv>
  <rv s="0">
    <fb>183.25</fb>
    <v>1</v>
  </rv>
  <rv s="0">
    <fb>45495</fb>
    <v>0</v>
  </rv>
  <rv s="0">
    <fb>184.15</fb>
    <v>1</v>
  </rv>
  <rv s="0">
    <fb>45496</fb>
    <v>0</v>
  </rv>
  <rv s="0">
    <fb>45497</fb>
    <v>0</v>
  </rv>
  <rv s="0">
    <fb>184.02</fb>
    <v>1</v>
  </rv>
  <rv s="0">
    <fb>45498</fb>
    <v>0</v>
  </rv>
  <rv s="0">
    <fb>191.98</fb>
    <v>1</v>
  </rv>
  <rv s="0">
    <fb>45499</fb>
    <v>0</v>
  </rv>
  <rv s="0">
    <fb>191.75</fb>
    <v>1</v>
  </rv>
  <rv s="0">
    <fb>45502</fb>
    <v>0</v>
  </rv>
  <rv s="0">
    <fb>191.5</fb>
    <v>1</v>
  </rv>
  <rv s="0">
    <fb>45503</fb>
    <v>0</v>
  </rv>
  <rv s="0">
    <fb>191.04</fb>
    <v>1</v>
  </rv>
  <rv s="0">
    <fb>45504</fb>
    <v>0</v>
  </rv>
  <rv s="0">
    <fb>192.14</fb>
    <v>1</v>
  </rv>
  <rv s="0">
    <fb>45505</fb>
    <v>0</v>
  </rv>
  <rv s="0">
    <fb>189.66</fb>
    <v>1</v>
  </rv>
  <rv s="0">
    <fb>45506</fb>
    <v>0</v>
  </rv>
  <rv s="0">
    <fb>189.12</fb>
    <v>1</v>
  </rv>
  <rv s="0">
    <fb>45509</fb>
    <v>0</v>
  </rv>
  <rv s="0">
    <fb>183.31</fb>
    <v>1</v>
  </rv>
  <rv s="0">
    <fb>45510</fb>
    <v>0</v>
  </rv>
  <rv s="0">
    <fb>186.8</fb>
    <v>1</v>
  </rv>
  <rv s="0">
    <fb>45511</fb>
    <v>0</v>
  </rv>
  <rv s="0">
    <fb>45512</fb>
    <v>0</v>
  </rv>
  <rv s="0">
    <fb>192.61</fb>
    <v>1</v>
  </rv>
  <rv s="0">
    <fb>45513</fb>
    <v>0</v>
  </rv>
  <rv s="0">
    <fb>191.45</fb>
    <v>1</v>
  </rv>
  <rv s="0">
    <fb>45516</fb>
    <v>0</v>
  </rv>
  <rv s="0">
    <fb>189.48</fb>
    <v>1</v>
  </rv>
  <rv s="0">
    <fb>45517</fb>
    <v>0</v>
  </rv>
  <rv s="0">
    <fb>190.99</fb>
    <v>1</v>
  </rv>
  <rv s="0">
    <fb>45518</fb>
    <v>0</v>
  </rv>
  <rv s="0">
    <fb>192.32</fb>
    <v>1</v>
  </rv>
  <rv s="0">
    <fb>45519</fb>
    <v>0</v>
  </rv>
  <rv s="0">
    <fb>193.95</fb>
    <v>1</v>
  </rv>
  <rv s="0">
    <fb>45520</fb>
    <v>0</v>
  </rv>
  <rv s="0">
    <fb>193.78</fb>
    <v>1</v>
  </rv>
  <rv s="0">
    <fb>45523</fb>
    <v>0</v>
  </rv>
  <rv s="0">
    <fb>194.73</fb>
    <v>1</v>
  </rv>
  <rv s="0">
    <fb>45524</fb>
    <v>0</v>
  </rv>
  <rv s="0">
    <fb>196.03</fb>
    <v>1</v>
  </rv>
  <rv s="0">
    <fb>45525</fb>
    <v>0</v>
  </rv>
  <rv s="0">
    <fb>197.21</fb>
    <v>1</v>
  </rv>
  <rv s="0">
    <fb>45526</fb>
    <v>0</v>
  </rv>
  <rv s="0">
    <fb>195.96</fb>
    <v>1</v>
  </rv>
  <rv s="0">
    <fb>45527</fb>
    <v>0</v>
  </rv>
  <rv s="0">
    <fb>196.1</fb>
    <v>1</v>
  </rv>
  <rv s="0">
    <fb>45530</fb>
    <v>0</v>
  </rv>
  <rv s="0">
    <fb>197.98</fb>
    <v>1</v>
  </rv>
  <rv s="0">
    <fb>45531</fb>
    <v>0</v>
  </rv>
  <rv s="0">
    <fb>198.73</fb>
    <v>1</v>
  </rv>
  <rv s="0">
    <fb>45532</fb>
    <v>0</v>
  </rv>
  <rv s="0">
    <fb>198.46</fb>
    <v>1</v>
  </rv>
  <rv s="0">
    <fb>45533</fb>
    <v>0</v>
  </rv>
  <rv s="0">
    <fb>198.9</fb>
    <v>1</v>
  </rv>
  <rv s="0">
    <fb>45534</fb>
    <v>0</v>
  </rv>
  <rv s="0">
    <fb>202.13</fb>
    <v>1</v>
  </rv>
  <rv s="0">
    <fb>45538</fb>
    <v>0</v>
  </rv>
  <rv s="0">
    <fb>201.28</fb>
    <v>1</v>
  </rv>
  <rv s="0">
    <fb>45539</fb>
    <v>0</v>
  </rv>
  <rv s="0">
    <fb>204.11</fb>
    <v>1</v>
  </rv>
  <rv s="0">
    <fb>45540</fb>
    <v>0</v>
  </rv>
  <rv s="0">
    <fb>202.59</fb>
    <v>1</v>
  </rv>
  <rv s="0">
    <fb>45541</fb>
    <v>0</v>
  </rv>
  <rv s="0">
    <fb>200.74</fb>
    <v>1</v>
  </rv>
  <rv s="0">
    <fb>45544</fb>
    <v>0</v>
  </rv>
  <rv s="0">
    <fb>203.53</fb>
    <v>1</v>
  </rv>
  <rv s="0">
    <fb>45545</fb>
    <v>0</v>
  </rv>
  <rv s="0">
    <fb>205.32</fb>
    <v>1</v>
  </rv>
  <rv s="0">
    <fb>45546</fb>
    <v>0</v>
  </rv>
  <rv s="0">
    <fb>209.89</fb>
    <v>1</v>
  </rv>
  <rv s="0">
    <fb>45547</fb>
    <v>0</v>
  </rv>
  <rv s="0">
    <fb>211.61</fb>
    <v>1</v>
  </rv>
  <rv s="0">
    <fb>45548</fb>
    <v>0</v>
  </rv>
  <rv s="0">
    <fb>214.79</fb>
    <v>1</v>
  </rv>
  <rv s="0">
    <fb>45551</fb>
    <v>0</v>
  </rv>
  <rv s="0">
    <fb>217.16</fb>
    <v>1</v>
  </rv>
  <rv s="0">
    <fb>45552</fb>
    <v>0</v>
  </rv>
  <rv s="0">
    <fb>214.13</fb>
    <v>1</v>
  </rv>
  <rv s="0">
    <fb>45553</fb>
    <v>0</v>
  </rv>
  <rv s="0">
    <fb>214.94</fb>
    <v>1</v>
  </rv>
  <rv s="0">
    <fb>45554</fb>
    <v>0</v>
  </rv>
  <rv s="0">
    <fb>213.89</fb>
    <v>1</v>
  </rv>
  <rv s="0">
    <fb>45555</fb>
    <v>0</v>
  </rv>
  <rv s="0">
    <fb>217.7</fb>
    <v>1</v>
  </rv>
  <rv s="0">
    <fb>45558</fb>
    <v>0</v>
  </rv>
  <rv s="0">
    <fb>220.5</fb>
    <v>1</v>
  </rv>
  <rv s="0">
    <fb>45559</fb>
    <v>0</v>
  </rv>
  <rv s="0">
    <fb>220.97</fb>
    <v>1</v>
  </rv>
  <rv s="0">
    <fb>45560</fb>
    <v>0</v>
  </rv>
  <rv s="0">
    <fb>221.23</fb>
    <v>1</v>
  </rv>
  <rv s="0">
    <fb>45561</fb>
    <v>0</v>
  </rv>
  <rv s="0">
    <fb>223.43</fb>
    <v>1</v>
  </rv>
  <rv s="0">
    <fb>45562</fb>
    <v>0</v>
  </rv>
  <rv s="0">
    <fb>220.84</fb>
    <v>1</v>
  </rv>
  <rv s="0">
    <fb>45565</fb>
    <v>0</v>
  </rv>
  <rv s="0">
    <fb>221.08</fb>
    <v>1</v>
  </rv>
  <rv s="0">
    <fb>45566</fb>
    <v>0</v>
  </rv>
  <rv s="0">
    <fb>219.35</fb>
    <v>1</v>
  </rv>
  <rv s="0">
    <fb>45567</fb>
    <v>0</v>
  </rv>
  <rv s="0">
    <fb>219.73</fb>
    <v>1</v>
  </rv>
  <rv s="0">
    <fb>45568</fb>
    <v>0</v>
  </rv>
  <rv s="0">
    <fb>222.72</fb>
    <v>1</v>
  </rv>
  <rv s="0">
    <fb>45569</fb>
    <v>0</v>
  </rv>
  <rv s="0">
    <fb>226</fb>
    <v>1</v>
  </rv>
  <rv s="0">
    <fb>45572</fb>
    <v>0</v>
  </rv>
  <rv s="0">
    <fb>227.12</fb>
    <v>1</v>
  </rv>
  <rv s="0">
    <fb>45573</fb>
    <v>0</v>
  </rv>
  <rv s="0">
    <fb>228.62</fb>
    <v>1</v>
  </rv>
  <rv s="0">
    <fb>45574</fb>
    <v>0</v>
  </rv>
  <rv s="0">
    <fb>234.3</fb>
    <v>1</v>
  </rv>
  <rv s="0">
    <fb>45575</fb>
    <v>0</v>
  </rv>
  <rv s="0">
    <fb>233.02</fb>
    <v>1</v>
  </rv>
  <rv s="0">
    <fb>45576</fb>
    <v>0</v>
  </rv>
  <rv s="0">
    <fb>233.26</fb>
    <v>1</v>
  </rv>
  <rv s="0">
    <fb>45579</fb>
    <v>0</v>
  </rv>
  <rv s="0">
    <fb>235.26</fb>
    <v>1</v>
  </rv>
  <rv s="0">
    <fb>45580</fb>
    <v>0</v>
  </rv>
  <rv s="0">
    <fb>232.96</fb>
    <v>1</v>
  </rv>
  <rv s="0">
    <fb>45581</fb>
    <v>0</v>
  </rv>
  <rv s="0">
    <fb>233.67</fb>
    <v>1</v>
  </rv>
  <rv s="0">
    <fb>45582</fb>
    <v>0</v>
  </rv>
  <rv s="0">
    <fb>232.88</fb>
    <v>1</v>
  </rv>
  <rv s="0">
    <fb>45583</fb>
    <v>0</v>
  </rv>
  <rv s="0">
    <fb>232.2</fb>
    <v>1</v>
  </rv>
  <rv s="0">
    <fb>45586</fb>
    <v>0</v>
  </rv>
  <rv s="0">
    <fb>231.75</fb>
    <v>1</v>
  </rv>
  <rv s="0">
    <fb>45587</fb>
    <v>0</v>
  </rv>
  <rv s="0">
    <fb>232.25</fb>
    <v>1</v>
  </rv>
  <rv s="0">
    <fb>45588</fb>
    <v>0</v>
  </rv>
  <rv s="0">
    <fb>232.75</fb>
    <v>1</v>
  </rv>
  <rv s="0">
    <fb>45589</fb>
    <v>0</v>
  </rv>
  <rv s="0">
    <fb>218.39</fb>
    <v>1</v>
  </rv>
  <rv s="0">
    <fb>45590</fb>
    <v>0</v>
  </rv>
  <rv s="0">
    <fb>214.67</fb>
    <v>1</v>
  </rv>
  <rv s="0">
    <fb>45593</fb>
    <v>0</v>
  </rv>
  <rv s="0">
    <fb>212.91</fb>
    <v>1</v>
  </rv>
  <rv s="0">
    <fb>45594</fb>
    <v>0</v>
  </rv>
  <rv s="0">
    <fb>210.43</fb>
    <v>1</v>
  </rv>
  <rv s="0">
    <fb>45595</fb>
    <v>0</v>
  </rv>
  <rv s="0">
    <fb>204.9</fb>
    <v>1</v>
  </rv>
  <rv s="0">
    <fb>45596</fb>
    <v>0</v>
  </rv>
  <rv s="0">
    <fb>206.72</fb>
    <v>1</v>
  </rv>
  <rv s="0">
    <fb>45597</fb>
    <v>0</v>
  </rv>
  <rv s="0">
    <fb>208.25</fb>
    <v>1</v>
  </rv>
  <rv s="0">
    <fb>45600</fb>
    <v>0</v>
  </rv>
  <rv s="0">
    <fb>206.32</fb>
    <v>1</v>
  </rv>
  <rv s="0">
    <fb>45601</fb>
    <v>0</v>
  </rv>
  <rv s="0">
    <fb>207.57</fb>
    <v>1</v>
  </rv>
  <rv s="0">
    <fb>45602</fb>
    <v>0</v>
  </rv>
  <rv s="0">
    <fb>213.6</fb>
    <v>1</v>
  </rv>
  <rv s="0">
    <fb>45603</fb>
    <v>0</v>
  </rv>
  <rv s="0">
    <fb>213.69</fb>
    <v>1</v>
  </rv>
  <rv s="0">
    <fb>45604</fb>
    <v>0</v>
  </rv>
  <rv s="0">
    <fb>213.72</fb>
    <v>1</v>
  </rv>
  <rv s="0">
    <fb>45607</fb>
    <v>0</v>
  </rv>
  <rv s="0">
    <fb>213.57</fb>
    <v>1</v>
  </rv>
  <rv s="0">
    <fb>45608</fb>
    <v>0</v>
  </rv>
  <rv s="0">
    <fb>210.86</fb>
    <v>1</v>
  </rv>
  <rv s="0">
    <fb>45609</fb>
    <v>0</v>
  </rv>
  <rv s="0">
    <fb>210.92</fb>
    <v>1</v>
  </rv>
  <rv s="0">
    <fb>45610</fb>
    <v>0</v>
  </rv>
  <rv s="0">
    <fb>208.99</fb>
    <v>1</v>
  </rv>
  <rv s="0">
    <fb>45611</fb>
    <v>0</v>
  </rv>
  <rv s="0">
    <fb>204.99</fb>
    <v>1</v>
  </rv>
  <rv s="0">
    <fb>45614</fb>
    <v>0</v>
  </rv>
  <rv s="0">
    <fb>208.09</fb>
    <v>1</v>
  </rv>
  <rv s="0">
    <fb>45615</fb>
    <v>0</v>
  </rv>
  <rv s="0">
    <fb>210.25</fb>
    <v>1</v>
  </rv>
  <rv s="0">
    <fb>45616</fb>
    <v>0</v>
  </rv>
  <rv s="0">
    <fb>214.6</fb>
    <v>1</v>
  </rv>
  <rv s="0">
    <fb>45617</fb>
    <v>0</v>
  </rv>
  <rv s="0">
    <fb>222.4</fb>
    <v>1</v>
  </rv>
  <rv s="0">
    <fb>45618</fb>
    <v>0</v>
  </rv>
  <rv s="0">
    <fb>222.97</fb>
    <v>1</v>
  </rv>
  <rv s="0">
    <fb>45621</fb>
    <v>0</v>
  </rv>
  <rv s="0">
    <fb>226.13</fb>
    <v>1</v>
  </rv>
  <rv s="0">
    <fb>45622</fb>
    <v>0</v>
  </rv>
  <rv s="0">
    <fb>228.83</fb>
    <v>1</v>
  </rv>
  <rv s="0">
    <fb>45623</fb>
    <v>0</v>
  </rv>
  <rv s="0">
    <fb>226.92</fb>
    <v>1</v>
  </rv>
  <rv s="0">
    <fb>45625</fb>
    <v>0</v>
  </rv>
  <rv s="0">
    <fb>227.41</fb>
    <v>1</v>
  </rv>
  <rv s="0">
    <fb>45628</fb>
    <v>0</v>
  </rv>
  <rv s="0">
    <fb>227.39</fb>
    <v>1</v>
  </rv>
  <rv s="0">
    <fb>45629</fb>
    <v>0</v>
  </rv>
  <rv s="0">
    <fb>229</fb>
    <v>1</v>
  </rv>
  <rv s="0">
    <fb>45630</fb>
    <v>0</v>
  </rv>
  <rv s="0">
    <fb>233.49</fb>
    <v>1</v>
  </rv>
  <rv s="0">
    <fb>45631</fb>
    <v>0</v>
  </rv>
  <rv s="0">
    <fb>234.75</fb>
    <v>1</v>
  </rv>
  <rv s="0">
    <fb>45632</fb>
    <v>0</v>
  </rv>
  <rv s="0">
    <fb>238.04</fb>
    <v>1</v>
  </rv>
  <rv s="0">
    <fb>45635</fb>
    <v>0</v>
  </rv>
  <rv s="0">
    <fb>230</fb>
    <v>1</v>
  </rv>
  <rv s="0">
    <fb>45636</fb>
    <v>0</v>
  </rv>
  <rv s="0">
    <fb>231.72</fb>
    <v>1</v>
  </rv>
  <rv s="0">
    <fb>45637</fb>
    <v>0</v>
  </rv>
  <rv s="0">
    <fb>230.12</fb>
    <v>1</v>
  </rv>
  <rv s="0">
    <fb>45638</fb>
    <v>0</v>
  </rv>
  <rv s="0">
    <fb>232.26</fb>
    <v>1</v>
  </rv>
  <rv s="0">
    <fb>45639</fb>
    <v>0</v>
  </rv>
  <rv s="0">
    <fb>230.82</fb>
    <v>1</v>
  </rv>
  <rv s="0">
    <fb>45642</fb>
    <v>0</v>
  </rv>
  <rv s="0">
    <fb>229.33</fb>
    <v>1</v>
  </rv>
  <rv s="0">
    <fb>45643</fb>
    <v>0</v>
  </rv>
  <rv s="0">
    <fb>228.97</fb>
    <v>1</v>
  </rv>
  <rv s="0">
    <fb>45644</fb>
    <v>0</v>
  </rv>
  <rv s="0">
    <fb>220.17</fb>
    <v>1</v>
  </rv>
  <rv s="0">
    <fb>45645</fb>
    <v>0</v>
  </rv>
  <rv s="0">
    <fb>223.92</fb>
    <v>1</v>
  </rv>
  <rv s="0">
    <fb>45646</fb>
    <v>0</v>
  </rv>
  <rv s="0">
    <fb>223.36</fb>
    <v>1</v>
  </rv>
  <rv s="0">
    <fb>45649</fb>
    <v>0</v>
  </rv>
  <rv s="0">
    <fb>221.93</fb>
    <v>1</v>
  </rv>
  <rv s="0">
    <fb>45650</fb>
    <v>0</v>
  </rv>
  <rv s="0">
    <fb>224.41</fb>
    <v>1</v>
  </rv>
  <rv s="0">
    <fb>45652</fb>
    <v>0</v>
  </rv>
  <rv s="0">
    <fb>224.89</fb>
    <v>1</v>
  </rv>
  <rv s="0">
    <fb>45653</fb>
    <v>0</v>
  </rv>
  <rv s="0">
    <fb>222.78</fb>
    <v>1</v>
  </rv>
  <rv s="0">
    <fb>45656</fb>
    <v>0</v>
  </rv>
  <rv s="0">
    <fb>220.25</fb>
    <v>1</v>
  </rv>
  <rv s="0">
    <fb>45657</fb>
    <v>0</v>
  </rv>
  <rv s="0">
    <fb>219.83</fb>
    <v>1</v>
  </rv>
  <rv s="0">
    <fb>45659</fb>
    <v>0</v>
  </rv>
  <rv s="0">
    <fb>219.94</fb>
    <v>1</v>
  </rv>
  <rv s="0">
    <fb>45660</fb>
    <v>0</v>
  </rv>
  <rv s="0">
    <fb>222.65</fb>
    <v>1</v>
  </rv>
  <rv s="0">
    <fb>45663</fb>
    <v>0</v>
  </rv>
  <rv s="0">
    <fb>222.67</fb>
    <v>1</v>
  </rv>
  <rv s="0">
    <fb>45664</fb>
    <v>0</v>
  </rv>
  <rv s="0">
    <fb>223.96</fb>
    <v>1</v>
  </rv>
  <rv s="0">
    <fb>45665</fb>
    <v>0</v>
  </rv>
  <rv s="0">
    <fb>223.18</fb>
    <v>1</v>
  </rv>
  <rv s="0">
    <fb>45667</fb>
    <v>0</v>
  </rv>
  <rv s="0">
    <fb>219.75</fb>
    <v>1</v>
  </rv>
  <rv s="0">
    <fb>45670</fb>
    <v>0</v>
  </rv>
  <rv s="0">
    <fb>217.4</fb>
    <v>1</v>
  </rv>
  <rv s="0">
    <fb>45671</fb>
    <v>0</v>
  </rv>
  <rv s="0">
    <fb>217.75</fb>
    <v>1</v>
  </rv>
  <rv s="0">
    <fb>45672</fb>
    <v>0</v>
  </rv>
  <rv s="0">
    <fb>220.03</fb>
    <v>1</v>
  </rv>
  <rv s="0">
    <fb>45673</fb>
    <v>0</v>
  </rv>
  <rv s="0">
    <fb>222.66</fb>
    <v>1</v>
  </rv>
  <rv s="0">
    <fb>45674</fb>
    <v>0</v>
  </rv>
  <rv s="0">
    <fb>224.79</fb>
    <v>1</v>
  </rv>
  <rv s="0">
    <fb>45678</fb>
    <v>0</v>
  </rv>
  <rv s="0">
    <fb>224.26</fb>
    <v>1</v>
  </rv>
  <rv s="0">
    <fb>45679</fb>
    <v>0</v>
  </rv>
  <rv s="0">
    <fb>223.26</fb>
    <v>1</v>
  </rv>
  <rv s="0">
    <fb>45680</fb>
    <v>0</v>
  </rv>
  <rv s="0">
    <fb>226.04</fb>
    <v>1</v>
  </rv>
  <rv s="0">
    <fb>45681</fb>
    <v>0</v>
  </rv>
  <rv s="0">
    <fb>224.8</fb>
    <v>1</v>
  </rv>
  <rv s="0">
    <fb>45684</fb>
    <v>0</v>
  </rv>
  <rv s="0">
    <fb>224.13</fb>
    <v>1</v>
  </rv>
  <rv s="0">
    <fb>45685</fb>
    <v>0</v>
  </rv>
  <rv s="0">
    <fb>225.66</fb>
    <v>1</v>
  </rv>
  <rv s="0">
    <fb>45686</fb>
    <v>0</v>
  </rv>
  <rv s="0">
    <fb>228.63</fb>
    <v>1</v>
  </rv>
  <rv s="0">
    <fb>45687</fb>
    <v>0</v>
  </rv>
  <rv s="0">
    <fb>258.27</fb>
    <v>1</v>
  </rv>
  <rv s="0">
    <fb>45688</fb>
    <v>0</v>
  </rv>
  <rv s="0">
    <fb>255.7</fb>
    <v>1</v>
  </rv>
  <rv s="0">
    <fb>45691</fb>
    <v>0</v>
  </rv>
  <rv s="0">
    <fb>260.73</fb>
    <v>1</v>
  </rv>
  <rv s="0">
    <fb>45692</fb>
    <v>0</v>
  </rv>
  <rv s="0">
    <fb>264.45999999999998</fb>
    <v>1</v>
  </rv>
  <rv s="0">
    <fb>45693</fb>
    <v>0</v>
  </rv>
  <rv s="0">
    <fb>263.3</fb>
    <v>1</v>
  </rv>
  <rv s="0">
    <fb>45694</fb>
    <v>0</v>
  </rv>
  <rv s="0">
    <fb>253.44</fb>
    <v>1</v>
  </rv>
  <rv s="0">
    <fb>45695</fb>
    <v>0</v>
  </rv>
  <rv s="0">
    <fb>252.34</fb>
    <v>1</v>
  </rv>
  <rv s="0">
    <fb>45698</fb>
    <v>0</v>
  </rv>
  <rv s="0">
    <fb>249.27</fb>
    <v>1</v>
  </rv>
  <rv s="0">
    <fb>45699</fb>
    <v>0</v>
  </rv>
  <rv s="0">
    <fb>254.7</fb>
    <v>1</v>
  </rv>
  <rv s="0">
    <fb>45700</fb>
    <v>0</v>
  </rv>
  <rv s="0">
    <fb>255.81</fb>
    <v>1</v>
  </rv>
  <rv s="0">
    <fb>45701</fb>
    <v>0</v>
  </rv>
  <rv s="0">
    <fb>259.19</fb>
    <v>1</v>
  </rv>
  <rv s="0">
    <fb>45702</fb>
    <v>0</v>
  </rv>
  <rv s="0">
    <fb>261.27999999999997</fb>
    <v>1</v>
  </rv>
  <rv s="0">
    <fb>45706</fb>
    <v>0</v>
  </rv>
  <rv s="0">
    <fb>263.07</fb>
    <v>1</v>
  </rv>
  <rv s="0">
    <fb>45707</fb>
    <v>0</v>
  </rv>
  <rv s="0">
    <fb>264.32</fb>
    <v>1</v>
  </rv>
  <rv s="0">
    <fb>45708</fb>
    <v>0</v>
  </rv>
  <rv s="0">
    <fb>264.74</fb>
    <v>1</v>
  </rv>
  <rv s="0">
    <fb>45709</fb>
    <v>0</v>
  </rv>
  <rv s="0">
    <fb>261.48</fb>
    <v>1</v>
  </rv>
  <rv s="0">
    <fb>45712</fb>
    <v>0</v>
  </rv>
  <rv s="0">
    <fb>261.87</fb>
    <v>1</v>
  </rv>
  <rv s="0">
    <fb>45713</fb>
    <v>0</v>
  </rv>
  <rv s="0">
    <fb>257.75</fb>
    <v>1</v>
  </rv>
  <rv s="0">
    <fb>45714</fb>
    <v>0</v>
  </rv>
  <rv s="0">
    <fb>255.84</fb>
    <v>1</v>
  </rv>
  <rv s="0">
    <fb>45715</fb>
    <v>0</v>
  </rv>
  <rv s="0">
    <fb>253.23</fb>
    <v>1</v>
  </rv>
  <rv s="0">
    <fb>45716</fb>
    <v>0</v>
  </rv>
  <rv s="0">
    <fb>252.44</fb>
    <v>1</v>
  </rv>
  <rv s="0">
    <fb>45719</fb>
    <v>0</v>
  </rv>
  <rv s="0">
    <fb>250.19</fb>
    <v>1</v>
  </rv>
  <rv s="0">
    <fb>45720</fb>
    <v>0</v>
  </rv>
  <rv s="0">
    <fb>253.21</fb>
    <v>1</v>
  </rv>
  <rv s="0">
    <fb>45721</fb>
    <v>0</v>
  </rv>
  <rv s="0">
    <fb>251.35</fb>
    <v>1</v>
  </rv>
  <rv s="0">
    <fb>45722</fb>
    <v>0</v>
  </rv>
  <rv s="0">
    <fb>248.69</fb>
    <v>1</v>
  </rv>
  <rv s="0">
    <fb>45723</fb>
    <v>0</v>
  </rv>
  <rv s="0">
    <fb>261.54000000000002</fb>
    <v>1</v>
  </rv>
  <rv s="0">
    <fb>45726</fb>
    <v>0</v>
  </rv>
  <rv s="0">
    <fb>256.89999999999998</fb>
    <v>1</v>
  </rv>
  <rv s="0">
    <fb>45727</fb>
    <v>0</v>
  </rv>
  <rv s="0">
    <fb>248.95</fb>
    <v>1</v>
  </rv>
  <rv s="0">
    <fb>45728</fb>
    <v>0</v>
  </rv>
  <rv s="0">
    <fb>249.63</fb>
    <v>1</v>
  </rv>
  <rv s="0">
    <fb>45729</fb>
    <v>0</v>
  </rv>
  <rv s="0">
    <fb>245.8</fb>
    <v>1</v>
  </rv>
  <rv s="0">
    <fb>45730</fb>
    <v>0</v>
  </rv>
  <rv s="0">
    <fb>248.35</fb>
    <v>1</v>
  </rv>
  <rv s="0">
    <fb>45733</fb>
    <v>0</v>
  </rv>
  <rv s="0">
    <fb>252.97</fb>
    <v>1</v>
  </rv>
  <rv s="0">
    <fb>45734</fb>
    <v>0</v>
  </rv>
  <rv s="0">
    <fb>246.95</fb>
    <v>1</v>
  </rv>
  <rv s="0">
    <fb>45735</fb>
    <v>0</v>
  </rv>
  <rv s="0">
    <fb>252.29</fb>
    <v>1</v>
  </rv>
  <rv s="0">
    <fb>45736</fb>
    <v>0</v>
  </rv>
  <rv s="0">
    <fb>243.32</fb>
    <v>1</v>
  </rv>
  <rv s="0">
    <fb>45737</fb>
    <v>0</v>
  </rv>
  <rv s="0">
    <fb>243.87</fb>
    <v>1</v>
  </rv>
  <rv s="0">
    <fb>45740</fb>
    <v>0</v>
  </rv>
  <rv s="0">
    <fb>248.45</fb>
    <v>1</v>
  </rv>
  <rv s="0">
    <fb>45741</fb>
    <v>0</v>
  </rv>
  <rv s="0">
    <fb>249.9</fb>
    <v>1</v>
  </rv>
  <rv s="0">
    <fb>45742</fb>
    <v>0</v>
  </rv>
  <rv s="0">
    <fb>250.34</fb>
    <v>1</v>
  </rv>
  <rv s="0">
    <fb>45743</fb>
    <v>0</v>
  </rv>
  <rv s="0">
    <fb>246.21</fb>
    <v>1</v>
  </rv>
  <rv s="0">
    <fb>45744</fb>
    <v>0</v>
  </rv>
  <rv s="0">
    <fb>244</fb>
    <v>1</v>
  </rv>
  <rv s="0">
    <fb>45747</fb>
    <v>0</v>
  </rv>
  <rv s="0">
    <fb>248.66</fb>
    <v>1</v>
  </rv>
  <rv s="0">
    <fb>45748</fb>
    <v>0</v>
  </rv>
  <rv s="0">
    <fb>45749</fb>
    <v>0</v>
  </rv>
  <rv s="0">
    <fb>249.98</fb>
    <v>1</v>
  </rv>
  <rv s="0">
    <fb>45750</fb>
    <v>0</v>
  </rv>
  <rv s="0">
    <fb>243.49</fb>
    <v>1</v>
  </rv>
  <rv s="0">
    <fb>45751</fb>
    <v>0</v>
  </rv>
  <rv s="0">
    <fb>227.48</fb>
    <v>1</v>
  </rv>
  <rv s="0">
    <fb>45754</fb>
    <v>0</v>
  </rv>
  <rv s="0">
    <fb>225.78</fb>
    <v>1</v>
  </rv>
  <rv s="0">
    <fb>45755</fb>
    <v>0</v>
  </rv>
  <rv s="0">
    <fb>221.03</fb>
    <v>1</v>
  </rv>
  <rv s="0">
    <fb>45756</fb>
    <v>0</v>
  </rv>
  <rv s="0">
    <fb>235.31</fb>
    <v>1</v>
  </rv>
  <rv s="0">
    <fb>45757</fb>
    <v>0</v>
  </rv>
  <rv s="0">
    <fb>229.55</fb>
    <v>1</v>
  </rv>
  <rv s="0">
    <fb>45758</fb>
    <v>0</v>
  </rv>
  <rv s="0">
    <fb>235.48</fb>
    <v>1</v>
  </rv>
  <rv s="0">
    <fb>45761</fb>
    <v>0</v>
  </rv>
  <rv s="0">
    <fb>239.06</fb>
    <v>1</v>
  </rv>
  <rv s="0">
    <fb>45762</fb>
    <v>0</v>
  </rv>
  <rv s="0">
    <fb>240.7</fb>
    <v>1</v>
  </rv>
  <rv s="0">
    <fb>45763</fb>
    <v>0</v>
  </rv>
  <rv s="0">
    <fb>238.57</fb>
    <v>1</v>
  </rv>
  <rv s="0">
    <fb>45764</fb>
    <v>0</v>
  </rv>
  <rv s="0">
    <fb>238.81</fb>
    <v>1</v>
  </rv>
  <rv s="0">
    <fb>45768</fb>
    <v>0</v>
  </rv>
  <rv s="0">
    <fb>236.22</fb>
    <v>1</v>
  </rv>
  <rv s="0">
    <fb>45769</fb>
    <v>0</v>
  </rv>
  <rv s="0">
    <fb>240.9</fb>
    <v>1</v>
  </rv>
  <rv s="0">
    <fb>45770</fb>
    <v>0</v>
  </rv>
  <rv s="0">
    <fb>245.48</fb>
    <v>1</v>
  </rv>
  <rv s="0">
    <fb>45771</fb>
    <v>0</v>
  </rv>
  <rv s="0">
    <fb>45772</fb>
    <v>0</v>
  </rv>
  <rv s="0">
    <fb>232.41</fb>
    <v>1</v>
  </rv>
  <rv s="0">
    <fb>45775</fb>
    <v>0</v>
  </rv>
  <rv s="0">
    <fb>236.16</fb>
    <v>1</v>
  </rv>
  <rv s="0">
    <fb>45776</fb>
    <v>0</v>
  </rv>
  <rv s="0">
    <fb>239.39</fb>
    <v>1</v>
  </rv>
  <rv s="0">
    <fb>45777</fb>
    <v>0</v>
  </rv>
  <rv s="0">
    <fb>241.82</fb>
    <v>1</v>
  </rv>
  <rv s="0">
    <fb>45778</fb>
    <v>0</v>
  </rv>
  <rv s="0">
    <fb>239.66</fb>
    <v>1</v>
  </rv>
  <rv s="0">
    <fb>45779</fb>
    <v>0</v>
  </rv>
  <rv s="0">
    <fb>245.55</fb>
    <v>1</v>
  </rv>
  <rv s="0">
    <fb>45782</fb>
    <v>0</v>
  </rv>
  <rv s="0">
    <fb>249.18</fb>
    <v>1</v>
  </rv>
  <rv s="0">
    <fb>45783</fb>
    <v>0</v>
  </rv>
  <rv s="0">
    <fb>249.12</fb>
    <v>1</v>
  </rv>
  <rv s="0">
    <fb>45784</fb>
    <v>0</v>
  </rv>
  <rv s="0">
    <fb>253.37</fb>
    <v>1</v>
  </rv>
  <rv s="0">
    <fb>45785</fb>
    <v>0</v>
  </rv>
  <rv s="0">
    <fb>254.14</fb>
    <v>1</v>
  </rv>
  <rv s="0">
    <fb>45786</fb>
    <v>0</v>
  </rv>
  <rv s="0">
    <fb>249.2</fb>
    <v>1</v>
  </rv>
  <rv s="0">
    <fb>45789</fb>
    <v>0</v>
  </rv>
  <rv s="0">
    <fb>253.69</fb>
    <v>1</v>
  </rv>
  <rv s="0">
    <fb>45790</fb>
    <v>0</v>
  </rv>
  <rv s="0">
    <fb>258.58999999999997</fb>
    <v>1</v>
  </rv>
  <rv s="0">
    <fb>45791</fb>
    <v>0</v>
  </rv>
  <rv s="0">
    <fb>257.82</fb>
    <v>1</v>
  </rv>
  <rv s="0">
    <fb>45792</fb>
    <v>0</v>
  </rv>
  <rv s="0">
    <fb>266.68</fb>
    <v>1</v>
  </rv>
  <rv s="0">
    <fb>45793</fb>
    <v>0</v>
  </rv>
  <rv s="0">
    <fb>266.76</fb>
    <v>1</v>
  </rv>
  <rv s="0">
    <fb>45796</fb>
    <v>0</v>
  </rv>
  <rv s="0">
    <fb>268.41000000000003</fb>
    <v>1</v>
  </rv>
  <rv s="0">
    <fb>45797</fb>
    <v>0</v>
  </rv>
  <rv s="0">
    <fb>266.95</fb>
    <v>1</v>
  </rv>
  <rv s="0">
    <fb>45798</fb>
    <v>0</v>
  </rv>
  <rv s="0">
    <fb>260.87</fb>
    <v>1</v>
  </rv>
  <rv s="0">
    <fb>45799</fb>
    <v>0</v>
  </rv>
  <rv s="0">
    <fb>258.37</fb>
    <v>1</v>
  </rv>
  <rv s="0">
    <fb>45800</fb>
    <v>0</v>
  </rv>
  <rv s="0">
    <fb>258.63</fb>
    <v>1</v>
  </rv>
  <rv s="0">
    <fb>45804</fb>
    <v>0</v>
  </rv>
  <rv s="0">
    <fb>263.23</fb>
    <v>1</v>
  </rv>
  <rv s="0">
    <fb>45805</fb>
    <v>0</v>
  </rv>
  <rv s="0">
    <fb>260.24</fb>
    <v>1</v>
  </rv>
  <rv s="0">
    <fb>45806</fb>
    <v>0</v>
  </rv>
  <rv s="0">
    <fb>258.69</fb>
    <v>1</v>
  </rv>
  <rv s="0">
    <fb>45807</fb>
    <v>0</v>
  </rv>
  <rv s="0">
    <fb>259.06</fb>
    <v>1</v>
  </rv>
  <rv s="0">
    <fb>45810</fb>
    <v>0</v>
  </rv>
  <rv s="0">
    <fb>263.89999999999998</fb>
    <v>1</v>
  </rv>
  <rv s="0">
    <fb>45811</fb>
    <v>0</v>
  </rv>
  <rv s="0">
    <fb>265.2</fb>
    <v>1</v>
  </rv>
  <rv s="0">
    <fb>45812</fb>
    <v>0</v>
  </rv>
  <rv s="0">
    <fb>265.52</fb>
    <v>1</v>
  </rv>
  <rv s="0">
    <fb>45813</fb>
    <v>0</v>
  </rv>
  <rv s="0">
    <fb>266.86</fb>
    <v>1</v>
  </rv>
  <rv s="0">
    <fb>45814</fb>
    <v>0</v>
  </rv>
  <rv s="0">
    <fb>268.87</fb>
    <v>1</v>
  </rv>
  <rv s="0">
    <fb>45817</fb>
    <v>0</v>
  </rv>
  <rv s="0">
    <fb>272.08</fb>
    <v>1</v>
  </rv>
  <rv s="0">
    <fb>45818</fb>
    <v>0</v>
  </rv>
  <rv s="0">
    <fb>276.24</fb>
    <v>1</v>
  </rv>
  <rv s="0">
    <fb>45819</fb>
    <v>0</v>
  </rv>
  <rv s="0">
    <fb>281.52</fb>
    <v>1</v>
  </rv>
  <rv s="0">
    <fb>45820</fb>
    <v>0</v>
  </rv>
  <rv s="0">
    <fb>281.02999999999997</fb>
    <v>1</v>
  </rv>
  <rv s="0">
    <fb>45821</fb>
    <v>0</v>
  </rv>
  <rv s="0">
    <fb>277.22000000000003</fb>
    <v>1</v>
  </rv>
  <rv s="0">
    <fb>45824</fb>
    <v>0</v>
  </rv>
  <rv s="0">
    <fb>281.83</fb>
    <v>1</v>
  </rv>
  <rv s="0">
    <fb>45825</fb>
    <v>0</v>
  </rv>
  <rv s="0">
    <fb>283.05</fb>
    <v>1</v>
  </rv>
  <rv s="0">
    <fb>45826</fb>
    <v>0</v>
  </rv>
  <rv s="0">
    <fb>283.20999999999998</fb>
    <v>1</v>
  </rv>
  <rv s="0">
    <fb>45828</fb>
    <v>0</v>
  </rv>
  <rv s="0">
    <fb>280.97000000000003</fb>
    <v>1</v>
  </rv>
  <rv s="0">
    <fb>45831</fb>
    <v>0</v>
  </rv>
  <rv s="0">
    <fb>289.18</fb>
    <v>1</v>
  </rv>
  <rv s="0">
    <fb>45832</fb>
    <v>0</v>
  </rv>
  <rv s="0">
    <fb>293.79000000000002</fb>
    <v>1</v>
  </rv>
  <rv s="0">
    <fb>45833</fb>
    <v>0</v>
  </rv>
  <rv s="0">
    <fb>291.06</fb>
    <v>1</v>
  </rv>
  <rv s="0">
    <fb>45834</fb>
    <v>0</v>
  </rv>
  <rv s="0">
    <fb>291.93</fb>
    <v>1</v>
  </rv>
  <rv s="0">
    <fb>45835</fb>
    <v>0</v>
  </rv>
  <rv s="0">
    <fb>289.7</fb>
    <v>1</v>
  </rv>
  <rv s="0">
    <fb>45838</fb>
    <v>0</v>
  </rv>
  <rv s="0">
    <fb>294.77999999999997</fb>
    <v>1</v>
  </rv>
  <rv s="0">
    <fb>45839</fb>
    <v>0</v>
  </rv>
  <rv s="0">
    <fb>291.2</fb>
    <v>1</v>
  </rv>
  <rv s="0">
    <fb>45840</fb>
    <v>0</v>
  </rv>
  <rv s="0">
    <fb>287.64999999999998</fb>
    <v>1</v>
  </rv>
  <rv s="0">
    <fb>45841</fb>
    <v>0</v>
  </rv>
  <rv s="0">
    <fb>291.97000000000003</fb>
    <v>1</v>
  </rv>
  <rv s="0">
    <fb>45845</fb>
    <v>0</v>
  </rv>
  <rv s="0">
    <fb>292.47000000000003</fb>
    <v>1</v>
  </rv>
  <rv s="0">
    <fb>45846</fb>
    <v>0</v>
  </rv>
  <rv s="0">
    <fb>290.42</fb>
    <v>1</v>
  </rv>
  <rv s="0">
    <fb>45847</fb>
    <v>0</v>
  </rv>
  <rv s="0">
    <fb>290.14</fb>
    <v>1</v>
  </rv>
  <rv s="0">
    <fb>45848</fb>
    <v>0</v>
  </rv>
  <rv s="0">
    <fb>287.43</fb>
    <v>1</v>
  </rv>
  <rv s="0">
    <fb>45849</fb>
    <v>0</v>
  </rv>
  <rv s="0">
    <fb>283.58999999999997</fb>
    <v>1</v>
  </rv>
  <rv s="0">
    <fb>45852</fb>
    <v>0</v>
  </rv>
  <rv s="0">
    <fb>283.79000000000002</fb>
    <v>1</v>
  </rv>
  <rv s="0">
    <fb>45853</fb>
    <v>0</v>
  </rv>
  <rv s="0">
    <fb>282.7</fb>
    <v>1</v>
  </rv>
  <rv s="0">
    <fb>45854</fb>
    <v>0</v>
  </rv>
  <rv s="0">
    <fb>281.92</fb>
    <v>1</v>
  </rv>
  <rv s="0">
    <fb>45855</fb>
    <v>0</v>
  </rv>
  <rv s="0">
    <fb>282</fb>
    <v>1</v>
  </rv>
  <rv s="0">
    <fb>45856</fb>
    <v>0</v>
  </rv>
  <rv s="0">
    <fb>285.87</fb>
    <v>1</v>
  </rv>
  <rv s="0">
    <fb>45859</fb>
    <v>0</v>
  </rv>
  <rv s="0">
    <fb>284.70999999999998</fb>
    <v>1</v>
  </rv>
  <rv s="0">
    <fb>45860</fb>
    <v>0</v>
  </rv>
  <rv s="0">
    <fb>281.95999999999998</fb>
    <v>1</v>
  </rv>
  <rv s="0">
    <fb>45861</fb>
    <v>0</v>
  </rv>
  <rv s="0">
    <fb>282.01</fb>
    <v>1</v>
  </rv>
  <rv s="0">
    <fb>45862</fb>
    <v>0</v>
  </rv>
  <rv s="0">
    <fb>260.51</fb>
    <v>1</v>
  </rv>
  <rv s="0">
    <fb>45863</fb>
    <v>0</v>
  </rv>
  <rv s="0">
    <fb>259.72000000000003</fb>
    <v>1</v>
  </rv>
  <rv s="0">
    <fb>45866</fb>
    <v>0</v>
  </rv>
  <rv s="0">
    <fb>263.20999999999998</fb>
    <v>1</v>
  </rv>
  <rv s="0">
    <fb>45867</fb>
    <v>0</v>
  </rv>
  <rv s="0">
    <fb>262.41000000000003</fb>
    <v>1</v>
  </rv>
  <rv s="0">
    <fb>45868</fb>
    <v>0</v>
  </rv>
  <rv s="0">
    <fb>260.26</fb>
    <v>1</v>
  </rv>
  <rv s="0">
    <fb>45869</fb>
    <v>0</v>
  </rv>
  <rv s="0">
    <fb>253.15</fb>
    <v>1</v>
  </rv>
  <rv s="0">
    <fb>45870</fb>
    <v>0</v>
  </rv>
  <rv s="0">
    <fb>250.05</fb>
    <v>1</v>
  </rv>
  <rv s="0">
    <fb>45873</fb>
    <v>0</v>
  </rv>
  <rv s="0">
    <fb>251.98</fb>
    <v>1</v>
  </rv>
  <rv s="0">
    <fb>45874</fb>
    <v>0</v>
  </rv>
  <rv s="0">
    <fb>250.67</fb>
    <v>1</v>
  </rv>
  <rv s="0">
    <fb>45875</fb>
    <v>0</v>
  </rv>
  <rv s="0">
    <fb>252.28</fb>
    <v>1</v>
  </rv>
  <rv s="0">
    <fb>45876</fb>
    <v>0</v>
  </rv>
  <rv s="0">
    <fb>250.16</fb>
    <v>1</v>
  </rv>
  <rv s="0">
    <fb>45877</fb>
    <v>0</v>
  </rv>
  <rv s="0">
    <fb>242.27</fb>
    <v>1</v>
  </rv>
  <rv s="0">
    <fb>45880</fb>
    <v>0</v>
  </rv>
  <rv s="0">
    <fb>236.3</fb>
    <v>1</v>
  </rv>
  <rv s="0">
    <fb>45881</fb>
    <v>0</v>
  </rv>
  <rv s="0">
    <fb>234.77</fb>
    <v>1</v>
  </rv>
  <rv s="0">
    <fb>45882</fb>
    <v>0</v>
  </rv>
  <rv s="0">
    <fb>240.07</fb>
    <v>1</v>
  </rv>
  <rv s="0">
    <fb>45883</fb>
    <v>0</v>
  </rv>
  <rv s="0">
    <fb>237.11</fb>
    <v>1</v>
  </rv>
  <rv s="0">
    <fb>45884</fb>
    <v>0</v>
  </rv>
  <rv s="0">
    <fb>239.72</fb>
    <v>1</v>
  </rv>
  <rv s="0">
    <fb>45887</fb>
    <v>0</v>
  </rv>
  <rv s="0">
    <fb>239.45</fb>
    <v>1</v>
  </rv>
  <rv s="0">
    <fb>45888</fb>
    <v>0</v>
  </rv>
  <rv s="0">
    <fb>241.28</fb>
    <v>1</v>
  </rv>
  <rv s="0">
    <fb>45889</fb>
    <v>0</v>
  </rv>
  <rv s="0">
    <fb>242.55</fb>
    <v>1</v>
  </rv>
  <rv s="0">
    <fb>45890</fb>
    <v>0</v>
  </rv>
  <rv s="0">
    <fb>239.4</fb>
    <v>1</v>
  </rv>
  <rv s="0">
    <fb>45891</fb>
    <v>0</v>
  </rv>
  <rv s="0">
    <fb>242.09</fb>
    <v>1</v>
  </rv>
  <rv s="0">
    <fb>45894</fb>
    <v>0</v>
  </rv>
  <rv s="0">
    <fb>239.43</fb>
    <v>1</v>
  </rv>
  <rv s="0">
    <fb>45895</fb>
    <v>0</v>
  </rv>
  <rv s="0">
    <fb>242.63</fb>
    <v>1</v>
  </rv>
  <rv s="0">
    <fb>45896</fb>
    <v>0</v>
  </rv>
  <rv s="0">
    <fb>244.84</fb>
    <v>1</v>
  </rv>
  <rv s="0">
    <fb>45897</fb>
    <v>0</v>
  </rv>
  <rv s="0">
    <fb>245.73</fb>
    <v>1</v>
  </rv>
  <rv s="0">
    <fb>45898</fb>
    <v>0</v>
  </rv>
  <rv s="0">
    <fb>45902</fb>
    <v>0</v>
  </rv>
  <rv s="0">
    <fb>241.5</fb>
    <v>1</v>
  </rv>
  <rv s="0">
    <fb>45903</fb>
    <v>0</v>
  </rv>
  <rv s="0">
    <fb>244.1</fb>
    <v>1</v>
  </rv>
  <rv s="0">
    <fb>45904</fb>
    <v>0</v>
  </rv>
  <rv s="0">
    <fb>247.18</fb>
    <v>1</v>
  </rv>
  <rv s="0">
    <fb>45905</fb>
    <v>0</v>
  </rv>
  <rv s="0">
    <fb>248.53</fb>
    <v>1</v>
  </rv>
  <rv s="0">
    <fb>45908</fb>
    <v>0</v>
  </rv>
  <rv s="0">
    <fb>256.08999999999997</fb>
    <v>1</v>
  </rv>
  <rv s="0">
    <fb>45909</fb>
    <v>0</v>
  </rv>
  <rv s="0">
    <fb>259.11</fb>
    <v>1</v>
  </rv>
  <rv s="0">
    <fb>45910</fb>
    <v>0</v>
  </rv>
  <rv s="0">
    <fb>256.88</fb>
    <v>1</v>
  </rv>
  <rv s="0">
    <fb>45911</fb>
    <v>0</v>
  </rv>
  <rv s="0">
    <fb>257.01</fb>
    <v>1</v>
  </rv>
  <rv s="0">
    <fb>45912</fb>
    <v>0</v>
  </rv>
  <rv s="0">
    <fb>45915</fb>
    <v>0</v>
  </rv>
  <rv s="0">
    <fb>256.24</fb>
    <v>1</v>
  </rv>
  <rv s="0">
    <fb>45916</fb>
    <v>0</v>
  </rv>
  <rv s="0">
    <fb>257.52</fb>
    <v>1</v>
  </rv>
  <rv s="0">
    <fb>45917</fb>
    <v>0</v>
  </rv>
  <rv s="0">
    <fb>259.08</fb>
    <v>1</v>
  </rv>
  <rv s="0">
    <fb>45918</fb>
    <v>0</v>
  </rv>
  <rv s="0">
    <fb>265</fb>
    <v>1</v>
  </rv>
  <rv s="0">
    <fb>45919</fb>
    <v>0</v>
  </rv>
  <rv s="0">
    <fb>266.39999999999998</fb>
    <v>1</v>
  </rv>
  <rv s="0">
    <fb>45922</fb>
    <v>0</v>
  </rv>
  <rv s="0">
    <fb>271.37</fb>
    <v>1</v>
  </rv>
  <rv s="0">
    <fb>45923</fb>
    <v>0</v>
  </rv>
  <rv s="0">
    <fb>272.24</fb>
    <v>1</v>
  </rv>
  <rv s="0">
    <fb>45924</fb>
    <v>0</v>
  </rv>
  <rv s="0">
    <fb>267.52999999999997</fb>
    <v>1</v>
  </rv>
  <rv s="0">
    <fb>45925</fb>
    <v>0</v>
  </rv>
  <rv s="0">
    <fb>281.44</fb>
    <v>1</v>
  </rv>
  <rv s="0">
    <fb>45926</fb>
    <v>0</v>
  </rv>
  <rv s="0">
    <fb>284.31</fb>
    <v>1</v>
  </rv>
  <rv s="0">
    <fb>45929</fb>
    <v>0</v>
  </rv>
  <rv s="0">
    <fb>279.8</fb>
    <v>1</v>
  </rv>
  <rv s="0">
    <fb>45930</fb>
    <v>0</v>
  </rv>
  <rv s="0">
    <fb>282.16000000000003</fb>
    <v>1</v>
  </rv>
  <rv s="0">
    <fb>45931</fb>
    <v>0</v>
  </rv>
  <rv s="0">
    <fb>286.49</fb>
    <v>1</v>
  </rv>
  <rv s="0">
    <fb>45932</fb>
    <v>0</v>
  </rv>
  <rv s="0">
    <fb>286.72000000000003</fb>
    <v>1</v>
  </rv>
  <rv s="0">
    <fb>45933</fb>
    <v>0</v>
  </rv>
  <rv s="0">
    <fb>288.37</fb>
    <v>1</v>
  </rv>
  <rv s="0">
    <fb>45936</fb>
    <v>0</v>
  </rv>
  <rv s="0">
    <fb>289.42</fb>
    <v>1</v>
  </rv>
  <rv s="0">
    <fb>45937</fb>
    <v>0</v>
  </rv>
  <rv s="0">
    <fb>293.87</fb>
    <v>1</v>
  </rv>
  <rv s="0">
    <fb>45938</fb>
    <v>0</v>
  </rv>
  <rv s="0">
    <fb>289.45999999999998</fb>
    <v>1</v>
  </rv>
  <rv s="0">
    <fb>45939</fb>
    <v>0</v>
  </rv>
  <rv s="0">
    <fb>288.23</fb>
    <v>1</v>
  </rv>
  <rv s="0">
    <fb>45940</fb>
    <v>0</v>
  </rv>
  <rv s="0">
    <fb>277.82</fb>
    <v>1</v>
  </rv>
  <rv s="0">
    <fb>45943</fb>
    <v>0</v>
  </rv>
  <rv s="0">
    <fb>45944</fb>
    <v>0</v>
  </rv>
  <rv s="0">
    <fb>276.14999999999998</fb>
    <v>1</v>
  </rv>
  <rv s="0">
    <fb>45945</fb>
    <v>0</v>
  </rv>
  <rv s="0">
    <fb>280.75</fb>
    <v>1</v>
  </rv>
  <rv s="0">
    <fb>45946</fb>
    <v>0</v>
  </rv>
  <rv s="0">
    <fb>275.97000000000003</fb>
    <v>1</v>
  </rv>
  <rv s="0">
    <fb>45947</fb>
    <v>0</v>
  </rv>
  <rv s="0">
    <fb>281.27999999999997</fb>
    <v>1</v>
  </rv>
  <rv s="0">
    <fb>45950</fb>
    <v>0</v>
  </rv>
  <rv s="0">
    <fb>283.64999999999998</fb>
    <v>1</v>
  </rv>
  <rv s="0">
    <fb>45951</fb>
    <v>0</v>
  </rv>
  <rv s="0">
    <fb>282.05</fb>
    <v>1</v>
  </rv>
  <rv s="0">
    <fb>45952</fb>
    <v>0</v>
  </rv>
  <rv s="0">
    <fb>287.51</fb>
    <v>1</v>
  </rv>
  <rv s="0">
    <fb>45953</fb>
    <v>0</v>
  </rv>
  <rv s="0">
    <fb>285</fb>
    <v>1</v>
  </rv>
  <rv s="0">
    <fb>45954</fb>
    <v>0</v>
  </rv>
  <rv s="0">
    <fb>307.45999999999998</fb>
    <v>1</v>
  </rv>
  <rv s="0">
    <fb>45957</fb>
    <v>0</v>
  </rv>
  <rv s="0">
    <fb>313.08999999999997</fb>
    <v>1</v>
  </rv>
  <rv s="0">
    <fb>45958</fb>
    <v>0</v>
  </rv>
  <rv s="0">
    <fb>312.57</fb>
    <v>1</v>
  </rv>
  <rv s="0">
    <fb>45959</fb>
    <v>0</v>
  </rv>
  <rv s="0">
    <fb>308.20999999999998</fb>
    <v>1</v>
  </rv>
  <rv s="0">
    <fb>45960</fb>
    <v>0</v>
  </rv>
  <rv s="0">
    <fb>310.06</fb>
    <v>1</v>
  </rv>
  <rv s="0">
    <fb>45961</fb>
    <v>0</v>
  </rv>
  <rv s="0">
    <fb>307.41000000000003</fb>
    <v>1</v>
  </rv>
  <rv s="0">
    <fb>45964</fb>
    <v>0</v>
  </rv>
  <rv s="0">
    <fb>304.73</fb>
    <v>1</v>
  </rv>
  <rv s="0">
    <fb>45965</fb>
    <v>0</v>
  </rv>
  <rv s="0">
    <fb>300.85000000000002</fb>
    <v>1</v>
  </rv>
  <rv s="0">
    <fb>45966</fb>
    <v>0</v>
  </rv>
  <rv s="0">
    <fb>306.77</fb>
    <v>1</v>
  </rv>
  <rv s="0">
    <fb>45967</fb>
    <v>0</v>
  </rv>
  <rv s="0">
    <fb>312.42</fb>
    <v>1</v>
  </rv>
  <rv s="0">
    <fb>45968</fb>
    <v>0</v>
  </rv>
  <rv s="0">
    <fb>306.38</fb>
    <v>1</v>
  </rv>
  <rv s="0">
    <fb>45971</fb>
    <v>0</v>
  </rv>
  <rv s="0">
    <fb>309.13</fb>
    <v>1</v>
  </rv>
  <rv s="0">
    <fb>45972</fb>
    <v>0</v>
  </rv>
  <rv s="0">
    <fb>313.72000000000003</fb>
    <v>1</v>
  </rv>
  <rv s="0">
    <fb>45973</fb>
    <v>0</v>
  </rv>
  <rv s="0">
    <fb>314.98</fb>
    <v>1</v>
  </rv>
  <rv s="0">
    <fb>45974</fb>
    <v>0</v>
  </rv>
  <rv s="0">
    <fb>304.86</fb>
    <v>1</v>
  </rv>
  <rv s="0">
    <fb>45975</fb>
    <v>0</v>
  </rv>
  <rv s="0">
    <fb>305.69</fb>
    <v>1</v>
  </rv>
  <rv s="0">
    <fb>45978</fb>
    <v>0</v>
  </rv>
  <rv s="0">
    <fb>297.17</fb>
    <v>1</v>
  </rv>
  <rv s="0">
    <fb>45979</fb>
    <v>0</v>
  </rv>
  <rv s="0">
    <fb>289.95</fb>
    <v>1</v>
  </rv>
  <rv s="0">
    <fb>45980</fb>
    <v>0</v>
  </rv>
  <rv s="0">
    <fb>288.52999999999997</fb>
    <v>1</v>
  </rv>
  <rv s="0">
    <fb>45981</fb>
    <v>0</v>
  </rv>
  <rv s="0">
    <fb>290.39999999999998</fb>
    <v>1</v>
  </rv>
  <rv s="0">
    <fb>45982</fb>
    <v>0</v>
  </rv>
  <rv s="0">
    <fb>297.44</fb>
    <v>1</v>
  </rv>
  <rv s="0">
    <fb>45985</fb>
    <v>0</v>
  </rv>
  <rv s="0">
    <fb>304.12</fb>
    <v>1</v>
  </rv>
  <rv s="0">
    <fb>45986</fb>
    <v>0</v>
  </rv>
  <rv s="0">
    <fb>304.48</fb>
    <v>1</v>
  </rv>
  <rv s="0">
    <fb>45987</fb>
    <v>0</v>
  </rv>
  <rv s="0">
    <fb>303.20999999999998</fb>
    <v>1</v>
  </rv>
  <rv s="0">
    <fb>45989</fb>
    <v>0</v>
  </rv>
  <rv s="0">
    <fb>308.58</fb>
    <v>1</v>
  </rv>
  <rv s="0">
    <fb>45992</fb>
    <v>0</v>
  </rv>
  <rv s="0">
    <fb>305.67</fb>
    <v>1</v>
  </rv>
  <rv s="0">
    <fb>45993</fb>
    <v>0</v>
  </rv>
  <rv s="0">
    <fb>301.77999999999997</fb>
    <v>1</v>
  </rv>
  <rv s="0">
    <fb>45994</fb>
    <v>0</v>
  </rv>
  <rv s="0">
    <fb>302.62</fb>
    <v>1</v>
  </rv>
  <rv s="0">
    <fb>45995</fb>
    <v>0</v>
  </rv>
  <rv s="0">
    <fb>307.99</fb>
    <v>1</v>
  </rv>
  <rv s="0">
    <fb>45996</fb>
    <v>0</v>
  </rv>
  <rv s="0">
    <fb>307.94</fb>
    <v>1</v>
  </rv>
  <rv s="0">
    <fb>45999</fb>
    <v>0</v>
  </rv>
  <rv s="0">
    <fb>309.18</fb>
    <v>1</v>
  </rv>
  <rv s="0">
    <fb>46000</fb>
    <v>0</v>
  </rv>
  <rv s="0">
    <fb>310.48</fb>
    <v>1</v>
  </rv>
  <rv s="0">
    <fb>46001</fb>
    <v>0</v>
  </rv>
  <rv s="0">
    <fb>312.67</fb>
    <v>1</v>
  </rv>
  <rv s="0">
    <fb>46002</fb>
    <v>0</v>
  </rv>
  <rv s="0">
    <fb>310.74</fb>
    <v>1</v>
  </rv>
  <rv s="0">
    <fb>46003</fb>
    <v>0</v>
  </rv>
  <rv s="0">
    <fb>309.24</fb>
    <v>1</v>
  </rv>
  <rv s="0">
    <fb>46006</fb>
    <v>0</v>
  </rv>
  <rv s="0">
    <fb>308.66000000000003</fb>
    <v>1</v>
  </rv>
  <rv s="0">
    <fb>46007</fb>
    <v>0</v>
  </rv>
  <rv s="0">
    <fb>303.18</fb>
    <v>1</v>
  </rv>
  <rv s="0">
    <fb>46008</fb>
    <v>0</v>
  </rv>
  <rv s="0">
    <fb>303.32</fb>
    <v>1</v>
  </rv>
  <rv s="0">
    <fb>46009</fb>
    <v>0</v>
  </rv>
  <rv s="0">
    <fb>300.45</fb>
    <v>1</v>
  </rv>
  <rv s="0">
    <fb>46010</fb>
    <v>0</v>
  </rv>
  <rv s="0">
    <fb>300.98</fb>
    <v>1</v>
  </rv>
  <rv s="1">
    <v>2</v>
    <v>IBM</v>
    <v>Daily</v>
    <v>45292</v>
    <v>46013</v>
    <v>0</v>
    <v>1</v>
    <v>639016992000000000,639020529270835081,0</v>
    <v>0</v>
    <v>a1v6nm</v>
    <v/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C5D1-4F11-4378-8CC5-1B144D91A429}">
  <dimension ref="A1:K496"/>
  <sheetViews>
    <sheetView tabSelected="1" zoomScale="70" zoomScaleNormal="70" workbookViewId="0">
      <selection activeCell="K1" activeCellId="4" sqref="A1:A1048576 B1:B1048576 I1:I1048576 J1:J1048576 K1:K1048576"/>
    </sheetView>
  </sheetViews>
  <sheetFormatPr defaultRowHeight="15" x14ac:dyDescent="0.25"/>
  <cols>
    <col min="1" max="1" width="12" bestFit="1" customWidth="1"/>
    <col min="2" max="2" width="10.5703125" bestFit="1" customWidth="1"/>
    <col min="4" max="4" width="9.85546875" bestFit="1" customWidth="1"/>
    <col min="10" max="11" width="11.5703125" bestFit="1" customWidth="1"/>
  </cols>
  <sheetData>
    <row r="1" spans="1:11" x14ac:dyDescent="0.25">
      <c r="A1" s="1" t="str" cm="1">
        <f t="array" aca="1" ref="A1:B496" ca="1">_xlfn.STOCKHISTORY("IBM","2024-01-01",TODAY())</f>
        <v>Date</v>
      </c>
      <c r="B1" s="1" t="str">
        <f ca="1"/>
        <v>Close</v>
      </c>
      <c r="C1" s="1" t="s">
        <v>6</v>
      </c>
      <c r="D1" s="1" t="s">
        <v>7</v>
      </c>
      <c r="E1" s="2">
        <v>14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25">
      <c r="A2" vm="1">
        <f ca="1"/>
        <v>45293</v>
      </c>
      <c r="B2" vm="2">
        <f ca="1"/>
        <v>161.5</v>
      </c>
    </row>
    <row r="3" spans="1:11" x14ac:dyDescent="0.25">
      <c r="A3" vm="3">
        <f ca="1"/>
        <v>45294</v>
      </c>
      <c r="B3" vm="4">
        <f ca="1"/>
        <v>160.1</v>
      </c>
      <c r="C3">
        <f ca="1">B3-B2</f>
        <v>-1.4000000000000057</v>
      </c>
      <c r="D3">
        <f ca="1">MAX(C3,0)</f>
        <v>0</v>
      </c>
      <c r="E3">
        <f ca="1">MAX(-C3,0)</f>
        <v>1.4000000000000057</v>
      </c>
    </row>
    <row r="4" spans="1:11" x14ac:dyDescent="0.25">
      <c r="A4" vm="5">
        <f ca="1"/>
        <v>45295</v>
      </c>
      <c r="B4" vm="6">
        <f ca="1"/>
        <v>160.86000000000001</v>
      </c>
      <c r="C4">
        <f t="shared" ref="C4:C67" ca="1" si="0">B4-B3</f>
        <v>0.76000000000001933</v>
      </c>
      <c r="D4">
        <f t="shared" ref="D4:D67" ca="1" si="1">MAX(C4,0)</f>
        <v>0.76000000000001933</v>
      </c>
      <c r="E4">
        <f t="shared" ref="E4:E67" ca="1" si="2">MAX(-C4,0)</f>
        <v>0</v>
      </c>
    </row>
    <row r="5" spans="1:11" x14ac:dyDescent="0.25">
      <c r="A5" vm="7">
        <f ca="1"/>
        <v>45296</v>
      </c>
      <c r="B5" vm="8">
        <f ca="1"/>
        <v>159.16</v>
      </c>
      <c r="C5">
        <f t="shared" ca="1" si="0"/>
        <v>-1.7000000000000171</v>
      </c>
      <c r="D5">
        <f t="shared" ca="1" si="1"/>
        <v>0</v>
      </c>
      <c r="E5">
        <f t="shared" ca="1" si="2"/>
        <v>1.7000000000000171</v>
      </c>
    </row>
    <row r="6" spans="1:11" x14ac:dyDescent="0.25">
      <c r="A6" vm="9">
        <f ca="1"/>
        <v>45299</v>
      </c>
      <c r="B6" vm="10">
        <f ca="1"/>
        <v>161.13999999999999</v>
      </c>
      <c r="C6">
        <f t="shared" ca="1" si="0"/>
        <v>1.9799999999999898</v>
      </c>
      <c r="D6">
        <f t="shared" ca="1" si="1"/>
        <v>1.9799999999999898</v>
      </c>
      <c r="E6">
        <f t="shared" ca="1" si="2"/>
        <v>0</v>
      </c>
    </row>
    <row r="7" spans="1:11" x14ac:dyDescent="0.25">
      <c r="A7" vm="11">
        <f ca="1"/>
        <v>45300</v>
      </c>
      <c r="B7" vm="12">
        <f ca="1"/>
        <v>160.08000000000001</v>
      </c>
      <c r="C7">
        <f t="shared" ca="1" si="0"/>
        <v>-1.0599999999999739</v>
      </c>
      <c r="D7">
        <f t="shared" ca="1" si="1"/>
        <v>0</v>
      </c>
      <c r="E7">
        <f t="shared" ca="1" si="2"/>
        <v>1.0599999999999739</v>
      </c>
    </row>
    <row r="8" spans="1:11" x14ac:dyDescent="0.25">
      <c r="A8" vm="13">
        <f ca="1"/>
        <v>45301</v>
      </c>
      <c r="B8" vm="14">
        <f ca="1"/>
        <v>161.22999999999999</v>
      </c>
      <c r="C8">
        <f t="shared" ca="1" si="0"/>
        <v>1.1499999999999773</v>
      </c>
      <c r="D8">
        <f t="shared" ca="1" si="1"/>
        <v>1.1499999999999773</v>
      </c>
      <c r="E8">
        <f t="shared" ca="1" si="2"/>
        <v>0</v>
      </c>
    </row>
    <row r="9" spans="1:11" x14ac:dyDescent="0.25">
      <c r="A9" vm="15">
        <f ca="1"/>
        <v>45302</v>
      </c>
      <c r="B9" vm="16">
        <f ca="1"/>
        <v>162.16</v>
      </c>
      <c r="C9">
        <f t="shared" ca="1" si="0"/>
        <v>0.93000000000000682</v>
      </c>
      <c r="D9">
        <f t="shared" ca="1" si="1"/>
        <v>0.93000000000000682</v>
      </c>
      <c r="E9">
        <f t="shared" ca="1" si="2"/>
        <v>0</v>
      </c>
    </row>
    <row r="10" spans="1:11" x14ac:dyDescent="0.25">
      <c r="A10" vm="17">
        <f ca="1"/>
        <v>45303</v>
      </c>
      <c r="B10" vm="18">
        <f ca="1"/>
        <v>165.8</v>
      </c>
      <c r="C10">
        <f t="shared" ca="1" si="0"/>
        <v>3.6400000000000148</v>
      </c>
      <c r="D10">
        <f t="shared" ca="1" si="1"/>
        <v>3.6400000000000148</v>
      </c>
      <c r="E10">
        <f t="shared" ca="1" si="2"/>
        <v>0</v>
      </c>
    </row>
    <row r="11" spans="1:11" x14ac:dyDescent="0.25">
      <c r="A11" vm="19">
        <f ca="1"/>
        <v>45307</v>
      </c>
      <c r="B11" vm="20">
        <f ca="1"/>
        <v>166.96</v>
      </c>
      <c r="C11">
        <f t="shared" ca="1" si="0"/>
        <v>1.1599999999999966</v>
      </c>
      <c r="D11">
        <f t="shared" ca="1" si="1"/>
        <v>1.1599999999999966</v>
      </c>
      <c r="E11">
        <f t="shared" ca="1" si="2"/>
        <v>0</v>
      </c>
    </row>
    <row r="12" spans="1:11" x14ac:dyDescent="0.25">
      <c r="A12" vm="21">
        <f ca="1"/>
        <v>45308</v>
      </c>
      <c r="B12" vm="22">
        <f ca="1"/>
        <v>166.08</v>
      </c>
      <c r="C12">
        <f t="shared" ca="1" si="0"/>
        <v>-0.87999999999999545</v>
      </c>
      <c r="D12">
        <f t="shared" ca="1" si="1"/>
        <v>0</v>
      </c>
      <c r="E12">
        <f t="shared" ca="1" si="2"/>
        <v>0.87999999999999545</v>
      </c>
    </row>
    <row r="13" spans="1:11" x14ac:dyDescent="0.25">
      <c r="A13" vm="23">
        <f ca="1"/>
        <v>45309</v>
      </c>
      <c r="B13" vm="24">
        <f ca="1"/>
        <v>166.84</v>
      </c>
      <c r="C13">
        <f t="shared" ca="1" si="0"/>
        <v>0.75999999999999091</v>
      </c>
      <c r="D13">
        <f t="shared" ca="1" si="1"/>
        <v>0.75999999999999091</v>
      </c>
      <c r="E13">
        <f t="shared" ca="1" si="2"/>
        <v>0</v>
      </c>
    </row>
    <row r="14" spans="1:11" x14ac:dyDescent="0.25">
      <c r="A14" vm="25">
        <f ca="1"/>
        <v>45310</v>
      </c>
      <c r="B14" vm="26">
        <f ca="1"/>
        <v>171.48</v>
      </c>
      <c r="C14">
        <f t="shared" ca="1" si="0"/>
        <v>4.6399999999999864</v>
      </c>
      <c r="D14">
        <f t="shared" ca="1" si="1"/>
        <v>4.6399999999999864</v>
      </c>
      <c r="E14">
        <f t="shared" ca="1" si="2"/>
        <v>0</v>
      </c>
    </row>
    <row r="15" spans="1:11" x14ac:dyDescent="0.25">
      <c r="A15" vm="27">
        <f ca="1"/>
        <v>45313</v>
      </c>
      <c r="B15" vm="28">
        <f ca="1"/>
        <v>172.83</v>
      </c>
      <c r="C15">
        <f t="shared" ca="1" si="0"/>
        <v>1.3500000000000227</v>
      </c>
      <c r="D15">
        <f t="shared" ca="1" si="1"/>
        <v>1.3500000000000227</v>
      </c>
      <c r="E15">
        <f t="shared" ca="1" si="2"/>
        <v>0</v>
      </c>
    </row>
    <row r="16" spans="1:11" x14ac:dyDescent="0.25">
      <c r="A16" vm="29">
        <f ca="1"/>
        <v>45314</v>
      </c>
      <c r="B16" vm="30">
        <f ca="1"/>
        <v>173.94</v>
      </c>
      <c r="C16">
        <f t="shared" ca="1" si="0"/>
        <v>1.1099999999999852</v>
      </c>
      <c r="D16">
        <f t="shared" ca="1" si="1"/>
        <v>1.1099999999999852</v>
      </c>
      <c r="E16">
        <f t="shared" ca="1" si="2"/>
        <v>0</v>
      </c>
      <c r="F16">
        <f ca="1">AVERAGE(D3:D16)</f>
        <v>1.2485714285714278</v>
      </c>
      <c r="G16">
        <f ca="1">AVERAGE(E3:E16)</f>
        <v>0.35999999999999943</v>
      </c>
      <c r="H16">
        <f ca="1">IF(G16=0,NA(),F16/G16)</f>
        <v>3.4682539682539715</v>
      </c>
      <c r="I16">
        <f ca="1">IF(H16=0,100,100-(100/(1+H16)))</f>
        <v>77.619893428063961</v>
      </c>
      <c r="J16">
        <v>30</v>
      </c>
      <c r="K16">
        <v>70</v>
      </c>
    </row>
    <row r="17" spans="1:11" x14ac:dyDescent="0.25">
      <c r="A17" vm="31">
        <f ca="1"/>
        <v>45315</v>
      </c>
      <c r="B17" vm="32">
        <f ca="1"/>
        <v>173.93</v>
      </c>
      <c r="C17">
        <f t="shared" ca="1" si="0"/>
        <v>-9.9999999999909051E-3</v>
      </c>
      <c r="D17">
        <f t="shared" ca="1" si="1"/>
        <v>0</v>
      </c>
      <c r="E17">
        <f t="shared" ca="1" si="2"/>
        <v>9.9999999999909051E-3</v>
      </c>
      <c r="F17">
        <f ca="1">(F16*($E$1-1)+D17)/$E$1</f>
        <v>1.1593877551020402</v>
      </c>
      <c r="G17">
        <f ca="1">(G16*($E$1-1)+E17)/$E$1</f>
        <v>0.3349999999999988</v>
      </c>
      <c r="H17">
        <f t="shared" ref="H17:H80" ca="1" si="3">IF(G17=0,NA(),F17/G17)</f>
        <v>3.4608589704538635</v>
      </c>
      <c r="I17">
        <f t="shared" ref="I17:I80" ca="1" si="4">IF(H17=0,100,100-(100/(1+H17)))</f>
        <v>77.58279276203487</v>
      </c>
      <c r="J17">
        <v>30</v>
      </c>
      <c r="K17">
        <v>70</v>
      </c>
    </row>
    <row r="18" spans="1:11" x14ac:dyDescent="0.25">
      <c r="A18" vm="33">
        <f ca="1"/>
        <v>45316</v>
      </c>
      <c r="B18" vm="34">
        <f ca="1"/>
        <v>190.43</v>
      </c>
      <c r="C18">
        <f t="shared" ca="1" si="0"/>
        <v>16.5</v>
      </c>
      <c r="D18">
        <f t="shared" ca="1" si="1"/>
        <v>16.5</v>
      </c>
      <c r="E18">
        <f t="shared" ca="1" si="2"/>
        <v>0</v>
      </c>
      <c r="F18">
        <f t="shared" ref="F18:F81" ca="1" si="5">(F17*($E$1-1)+D18)/$E$1</f>
        <v>2.2551457725947515</v>
      </c>
      <c r="G18">
        <f t="shared" ref="G18:G81" ca="1" si="6">(G17*($E$1-1)+E18)/$E$1</f>
        <v>0.31107142857142744</v>
      </c>
      <c r="H18">
        <f t="shared" ca="1" si="3"/>
        <v>7.2496075353218448</v>
      </c>
      <c r="I18">
        <f t="shared" ca="1" si="4"/>
        <v>87.878211227402517</v>
      </c>
      <c r="J18">
        <v>30</v>
      </c>
      <c r="K18">
        <v>70</v>
      </c>
    </row>
    <row r="19" spans="1:11" x14ac:dyDescent="0.25">
      <c r="A19" vm="35">
        <f ca="1"/>
        <v>45317</v>
      </c>
      <c r="B19" vm="36">
        <f ca="1"/>
        <v>187.42</v>
      </c>
      <c r="C19">
        <f t="shared" ca="1" si="0"/>
        <v>-3.0100000000000193</v>
      </c>
      <c r="D19">
        <f t="shared" ca="1" si="1"/>
        <v>0</v>
      </c>
      <c r="E19">
        <f t="shared" ca="1" si="2"/>
        <v>3.0100000000000193</v>
      </c>
      <c r="F19">
        <f t="shared" ca="1" si="5"/>
        <v>2.0940639316951262</v>
      </c>
      <c r="G19">
        <f t="shared" ca="1" si="6"/>
        <v>0.50385204081632684</v>
      </c>
      <c r="H19">
        <f t="shared" ca="1" si="3"/>
        <v>4.1561088614474659</v>
      </c>
      <c r="I19">
        <f t="shared" ca="1" si="4"/>
        <v>80.605529734310693</v>
      </c>
      <c r="J19">
        <v>30</v>
      </c>
      <c r="K19">
        <v>70</v>
      </c>
    </row>
    <row r="20" spans="1:11" x14ac:dyDescent="0.25">
      <c r="A20" vm="37">
        <f ca="1"/>
        <v>45320</v>
      </c>
      <c r="B20" vm="38">
        <f ca="1"/>
        <v>187.14</v>
      </c>
      <c r="C20">
        <f t="shared" ca="1" si="0"/>
        <v>-0.28000000000000114</v>
      </c>
      <c r="D20">
        <f t="shared" ca="1" si="1"/>
        <v>0</v>
      </c>
      <c r="E20">
        <f t="shared" ca="1" si="2"/>
        <v>0.28000000000000114</v>
      </c>
      <c r="F20">
        <f t="shared" ca="1" si="5"/>
        <v>1.9444879365740457</v>
      </c>
      <c r="G20">
        <f t="shared" ca="1" si="6"/>
        <v>0.48786260932944642</v>
      </c>
      <c r="H20">
        <f t="shared" ca="1" si="3"/>
        <v>3.9857285624874805</v>
      </c>
      <c r="I20">
        <f t="shared" ca="1" si="4"/>
        <v>79.942750844400564</v>
      </c>
      <c r="J20">
        <v>30</v>
      </c>
      <c r="K20">
        <v>70</v>
      </c>
    </row>
    <row r="21" spans="1:11" x14ac:dyDescent="0.25">
      <c r="A21" vm="39">
        <f ca="1"/>
        <v>45321</v>
      </c>
      <c r="B21" vm="40">
        <f ca="1"/>
        <v>187.87</v>
      </c>
      <c r="C21">
        <f t="shared" ca="1" si="0"/>
        <v>0.73000000000001819</v>
      </c>
      <c r="D21">
        <f t="shared" ca="1" si="1"/>
        <v>0.73000000000001819</v>
      </c>
      <c r="E21">
        <f t="shared" ca="1" si="2"/>
        <v>0</v>
      </c>
      <c r="F21">
        <f t="shared" ca="1" si="5"/>
        <v>1.8577387982473295</v>
      </c>
      <c r="G21">
        <f t="shared" ca="1" si="6"/>
        <v>0.45301528009162878</v>
      </c>
      <c r="H21">
        <f t="shared" ca="1" si="3"/>
        <v>4.1008303249099578</v>
      </c>
      <c r="I21">
        <f t="shared" ca="1" si="4"/>
        <v>80.395348672617288</v>
      </c>
      <c r="J21">
        <v>30</v>
      </c>
      <c r="K21">
        <v>70</v>
      </c>
    </row>
    <row r="22" spans="1:11" x14ac:dyDescent="0.25">
      <c r="A22" vm="41">
        <f ca="1"/>
        <v>45322</v>
      </c>
      <c r="B22" vm="42">
        <f ca="1"/>
        <v>183.66</v>
      </c>
      <c r="C22">
        <f t="shared" ca="1" si="0"/>
        <v>-4.210000000000008</v>
      </c>
      <c r="D22">
        <f t="shared" ca="1" si="1"/>
        <v>0</v>
      </c>
      <c r="E22">
        <f t="shared" ca="1" si="2"/>
        <v>4.210000000000008</v>
      </c>
      <c r="F22">
        <f t="shared" ca="1" si="5"/>
        <v>1.7250431698010917</v>
      </c>
      <c r="G22">
        <f t="shared" ca="1" si="6"/>
        <v>0.72137133151365596</v>
      </c>
      <c r="H22">
        <f t="shared" ca="1" si="3"/>
        <v>2.3913386829241294</v>
      </c>
      <c r="I22">
        <f t="shared" ca="1" si="4"/>
        <v>70.513119051330918</v>
      </c>
      <c r="J22">
        <v>30</v>
      </c>
      <c r="K22">
        <v>70</v>
      </c>
    </row>
    <row r="23" spans="1:11" x14ac:dyDescent="0.25">
      <c r="A23" vm="43">
        <f ca="1"/>
        <v>45323</v>
      </c>
      <c r="B23" vm="44">
        <f ca="1"/>
        <v>186.9</v>
      </c>
      <c r="C23">
        <f t="shared" ca="1" si="0"/>
        <v>3.2400000000000091</v>
      </c>
      <c r="D23">
        <f t="shared" ca="1" si="1"/>
        <v>3.2400000000000091</v>
      </c>
      <c r="E23">
        <f t="shared" ca="1" si="2"/>
        <v>0</v>
      </c>
      <c r="F23">
        <f t="shared" ca="1" si="5"/>
        <v>1.8332543719581571</v>
      </c>
      <c r="G23">
        <f t="shared" ca="1" si="6"/>
        <v>0.66984480783410916</v>
      </c>
      <c r="H23">
        <f t="shared" ca="1" si="3"/>
        <v>2.7368344884031299</v>
      </c>
      <c r="I23">
        <f t="shared" ca="1" si="4"/>
        <v>73.239382073158595</v>
      </c>
      <c r="J23">
        <v>30</v>
      </c>
      <c r="K23">
        <v>70</v>
      </c>
    </row>
    <row r="24" spans="1:11" x14ac:dyDescent="0.25">
      <c r="A24" vm="45">
        <f ca="1"/>
        <v>45324</v>
      </c>
      <c r="B24" vm="46">
        <f ca="1"/>
        <v>185.79</v>
      </c>
      <c r="C24">
        <f t="shared" ca="1" si="0"/>
        <v>-1.1100000000000136</v>
      </c>
      <c r="D24">
        <f t="shared" ca="1" si="1"/>
        <v>0</v>
      </c>
      <c r="E24">
        <f t="shared" ca="1" si="2"/>
        <v>1.1100000000000136</v>
      </c>
      <c r="F24">
        <f t="shared" ca="1" si="5"/>
        <v>1.7023076311040028</v>
      </c>
      <c r="G24">
        <f t="shared" ca="1" si="6"/>
        <v>0.70128446441738812</v>
      </c>
      <c r="H24">
        <f t="shared" ca="1" si="3"/>
        <v>2.4274138633860125</v>
      </c>
      <c r="I24">
        <f t="shared" ca="1" si="4"/>
        <v>70.823482664796146</v>
      </c>
      <c r="J24">
        <v>30</v>
      </c>
      <c r="K24">
        <v>70</v>
      </c>
    </row>
    <row r="25" spans="1:11" x14ac:dyDescent="0.25">
      <c r="A25" vm="47">
        <f ca="1"/>
        <v>45327</v>
      </c>
      <c r="B25" vm="48">
        <f ca="1"/>
        <v>183.42</v>
      </c>
      <c r="C25">
        <f t="shared" ca="1" si="0"/>
        <v>-2.3700000000000045</v>
      </c>
      <c r="D25">
        <f t="shared" ca="1" si="1"/>
        <v>0</v>
      </c>
      <c r="E25">
        <f t="shared" ca="1" si="2"/>
        <v>2.3700000000000045</v>
      </c>
      <c r="F25">
        <f t="shared" ca="1" si="5"/>
        <v>1.5807142288822882</v>
      </c>
      <c r="G25">
        <f t="shared" ca="1" si="6"/>
        <v>0.82047843124471787</v>
      </c>
      <c r="H25">
        <f t="shared" ca="1" si="3"/>
        <v>1.9265762129593638</v>
      </c>
      <c r="I25">
        <f t="shared" ca="1" si="4"/>
        <v>65.830379008349951</v>
      </c>
      <c r="J25">
        <v>30</v>
      </c>
      <c r="K25">
        <v>70</v>
      </c>
    </row>
    <row r="26" spans="1:11" x14ac:dyDescent="0.25">
      <c r="A26" vm="49">
        <f ca="1"/>
        <v>45328</v>
      </c>
      <c r="B26" vm="50">
        <f ca="1"/>
        <v>183.41</v>
      </c>
      <c r="C26">
        <f t="shared" ca="1" si="0"/>
        <v>-9.9999999999909051E-3</v>
      </c>
      <c r="D26">
        <f t="shared" ca="1" si="1"/>
        <v>0</v>
      </c>
      <c r="E26">
        <f t="shared" ca="1" si="2"/>
        <v>9.9999999999909051E-3</v>
      </c>
      <c r="F26">
        <f t="shared" ca="1" si="5"/>
        <v>1.4678060696764104</v>
      </c>
      <c r="G26">
        <f t="shared" ca="1" si="6"/>
        <v>0.76258711472723739</v>
      </c>
      <c r="H26">
        <f t="shared" ca="1" si="3"/>
        <v>1.9247716638923491</v>
      </c>
      <c r="I26">
        <f t="shared" ca="1" si="4"/>
        <v>65.809296761676819</v>
      </c>
      <c r="J26">
        <v>30</v>
      </c>
      <c r="K26">
        <v>70</v>
      </c>
    </row>
    <row r="27" spans="1:11" x14ac:dyDescent="0.25">
      <c r="A27" vm="51">
        <f ca="1"/>
        <v>45329</v>
      </c>
      <c r="B27" vm="52">
        <f ca="1"/>
        <v>183.74</v>
      </c>
      <c r="C27">
        <f t="shared" ca="1" si="0"/>
        <v>0.33000000000001251</v>
      </c>
      <c r="D27">
        <f t="shared" ca="1" si="1"/>
        <v>0.33000000000001251</v>
      </c>
      <c r="E27">
        <f t="shared" ca="1" si="2"/>
        <v>0</v>
      </c>
      <c r="F27">
        <f t="shared" ca="1" si="5"/>
        <v>1.3865342075566678</v>
      </c>
      <c r="G27">
        <f t="shared" ca="1" si="6"/>
        <v>0.70811660653243469</v>
      </c>
      <c r="H27">
        <f t="shared" ca="1" si="3"/>
        <v>1.9580591597002164</v>
      </c>
      <c r="I27">
        <f t="shared" ca="1" si="4"/>
        <v>66.194050016858199</v>
      </c>
      <c r="J27">
        <v>30</v>
      </c>
      <c r="K27">
        <v>70</v>
      </c>
    </row>
    <row r="28" spans="1:11" x14ac:dyDescent="0.25">
      <c r="A28" vm="53">
        <f ca="1"/>
        <v>45330</v>
      </c>
      <c r="B28" vm="54">
        <f ca="1"/>
        <v>184.36</v>
      </c>
      <c r="C28">
        <f t="shared" ca="1" si="0"/>
        <v>0.62000000000000455</v>
      </c>
      <c r="D28">
        <f t="shared" ca="1" si="1"/>
        <v>0.62000000000000455</v>
      </c>
      <c r="E28">
        <f t="shared" ca="1" si="2"/>
        <v>0</v>
      </c>
      <c r="F28">
        <f t="shared" ca="1" si="5"/>
        <v>1.3317817641597631</v>
      </c>
      <c r="G28">
        <f t="shared" ca="1" si="6"/>
        <v>0.65753684892297504</v>
      </c>
      <c r="H28">
        <f t="shared" ca="1" si="3"/>
        <v>2.0254100836191617</v>
      </c>
      <c r="I28">
        <f t="shared" ca="1" si="4"/>
        <v>66.946629634956963</v>
      </c>
      <c r="J28">
        <v>30</v>
      </c>
      <c r="K28">
        <v>70</v>
      </c>
    </row>
    <row r="29" spans="1:11" x14ac:dyDescent="0.25">
      <c r="A29" vm="55">
        <f ca="1"/>
        <v>45331</v>
      </c>
      <c r="B29" vm="56">
        <f ca="1"/>
        <v>186.34</v>
      </c>
      <c r="C29">
        <f t="shared" ca="1" si="0"/>
        <v>1.9799999999999898</v>
      </c>
      <c r="D29">
        <f t="shared" ca="1" si="1"/>
        <v>1.9799999999999898</v>
      </c>
      <c r="E29">
        <f t="shared" ca="1" si="2"/>
        <v>0</v>
      </c>
      <c r="F29">
        <f t="shared" ca="1" si="5"/>
        <v>1.3780830667197794</v>
      </c>
      <c r="G29">
        <f t="shared" ca="1" si="6"/>
        <v>0.61056993114276259</v>
      </c>
      <c r="H29">
        <f t="shared" ca="1" si="3"/>
        <v>2.2570437822585108</v>
      </c>
      <c r="I29">
        <f t="shared" ca="1" si="4"/>
        <v>69.297311708024495</v>
      </c>
      <c r="J29">
        <v>30</v>
      </c>
      <c r="K29">
        <v>70</v>
      </c>
    </row>
    <row r="30" spans="1:11" x14ac:dyDescent="0.25">
      <c r="A30" vm="57">
        <f ca="1"/>
        <v>45334</v>
      </c>
      <c r="B30" vm="58">
        <f ca="1"/>
        <v>186.16</v>
      </c>
      <c r="C30">
        <f t="shared" ca="1" si="0"/>
        <v>-0.18000000000000682</v>
      </c>
      <c r="D30">
        <f t="shared" ca="1" si="1"/>
        <v>0</v>
      </c>
      <c r="E30">
        <f t="shared" ca="1" si="2"/>
        <v>0.18000000000000682</v>
      </c>
      <c r="F30">
        <f t="shared" ca="1" si="5"/>
        <v>1.2796485619540809</v>
      </c>
      <c r="G30">
        <f t="shared" ca="1" si="6"/>
        <v>0.5798149360611371</v>
      </c>
      <c r="H30">
        <f t="shared" ca="1" si="3"/>
        <v>2.2069948226017271</v>
      </c>
      <c r="I30">
        <f t="shared" ca="1" si="4"/>
        <v>68.81815982513082</v>
      </c>
      <c r="J30">
        <v>30</v>
      </c>
      <c r="K30">
        <v>70</v>
      </c>
    </row>
    <row r="31" spans="1:11" x14ac:dyDescent="0.25">
      <c r="A31" vm="59">
        <f ca="1"/>
        <v>45335</v>
      </c>
      <c r="B31" vm="60">
        <f ca="1"/>
        <v>183.7</v>
      </c>
      <c r="C31">
        <f t="shared" ca="1" si="0"/>
        <v>-2.460000000000008</v>
      </c>
      <c r="D31">
        <f t="shared" ca="1" si="1"/>
        <v>0</v>
      </c>
      <c r="E31">
        <f t="shared" ca="1" si="2"/>
        <v>2.460000000000008</v>
      </c>
      <c r="F31">
        <f t="shared" ca="1" si="5"/>
        <v>1.1882450932430753</v>
      </c>
      <c r="G31">
        <f t="shared" ca="1" si="6"/>
        <v>0.71411386919962794</v>
      </c>
      <c r="H31">
        <f t="shared" ca="1" si="3"/>
        <v>1.6639434472472143</v>
      </c>
      <c r="I31">
        <f t="shared" ca="1" si="4"/>
        <v>62.461665579524599</v>
      </c>
      <c r="J31">
        <v>30</v>
      </c>
      <c r="K31">
        <v>70</v>
      </c>
    </row>
    <row r="32" spans="1:11" x14ac:dyDescent="0.25">
      <c r="A32" vm="61">
        <f ca="1"/>
        <v>45336</v>
      </c>
      <c r="B32" vm="62">
        <f ca="1"/>
        <v>183.57</v>
      </c>
      <c r="C32">
        <f t="shared" ca="1" si="0"/>
        <v>-0.12999999999999545</v>
      </c>
      <c r="D32">
        <f t="shared" ca="1" si="1"/>
        <v>0</v>
      </c>
      <c r="E32">
        <f t="shared" ca="1" si="2"/>
        <v>0.12999999999999545</v>
      </c>
      <c r="F32">
        <f t="shared" ca="1" si="5"/>
        <v>1.1033704437257128</v>
      </c>
      <c r="G32">
        <f t="shared" ca="1" si="6"/>
        <v>0.6723914499710828</v>
      </c>
      <c r="H32">
        <f t="shared" ca="1" si="3"/>
        <v>1.640964417041836</v>
      </c>
      <c r="I32">
        <f t="shared" ca="1" si="4"/>
        <v>62.135044548608214</v>
      </c>
      <c r="J32">
        <v>30</v>
      </c>
      <c r="K32">
        <v>70</v>
      </c>
    </row>
    <row r="33" spans="1:11" x14ac:dyDescent="0.25">
      <c r="A33" vm="63">
        <f ca="1"/>
        <v>45337</v>
      </c>
      <c r="B33" vm="64">
        <f ca="1"/>
        <v>186.87</v>
      </c>
      <c r="C33">
        <f t="shared" ca="1" si="0"/>
        <v>3.3000000000000114</v>
      </c>
      <c r="D33">
        <f t="shared" ca="1" si="1"/>
        <v>3.3000000000000114</v>
      </c>
      <c r="E33">
        <f t="shared" ca="1" si="2"/>
        <v>0</v>
      </c>
      <c r="F33">
        <f t="shared" ca="1" si="5"/>
        <v>1.2602725548881628</v>
      </c>
      <c r="G33">
        <f t="shared" ca="1" si="6"/>
        <v>0.62436348925886265</v>
      </c>
      <c r="H33">
        <f t="shared" ca="1" si="3"/>
        <v>2.0184917545132923</v>
      </c>
      <c r="I33">
        <f t="shared" ca="1" si="4"/>
        <v>66.870871901346561</v>
      </c>
      <c r="J33">
        <v>30</v>
      </c>
      <c r="K33">
        <v>70</v>
      </c>
    </row>
    <row r="34" spans="1:11" x14ac:dyDescent="0.25">
      <c r="A34" vm="65">
        <f ca="1"/>
        <v>45338</v>
      </c>
      <c r="B34" vm="66">
        <f ca="1"/>
        <v>187.64</v>
      </c>
      <c r="C34">
        <f t="shared" ca="1" si="0"/>
        <v>0.76999999999998181</v>
      </c>
      <c r="D34">
        <f t="shared" ca="1" si="1"/>
        <v>0.76999999999998181</v>
      </c>
      <c r="E34">
        <f t="shared" ca="1" si="2"/>
        <v>0</v>
      </c>
      <c r="F34">
        <f t="shared" ca="1" si="5"/>
        <v>1.2252530866818641</v>
      </c>
      <c r="G34">
        <f t="shared" ca="1" si="6"/>
        <v>0.57976609716894389</v>
      </c>
      <c r="H34">
        <f t="shared" ca="1" si="3"/>
        <v>2.113357598288168</v>
      </c>
      <c r="I34">
        <f t="shared" ca="1" si="4"/>
        <v>67.880335989998883</v>
      </c>
      <c r="J34">
        <v>30</v>
      </c>
      <c r="K34">
        <v>70</v>
      </c>
    </row>
    <row r="35" spans="1:11" x14ac:dyDescent="0.25">
      <c r="A35" vm="67">
        <f ca="1"/>
        <v>45342</v>
      </c>
      <c r="B35" vm="68">
        <f ca="1"/>
        <v>183.44</v>
      </c>
      <c r="C35">
        <f t="shared" ca="1" si="0"/>
        <v>-4.1999999999999886</v>
      </c>
      <c r="D35">
        <f t="shared" ca="1" si="1"/>
        <v>0</v>
      </c>
      <c r="E35">
        <f t="shared" ca="1" si="2"/>
        <v>4.1999999999999886</v>
      </c>
      <c r="F35">
        <f t="shared" ca="1" si="5"/>
        <v>1.1377350090617309</v>
      </c>
      <c r="G35">
        <f t="shared" ca="1" si="6"/>
        <v>0.83835423308544699</v>
      </c>
      <c r="H35">
        <f t="shared" ca="1" si="3"/>
        <v>1.3571053430176576</v>
      </c>
      <c r="I35">
        <f t="shared" ca="1" si="4"/>
        <v>57.575082379654646</v>
      </c>
      <c r="J35">
        <v>30</v>
      </c>
      <c r="K35">
        <v>70</v>
      </c>
    </row>
    <row r="36" spans="1:11" x14ac:dyDescent="0.25">
      <c r="A36" vm="69">
        <f ca="1"/>
        <v>45343</v>
      </c>
      <c r="B36" vm="70">
        <f ca="1"/>
        <v>179.7</v>
      </c>
      <c r="C36">
        <f t="shared" ca="1" si="0"/>
        <v>-3.7400000000000091</v>
      </c>
      <c r="D36">
        <f t="shared" ca="1" si="1"/>
        <v>0</v>
      </c>
      <c r="E36">
        <f t="shared" ca="1" si="2"/>
        <v>3.7400000000000091</v>
      </c>
      <c r="F36">
        <f t="shared" ca="1" si="5"/>
        <v>1.0564682227001787</v>
      </c>
      <c r="G36">
        <f t="shared" ca="1" si="6"/>
        <v>1.0456146450079158</v>
      </c>
      <c r="H36">
        <f t="shared" ca="1" si="3"/>
        <v>1.0103800934159455</v>
      </c>
      <c r="I36">
        <f t="shared" ca="1" si="4"/>
        <v>50.258162460172102</v>
      </c>
      <c r="J36">
        <v>30</v>
      </c>
      <c r="K36">
        <v>70</v>
      </c>
    </row>
    <row r="37" spans="1:11" x14ac:dyDescent="0.25">
      <c r="A37" vm="71">
        <f ca="1"/>
        <v>45344</v>
      </c>
      <c r="B37" vm="72">
        <f ca="1"/>
        <v>184.21</v>
      </c>
      <c r="C37">
        <f t="shared" ca="1" si="0"/>
        <v>4.5100000000000193</v>
      </c>
      <c r="D37">
        <f t="shared" ca="1" si="1"/>
        <v>4.5100000000000193</v>
      </c>
      <c r="E37">
        <f t="shared" ca="1" si="2"/>
        <v>0</v>
      </c>
      <c r="F37">
        <f t="shared" ca="1" si="5"/>
        <v>1.3031490639358816</v>
      </c>
      <c r="G37">
        <f t="shared" ca="1" si="6"/>
        <v>0.97092788465020752</v>
      </c>
      <c r="H37">
        <f t="shared" ca="1" si="3"/>
        <v>1.3421687486144886</v>
      </c>
      <c r="I37">
        <f t="shared" ca="1" si="4"/>
        <v>57.304528096382867</v>
      </c>
      <c r="J37">
        <v>30</v>
      </c>
      <c r="K37">
        <v>70</v>
      </c>
    </row>
    <row r="38" spans="1:11" x14ac:dyDescent="0.25">
      <c r="A38" vm="73">
        <f ca="1"/>
        <v>45345</v>
      </c>
      <c r="B38" vm="74">
        <f ca="1"/>
        <v>185.72</v>
      </c>
      <c r="C38">
        <f t="shared" ca="1" si="0"/>
        <v>1.5099999999999909</v>
      </c>
      <c r="D38">
        <f t="shared" ca="1" si="1"/>
        <v>1.5099999999999909</v>
      </c>
      <c r="E38">
        <f t="shared" ca="1" si="2"/>
        <v>0</v>
      </c>
      <c r="F38">
        <f t="shared" ca="1" si="5"/>
        <v>1.3179241307976037</v>
      </c>
      <c r="G38">
        <f t="shared" ca="1" si="6"/>
        <v>0.90157589288947837</v>
      </c>
      <c r="H38">
        <f t="shared" ca="1" si="3"/>
        <v>1.4618005441269761</v>
      </c>
      <c r="I38">
        <f t="shared" ca="1" si="4"/>
        <v>59.379324925991185</v>
      </c>
      <c r="J38">
        <v>30</v>
      </c>
      <c r="K38">
        <v>70</v>
      </c>
    </row>
    <row r="39" spans="1:11" x14ac:dyDescent="0.25">
      <c r="A39" vm="75">
        <f ca="1"/>
        <v>45348</v>
      </c>
      <c r="B39" vm="76">
        <f ca="1"/>
        <v>184.13</v>
      </c>
      <c r="C39">
        <f t="shared" ca="1" si="0"/>
        <v>-1.5900000000000034</v>
      </c>
      <c r="D39">
        <f t="shared" ca="1" si="1"/>
        <v>0</v>
      </c>
      <c r="E39">
        <f t="shared" ca="1" si="2"/>
        <v>1.5900000000000034</v>
      </c>
      <c r="F39">
        <f t="shared" ca="1" si="5"/>
        <v>1.2237866928834893</v>
      </c>
      <c r="G39">
        <f t="shared" ca="1" si="6"/>
        <v>0.95074904339737298</v>
      </c>
      <c r="H39">
        <f t="shared" ca="1" si="3"/>
        <v>1.2871816189374783</v>
      </c>
      <c r="I39">
        <f t="shared" ca="1" si="4"/>
        <v>56.278067656710405</v>
      </c>
      <c r="J39">
        <v>30</v>
      </c>
      <c r="K39">
        <v>70</v>
      </c>
    </row>
    <row r="40" spans="1:11" x14ac:dyDescent="0.25">
      <c r="A40" vm="77">
        <f ca="1"/>
        <v>45349</v>
      </c>
      <c r="B40" vm="78">
        <f ca="1"/>
        <v>184.87</v>
      </c>
      <c r="C40">
        <f t="shared" ca="1" si="0"/>
        <v>0.74000000000000909</v>
      </c>
      <c r="D40">
        <f t="shared" ca="1" si="1"/>
        <v>0.74000000000000909</v>
      </c>
      <c r="E40">
        <f t="shared" ca="1" si="2"/>
        <v>0</v>
      </c>
      <c r="F40">
        <f t="shared" ca="1" si="5"/>
        <v>1.1892305005346695</v>
      </c>
      <c r="G40">
        <f t="shared" ca="1" si="6"/>
        <v>0.88283839744041781</v>
      </c>
      <c r="H40">
        <f t="shared" ca="1" si="3"/>
        <v>1.3470534403380772</v>
      </c>
      <c r="I40">
        <f t="shared" ca="1" si="4"/>
        <v>57.393385987156861</v>
      </c>
      <c r="J40">
        <v>30</v>
      </c>
      <c r="K40">
        <v>70</v>
      </c>
    </row>
    <row r="41" spans="1:11" x14ac:dyDescent="0.25">
      <c r="A41" vm="79">
        <f ca="1"/>
        <v>45350</v>
      </c>
      <c r="B41" vm="80">
        <f ca="1"/>
        <v>185.3</v>
      </c>
      <c r="C41">
        <f t="shared" ca="1" si="0"/>
        <v>0.43000000000000682</v>
      </c>
      <c r="D41">
        <f t="shared" ca="1" si="1"/>
        <v>0.43000000000000682</v>
      </c>
      <c r="E41">
        <f t="shared" ca="1" si="2"/>
        <v>0</v>
      </c>
      <c r="F41">
        <f t="shared" ca="1" si="5"/>
        <v>1.1349997504964793</v>
      </c>
      <c r="G41">
        <f t="shared" ca="1" si="6"/>
        <v>0.81977851190895934</v>
      </c>
      <c r="H41">
        <f t="shared" ca="1" si="3"/>
        <v>1.3845200063288887</v>
      </c>
      <c r="I41">
        <f t="shared" ca="1" si="4"/>
        <v>58.062838753885742</v>
      </c>
      <c r="J41">
        <v>30</v>
      </c>
      <c r="K41">
        <v>70</v>
      </c>
    </row>
    <row r="42" spans="1:11" x14ac:dyDescent="0.25">
      <c r="A42" vm="81">
        <f ca="1"/>
        <v>45351</v>
      </c>
      <c r="B42" vm="82">
        <f ca="1"/>
        <v>185.03</v>
      </c>
      <c r="C42">
        <f t="shared" ca="1" si="0"/>
        <v>-0.27000000000001023</v>
      </c>
      <c r="D42">
        <f t="shared" ca="1" si="1"/>
        <v>0</v>
      </c>
      <c r="E42">
        <f t="shared" ca="1" si="2"/>
        <v>0.27000000000001023</v>
      </c>
      <c r="F42">
        <f t="shared" ca="1" si="5"/>
        <v>1.0539283397467307</v>
      </c>
      <c r="G42">
        <f t="shared" ca="1" si="6"/>
        <v>0.78050861820117734</v>
      </c>
      <c r="H42">
        <f t="shared" ca="1" si="3"/>
        <v>1.3503096764974849</v>
      </c>
      <c r="I42">
        <f t="shared" ca="1" si="4"/>
        <v>57.452415313617927</v>
      </c>
      <c r="J42">
        <v>30</v>
      </c>
      <c r="K42">
        <v>70</v>
      </c>
    </row>
    <row r="43" spans="1:11" x14ac:dyDescent="0.25">
      <c r="A43" vm="83">
        <f ca="1"/>
        <v>45352</v>
      </c>
      <c r="B43" vm="84">
        <f ca="1"/>
        <v>188.2</v>
      </c>
      <c r="C43">
        <f t="shared" ca="1" si="0"/>
        <v>3.1699999999999875</v>
      </c>
      <c r="D43">
        <f t="shared" ca="1" si="1"/>
        <v>3.1699999999999875</v>
      </c>
      <c r="E43">
        <f t="shared" ca="1" si="2"/>
        <v>0</v>
      </c>
      <c r="F43">
        <f t="shared" ca="1" si="5"/>
        <v>1.2050763154791062</v>
      </c>
      <c r="G43">
        <f t="shared" ca="1" si="6"/>
        <v>0.72475800261537893</v>
      </c>
      <c r="H43">
        <f t="shared" ca="1" si="3"/>
        <v>1.6627292297986904</v>
      </c>
      <c r="I43">
        <f t="shared" ca="1" si="4"/>
        <v>62.444547916890421</v>
      </c>
      <c r="J43">
        <v>30</v>
      </c>
      <c r="K43">
        <v>70</v>
      </c>
    </row>
    <row r="44" spans="1:11" x14ac:dyDescent="0.25">
      <c r="A44" vm="85">
        <f ca="1"/>
        <v>45355</v>
      </c>
      <c r="B44" vm="86">
        <f ca="1"/>
        <v>193.06</v>
      </c>
      <c r="C44">
        <f t="shared" ca="1" si="0"/>
        <v>4.8600000000000136</v>
      </c>
      <c r="D44">
        <f t="shared" ca="1" si="1"/>
        <v>4.8600000000000136</v>
      </c>
      <c r="E44">
        <f t="shared" ca="1" si="2"/>
        <v>0</v>
      </c>
      <c r="F44">
        <f t="shared" ca="1" si="5"/>
        <v>1.4661422929448855</v>
      </c>
      <c r="G44">
        <f t="shared" ca="1" si="6"/>
        <v>0.67298957385713754</v>
      </c>
      <c r="H44">
        <f t="shared" ca="1" si="3"/>
        <v>2.1785512731525891</v>
      </c>
      <c r="I44">
        <f t="shared" ca="1" si="4"/>
        <v>68.539126348332644</v>
      </c>
      <c r="J44">
        <v>30</v>
      </c>
      <c r="K44">
        <v>70</v>
      </c>
    </row>
    <row r="45" spans="1:11" x14ac:dyDescent="0.25">
      <c r="A45" vm="87">
        <f ca="1"/>
        <v>45356</v>
      </c>
      <c r="B45" vm="88">
        <f ca="1"/>
        <v>191.95</v>
      </c>
      <c r="C45">
        <f t="shared" ca="1" si="0"/>
        <v>-1.1100000000000136</v>
      </c>
      <c r="D45">
        <f t="shared" ca="1" si="1"/>
        <v>0</v>
      </c>
      <c r="E45">
        <f t="shared" ca="1" si="2"/>
        <v>1.1100000000000136</v>
      </c>
      <c r="F45">
        <f t="shared" ca="1" si="5"/>
        <v>1.3614178434488224</v>
      </c>
      <c r="G45">
        <f t="shared" ca="1" si="6"/>
        <v>0.70420460429591436</v>
      </c>
      <c r="H45">
        <f t="shared" ca="1" si="3"/>
        <v>1.9332702955130636</v>
      </c>
      <c r="I45">
        <f t="shared" ca="1" si="4"/>
        <v>65.908358274050968</v>
      </c>
      <c r="J45">
        <v>30</v>
      </c>
      <c r="K45">
        <v>70</v>
      </c>
    </row>
    <row r="46" spans="1:11" x14ac:dyDescent="0.25">
      <c r="A46" vm="89">
        <f ca="1"/>
        <v>45357</v>
      </c>
      <c r="B46" vm="90">
        <f ca="1"/>
        <v>196.16</v>
      </c>
      <c r="C46">
        <f t="shared" ca="1" si="0"/>
        <v>4.210000000000008</v>
      </c>
      <c r="D46">
        <f t="shared" ca="1" si="1"/>
        <v>4.210000000000008</v>
      </c>
      <c r="E46">
        <f t="shared" ca="1" si="2"/>
        <v>0</v>
      </c>
      <c r="F46">
        <f t="shared" ca="1" si="5"/>
        <v>1.5648879974881929</v>
      </c>
      <c r="G46">
        <f t="shared" ca="1" si="6"/>
        <v>0.65390427541763485</v>
      </c>
      <c r="H46">
        <f t="shared" ca="1" si="3"/>
        <v>2.3931453827683447</v>
      </c>
      <c r="I46">
        <f t="shared" ca="1" si="4"/>
        <v>70.528819511289669</v>
      </c>
      <c r="J46">
        <v>30</v>
      </c>
      <c r="K46">
        <v>70</v>
      </c>
    </row>
    <row r="47" spans="1:11" x14ac:dyDescent="0.25">
      <c r="A47" vm="91">
        <f ca="1"/>
        <v>45358</v>
      </c>
      <c r="B47" vm="92">
        <f ca="1"/>
        <v>196.54</v>
      </c>
      <c r="C47">
        <f t="shared" ca="1" si="0"/>
        <v>0.37999999999999545</v>
      </c>
      <c r="D47">
        <f t="shared" ca="1" si="1"/>
        <v>0.37999999999999545</v>
      </c>
      <c r="E47">
        <f t="shared" ca="1" si="2"/>
        <v>0</v>
      </c>
      <c r="F47">
        <f t="shared" ca="1" si="5"/>
        <v>1.4802531405247501</v>
      </c>
      <c r="G47">
        <f t="shared" ca="1" si="6"/>
        <v>0.60719682717351808</v>
      </c>
      <c r="H47">
        <f t="shared" ca="1" si="3"/>
        <v>2.437847291487476</v>
      </c>
      <c r="I47">
        <f t="shared" ca="1" si="4"/>
        <v>70.912029674031174</v>
      </c>
      <c r="J47">
        <v>30</v>
      </c>
      <c r="K47">
        <v>70</v>
      </c>
    </row>
    <row r="48" spans="1:11" x14ac:dyDescent="0.25">
      <c r="A48" vm="93">
        <f ca="1"/>
        <v>45359</v>
      </c>
      <c r="B48" vm="94">
        <f ca="1"/>
        <v>195.95</v>
      </c>
      <c r="C48">
        <f t="shared" ca="1" si="0"/>
        <v>-0.59000000000000341</v>
      </c>
      <c r="D48">
        <f t="shared" ca="1" si="1"/>
        <v>0</v>
      </c>
      <c r="E48">
        <f t="shared" ca="1" si="2"/>
        <v>0.59000000000000341</v>
      </c>
      <c r="F48">
        <f t="shared" ca="1" si="5"/>
        <v>1.3745207733444109</v>
      </c>
      <c r="G48">
        <f t="shared" ca="1" si="6"/>
        <v>0.6059684823754099</v>
      </c>
      <c r="H48">
        <f t="shared" ca="1" si="3"/>
        <v>2.2683040674925188</v>
      </c>
      <c r="I48">
        <f t="shared" ca="1" si="4"/>
        <v>69.403091653977839</v>
      </c>
      <c r="J48">
        <v>30</v>
      </c>
      <c r="K48">
        <v>70</v>
      </c>
    </row>
    <row r="49" spans="1:11" x14ac:dyDescent="0.25">
      <c r="A49" vm="95">
        <f ca="1"/>
        <v>45362</v>
      </c>
      <c r="B49" vm="96">
        <f ca="1"/>
        <v>191.73</v>
      </c>
      <c r="C49">
        <f t="shared" ca="1" si="0"/>
        <v>-4.2199999999999989</v>
      </c>
      <c r="D49">
        <f t="shared" ca="1" si="1"/>
        <v>0</v>
      </c>
      <c r="E49">
        <f t="shared" ca="1" si="2"/>
        <v>4.2199999999999989</v>
      </c>
      <c r="F49">
        <f t="shared" ca="1" si="5"/>
        <v>1.2763407181055244</v>
      </c>
      <c r="G49">
        <f t="shared" ca="1" si="6"/>
        <v>0.86411359077716632</v>
      </c>
      <c r="H49">
        <f t="shared" ca="1" si="3"/>
        <v>1.4770520122911264</v>
      </c>
      <c r="I49">
        <f t="shared" ca="1" si="4"/>
        <v>59.629430668471947</v>
      </c>
      <c r="J49">
        <v>30</v>
      </c>
      <c r="K49">
        <v>70</v>
      </c>
    </row>
    <row r="50" spans="1:11" x14ac:dyDescent="0.25">
      <c r="A50" vm="97">
        <f ca="1"/>
        <v>45363</v>
      </c>
      <c r="B50" vm="98">
        <f ca="1"/>
        <v>197.78</v>
      </c>
      <c r="C50">
        <f t="shared" ca="1" si="0"/>
        <v>6.0500000000000114</v>
      </c>
      <c r="D50">
        <f t="shared" ca="1" si="1"/>
        <v>6.0500000000000114</v>
      </c>
      <c r="E50">
        <f t="shared" ca="1" si="2"/>
        <v>0</v>
      </c>
      <c r="F50">
        <f t="shared" ca="1" si="5"/>
        <v>1.6173163810979878</v>
      </c>
      <c r="G50">
        <f t="shared" ca="1" si="6"/>
        <v>0.80239119143594018</v>
      </c>
      <c r="H50">
        <f t="shared" ca="1" si="3"/>
        <v>2.015620807356667</v>
      </c>
      <c r="I50">
        <f t="shared" ca="1" si="4"/>
        <v>66.839332134846657</v>
      </c>
      <c r="J50">
        <v>30</v>
      </c>
      <c r="K50">
        <v>70</v>
      </c>
    </row>
    <row r="51" spans="1:11" x14ac:dyDescent="0.25">
      <c r="A51" vm="99">
        <f ca="1"/>
        <v>45364</v>
      </c>
      <c r="B51" vm="100">
        <f ca="1"/>
        <v>196.7</v>
      </c>
      <c r="C51">
        <f t="shared" ca="1" si="0"/>
        <v>-1.0800000000000125</v>
      </c>
      <c r="D51">
        <f t="shared" ca="1" si="1"/>
        <v>0</v>
      </c>
      <c r="E51">
        <f t="shared" ca="1" si="2"/>
        <v>1.0800000000000125</v>
      </c>
      <c r="F51">
        <f t="shared" ca="1" si="5"/>
        <v>1.5017937824481316</v>
      </c>
      <c r="G51">
        <f t="shared" ca="1" si="6"/>
        <v>0.82222039204765962</v>
      </c>
      <c r="H51">
        <f t="shared" ca="1" si="3"/>
        <v>1.8265100172328015</v>
      </c>
      <c r="I51">
        <f t="shared" ca="1" si="4"/>
        <v>64.620680843048419</v>
      </c>
      <c r="J51">
        <v>30</v>
      </c>
      <c r="K51">
        <v>70</v>
      </c>
    </row>
    <row r="52" spans="1:11" x14ac:dyDescent="0.25">
      <c r="A52" vm="101">
        <f ca="1"/>
        <v>45365</v>
      </c>
      <c r="B52" vm="102">
        <f ca="1"/>
        <v>193.43</v>
      </c>
      <c r="C52">
        <f t="shared" ca="1" si="0"/>
        <v>-3.2699999999999818</v>
      </c>
      <c r="D52">
        <f t="shared" ca="1" si="1"/>
        <v>0</v>
      </c>
      <c r="E52">
        <f t="shared" ca="1" si="2"/>
        <v>3.2699999999999818</v>
      </c>
      <c r="F52">
        <f t="shared" ca="1" si="5"/>
        <v>1.3945227979875507</v>
      </c>
      <c r="G52">
        <f t="shared" ca="1" si="6"/>
        <v>0.99706179261568262</v>
      </c>
      <c r="H52">
        <f t="shared" ca="1" si="3"/>
        <v>1.3986322696501814</v>
      </c>
      <c r="I52">
        <f t="shared" ca="1" si="4"/>
        <v>58.309574474880186</v>
      </c>
      <c r="J52">
        <v>30</v>
      </c>
      <c r="K52">
        <v>70</v>
      </c>
    </row>
    <row r="53" spans="1:11" x14ac:dyDescent="0.25">
      <c r="A53" vm="103">
        <f ca="1"/>
        <v>45366</v>
      </c>
      <c r="B53" vm="104">
        <f ca="1"/>
        <v>191.07</v>
      </c>
      <c r="C53">
        <f t="shared" ca="1" si="0"/>
        <v>-2.3600000000000136</v>
      </c>
      <c r="D53">
        <f t="shared" ca="1" si="1"/>
        <v>0</v>
      </c>
      <c r="E53">
        <f t="shared" ca="1" si="2"/>
        <v>2.3600000000000136</v>
      </c>
      <c r="F53">
        <f t="shared" ca="1" si="5"/>
        <v>1.2949140267027257</v>
      </c>
      <c r="G53">
        <f t="shared" ca="1" si="6"/>
        <v>1.0944145217145633</v>
      </c>
      <c r="H53">
        <f t="shared" ca="1" si="3"/>
        <v>1.1832025261087089</v>
      </c>
      <c r="I53">
        <f t="shared" ca="1" si="4"/>
        <v>54.195729070432257</v>
      </c>
      <c r="J53">
        <v>30</v>
      </c>
      <c r="K53">
        <v>70</v>
      </c>
    </row>
    <row r="54" spans="1:11" x14ac:dyDescent="0.25">
      <c r="A54" vm="105">
        <f ca="1"/>
        <v>45369</v>
      </c>
      <c r="B54" vm="106">
        <f ca="1"/>
        <v>191.69</v>
      </c>
      <c r="C54">
        <f t="shared" ca="1" si="0"/>
        <v>0.62000000000000455</v>
      </c>
      <c r="D54">
        <f t="shared" ca="1" si="1"/>
        <v>0.62000000000000455</v>
      </c>
      <c r="E54">
        <f t="shared" ca="1" si="2"/>
        <v>0</v>
      </c>
      <c r="F54">
        <f t="shared" ca="1" si="5"/>
        <v>1.2467058819382457</v>
      </c>
      <c r="G54">
        <f t="shared" ca="1" si="6"/>
        <v>1.0162420558778087</v>
      </c>
      <c r="H54">
        <f t="shared" ca="1" si="3"/>
        <v>1.2267804453943476</v>
      </c>
      <c r="I54">
        <f t="shared" ca="1" si="4"/>
        <v>55.092115072758922</v>
      </c>
      <c r="J54">
        <v>30</v>
      </c>
      <c r="K54">
        <v>70</v>
      </c>
    </row>
    <row r="55" spans="1:11" x14ac:dyDescent="0.25">
      <c r="A55" vm="107">
        <f ca="1"/>
        <v>45370</v>
      </c>
      <c r="B55" vm="108">
        <f ca="1"/>
        <v>193.34</v>
      </c>
      <c r="C55">
        <f t="shared" ca="1" si="0"/>
        <v>1.6500000000000057</v>
      </c>
      <c r="D55">
        <f t="shared" ca="1" si="1"/>
        <v>1.6500000000000057</v>
      </c>
      <c r="E55">
        <f t="shared" ca="1" si="2"/>
        <v>0</v>
      </c>
      <c r="F55">
        <f t="shared" ca="1" si="5"/>
        <v>1.2755126046569427</v>
      </c>
      <c r="G55">
        <f t="shared" ca="1" si="6"/>
        <v>0.94365333760082237</v>
      </c>
      <c r="H55">
        <f t="shared" ca="1" si="3"/>
        <v>1.3516749783345769</v>
      </c>
      <c r="I55">
        <f t="shared" ca="1" si="4"/>
        <v>57.47711698203355</v>
      </c>
      <c r="J55">
        <v>30</v>
      </c>
      <c r="K55">
        <v>70</v>
      </c>
    </row>
    <row r="56" spans="1:11" x14ac:dyDescent="0.25">
      <c r="A56" vm="109">
        <f ca="1"/>
        <v>45371</v>
      </c>
      <c r="B56" vm="110">
        <f ca="1"/>
        <v>193.96</v>
      </c>
      <c r="C56">
        <f t="shared" ca="1" si="0"/>
        <v>0.62000000000000455</v>
      </c>
      <c r="D56">
        <f t="shared" ca="1" si="1"/>
        <v>0.62000000000000455</v>
      </c>
      <c r="E56">
        <f t="shared" ca="1" si="2"/>
        <v>0</v>
      </c>
      <c r="F56">
        <f t="shared" ca="1" si="5"/>
        <v>1.2286902757528757</v>
      </c>
      <c r="G56">
        <f t="shared" ca="1" si="6"/>
        <v>0.87624952777219212</v>
      </c>
      <c r="H56">
        <f t="shared" ca="1" si="3"/>
        <v>1.4022150504054951</v>
      </c>
      <c r="I56">
        <f t="shared" ca="1" si="4"/>
        <v>58.371753610019233</v>
      </c>
      <c r="J56">
        <v>30</v>
      </c>
      <c r="K56">
        <v>70</v>
      </c>
    </row>
    <row r="57" spans="1:11" x14ac:dyDescent="0.25">
      <c r="A57" vm="111">
        <f ca="1"/>
        <v>45372</v>
      </c>
      <c r="B57" vm="112">
        <f ca="1"/>
        <v>191.9</v>
      </c>
      <c r="C57">
        <f t="shared" ca="1" si="0"/>
        <v>-2.0600000000000023</v>
      </c>
      <c r="D57">
        <f t="shared" ca="1" si="1"/>
        <v>0</v>
      </c>
      <c r="E57">
        <f t="shared" ca="1" si="2"/>
        <v>2.0600000000000023</v>
      </c>
      <c r="F57">
        <f t="shared" ca="1" si="5"/>
        <v>1.1409266846276702</v>
      </c>
      <c r="G57">
        <f t="shared" ca="1" si="6"/>
        <v>0.96080313293132136</v>
      </c>
      <c r="H57">
        <f t="shared" ca="1" si="3"/>
        <v>1.1874718613237747</v>
      </c>
      <c r="I57">
        <f t="shared" ca="1" si="4"/>
        <v>54.285126237242743</v>
      </c>
      <c r="J57">
        <v>30</v>
      </c>
      <c r="K57">
        <v>70</v>
      </c>
    </row>
    <row r="58" spans="1:11" x14ac:dyDescent="0.25">
      <c r="A58" vm="113">
        <f ca="1"/>
        <v>45373</v>
      </c>
      <c r="B58" vm="114">
        <f ca="1"/>
        <v>190.84</v>
      </c>
      <c r="C58">
        <f t="shared" ca="1" si="0"/>
        <v>-1.0600000000000023</v>
      </c>
      <c r="D58">
        <f t="shared" ca="1" si="1"/>
        <v>0</v>
      </c>
      <c r="E58">
        <f t="shared" ca="1" si="2"/>
        <v>1.0600000000000023</v>
      </c>
      <c r="F58">
        <f t="shared" ca="1" si="5"/>
        <v>1.0594319214399794</v>
      </c>
      <c r="G58">
        <f t="shared" ca="1" si="6"/>
        <v>0.96788862343622717</v>
      </c>
      <c r="H58">
        <f t="shared" ca="1" si="3"/>
        <v>1.0945804050044028</v>
      </c>
      <c r="I58">
        <f t="shared" ca="1" si="4"/>
        <v>52.257741091686668</v>
      </c>
      <c r="J58">
        <v>30</v>
      </c>
      <c r="K58">
        <v>70</v>
      </c>
    </row>
    <row r="59" spans="1:11" x14ac:dyDescent="0.25">
      <c r="A59" vm="115">
        <f ca="1"/>
        <v>45376</v>
      </c>
      <c r="B59" vm="116">
        <f ca="1"/>
        <v>188.79</v>
      </c>
      <c r="C59">
        <f t="shared" ca="1" si="0"/>
        <v>-2.0500000000000114</v>
      </c>
      <c r="D59">
        <f t="shared" ca="1" si="1"/>
        <v>0</v>
      </c>
      <c r="E59">
        <f t="shared" ca="1" si="2"/>
        <v>2.0500000000000114</v>
      </c>
      <c r="F59">
        <f t="shared" ca="1" si="5"/>
        <v>0.98375821276569531</v>
      </c>
      <c r="G59">
        <f t="shared" ca="1" si="6"/>
        <v>1.045182293190783</v>
      </c>
      <c r="H59">
        <f t="shared" ca="1" si="3"/>
        <v>0.9412312274851411</v>
      </c>
      <c r="I59">
        <f t="shared" ca="1" si="4"/>
        <v>48.48630158832254</v>
      </c>
      <c r="J59">
        <v>30</v>
      </c>
      <c r="K59">
        <v>70</v>
      </c>
    </row>
    <row r="60" spans="1:11" x14ac:dyDescent="0.25">
      <c r="A60" vm="117">
        <f ca="1"/>
        <v>45377</v>
      </c>
      <c r="B60" vm="118">
        <f ca="1"/>
        <v>188.5</v>
      </c>
      <c r="C60">
        <f t="shared" ca="1" si="0"/>
        <v>-0.28999999999999204</v>
      </c>
      <c r="D60">
        <f t="shared" ca="1" si="1"/>
        <v>0</v>
      </c>
      <c r="E60">
        <f t="shared" ca="1" si="2"/>
        <v>0.28999999999999204</v>
      </c>
      <c r="F60">
        <f t="shared" ca="1" si="5"/>
        <v>0.91348976899671708</v>
      </c>
      <c r="G60">
        <f t="shared" ca="1" si="6"/>
        <v>0.99124070082001225</v>
      </c>
      <c r="H60">
        <f t="shared" ca="1" si="3"/>
        <v>0.92156200632301011</v>
      </c>
      <c r="I60">
        <f t="shared" ca="1" si="4"/>
        <v>47.959004356380767</v>
      </c>
      <c r="J60">
        <v>30</v>
      </c>
      <c r="K60">
        <v>70</v>
      </c>
    </row>
    <row r="61" spans="1:11" x14ac:dyDescent="0.25">
      <c r="A61" vm="119">
        <f ca="1"/>
        <v>45378</v>
      </c>
      <c r="B61" vm="120">
        <f ca="1"/>
        <v>190.8</v>
      </c>
      <c r="C61">
        <f t="shared" ca="1" si="0"/>
        <v>2.3000000000000114</v>
      </c>
      <c r="D61">
        <f t="shared" ca="1" si="1"/>
        <v>2.3000000000000114</v>
      </c>
      <c r="E61">
        <f t="shared" ca="1" si="2"/>
        <v>0</v>
      </c>
      <c r="F61">
        <f t="shared" ca="1" si="5"/>
        <v>1.0125262140683808</v>
      </c>
      <c r="G61">
        <f t="shared" ca="1" si="6"/>
        <v>0.9204377936185828</v>
      </c>
      <c r="H61">
        <f t="shared" ca="1" si="3"/>
        <v>1.1000484998424112</v>
      </c>
      <c r="I61">
        <f t="shared" ca="1" si="4"/>
        <v>52.382052125222792</v>
      </c>
      <c r="J61">
        <v>30</v>
      </c>
      <c r="K61">
        <v>70</v>
      </c>
    </row>
    <row r="62" spans="1:11" x14ac:dyDescent="0.25">
      <c r="A62" vm="121">
        <f ca="1"/>
        <v>45379</v>
      </c>
      <c r="B62" vm="122">
        <f ca="1"/>
        <v>190.96</v>
      </c>
      <c r="C62">
        <f t="shared" ca="1" si="0"/>
        <v>0.15999999999999659</v>
      </c>
      <c r="D62">
        <f t="shared" ca="1" si="1"/>
        <v>0.15999999999999659</v>
      </c>
      <c r="E62">
        <f t="shared" ca="1" si="2"/>
        <v>0</v>
      </c>
      <c r="F62">
        <f t="shared" ca="1" si="5"/>
        <v>0.95163148449206769</v>
      </c>
      <c r="G62">
        <f t="shared" ca="1" si="6"/>
        <v>0.85469223693154117</v>
      </c>
      <c r="H62">
        <f t="shared" ca="1" si="3"/>
        <v>1.1134200632365063</v>
      </c>
      <c r="I62">
        <f t="shared" ca="1" si="4"/>
        <v>52.683329859725426</v>
      </c>
      <c r="J62">
        <v>30</v>
      </c>
      <c r="K62">
        <v>70</v>
      </c>
    </row>
    <row r="63" spans="1:11" x14ac:dyDescent="0.25">
      <c r="A63" vm="123">
        <f ca="1"/>
        <v>45383</v>
      </c>
      <c r="B63" vm="124">
        <f ca="1"/>
        <v>189.83</v>
      </c>
      <c r="C63">
        <f t="shared" ca="1" si="0"/>
        <v>-1.1299999999999955</v>
      </c>
      <c r="D63">
        <f t="shared" ca="1" si="1"/>
        <v>0</v>
      </c>
      <c r="E63">
        <f t="shared" ca="1" si="2"/>
        <v>1.1299999999999955</v>
      </c>
      <c r="F63">
        <f t="shared" ca="1" si="5"/>
        <v>0.88365780702834862</v>
      </c>
      <c r="G63">
        <f t="shared" ca="1" si="6"/>
        <v>0.87435707715071653</v>
      </c>
      <c r="H63">
        <f t="shared" ca="1" si="3"/>
        <v>1.0106372214747097</v>
      </c>
      <c r="I63">
        <f t="shared" ca="1" si="4"/>
        <v>50.26452363860318</v>
      </c>
      <c r="J63">
        <v>30</v>
      </c>
      <c r="K63">
        <v>70</v>
      </c>
    </row>
    <row r="64" spans="1:11" x14ac:dyDescent="0.25">
      <c r="A64" vm="125">
        <f ca="1"/>
        <v>45384</v>
      </c>
      <c r="B64" vm="126">
        <f ca="1"/>
        <v>188.88</v>
      </c>
      <c r="C64">
        <f t="shared" ca="1" si="0"/>
        <v>-0.95000000000001705</v>
      </c>
      <c r="D64">
        <f t="shared" ca="1" si="1"/>
        <v>0</v>
      </c>
      <c r="E64">
        <f t="shared" ca="1" si="2"/>
        <v>0.95000000000001705</v>
      </c>
      <c r="F64">
        <f t="shared" ca="1" si="5"/>
        <v>0.82053939224060934</v>
      </c>
      <c r="G64">
        <f t="shared" ca="1" si="6"/>
        <v>0.87976014306852368</v>
      </c>
      <c r="H64">
        <f t="shared" ca="1" si="3"/>
        <v>0.93268534464250941</v>
      </c>
      <c r="I64">
        <f t="shared" ca="1" si="4"/>
        <v>48.2585200549047</v>
      </c>
      <c r="J64">
        <v>30</v>
      </c>
      <c r="K64">
        <v>70</v>
      </c>
    </row>
    <row r="65" spans="1:11" x14ac:dyDescent="0.25">
      <c r="A65" vm="127">
        <f ca="1"/>
        <v>45385</v>
      </c>
      <c r="B65" vm="128">
        <f ca="1"/>
        <v>190.9</v>
      </c>
      <c r="C65">
        <f t="shared" ca="1" si="0"/>
        <v>2.0200000000000102</v>
      </c>
      <c r="D65">
        <f t="shared" ca="1" si="1"/>
        <v>2.0200000000000102</v>
      </c>
      <c r="E65">
        <f t="shared" ca="1" si="2"/>
        <v>0</v>
      </c>
      <c r="F65">
        <f t="shared" ca="1" si="5"/>
        <v>0.90621514993770946</v>
      </c>
      <c r="G65">
        <f t="shared" ca="1" si="6"/>
        <v>0.81692013284934339</v>
      </c>
      <c r="H65">
        <f t="shared" ca="1" si="3"/>
        <v>1.1093069120195547</v>
      </c>
      <c r="I65">
        <f t="shared" ca="1" si="4"/>
        <v>52.59106229152065</v>
      </c>
      <c r="J65">
        <v>30</v>
      </c>
      <c r="K65">
        <v>70</v>
      </c>
    </row>
    <row r="66" spans="1:11" x14ac:dyDescent="0.25">
      <c r="A66" vm="129">
        <f ca="1"/>
        <v>45386</v>
      </c>
      <c r="B66" vm="130">
        <f ca="1"/>
        <v>187.94</v>
      </c>
      <c r="C66">
        <f t="shared" ca="1" si="0"/>
        <v>-2.960000000000008</v>
      </c>
      <c r="D66">
        <f t="shared" ca="1" si="1"/>
        <v>0</v>
      </c>
      <c r="E66">
        <f t="shared" ca="1" si="2"/>
        <v>2.960000000000008</v>
      </c>
      <c r="F66">
        <f t="shared" ca="1" si="5"/>
        <v>0.84148549637073022</v>
      </c>
      <c r="G66">
        <f t="shared" ca="1" si="6"/>
        <v>0.96999726621724791</v>
      </c>
      <c r="H66">
        <f t="shared" ca="1" si="3"/>
        <v>0.86751326594178746</v>
      </c>
      <c r="I66">
        <f t="shared" ca="1" si="4"/>
        <v>46.452856949548909</v>
      </c>
      <c r="J66">
        <v>30</v>
      </c>
      <c r="K66">
        <v>70</v>
      </c>
    </row>
    <row r="67" spans="1:11" x14ac:dyDescent="0.25">
      <c r="A67" vm="131">
        <f ca="1"/>
        <v>45387</v>
      </c>
      <c r="B67" vm="132">
        <f ca="1"/>
        <v>189.14</v>
      </c>
      <c r="C67">
        <f t="shared" ca="1" si="0"/>
        <v>1.1999999999999886</v>
      </c>
      <c r="D67">
        <f t="shared" ca="1" si="1"/>
        <v>1.1999999999999886</v>
      </c>
      <c r="E67">
        <f t="shared" ca="1" si="2"/>
        <v>0</v>
      </c>
      <c r="F67">
        <f t="shared" ca="1" si="5"/>
        <v>0.86709367520139147</v>
      </c>
      <c r="G67">
        <f t="shared" ca="1" si="6"/>
        <v>0.9007117472017302</v>
      </c>
      <c r="H67">
        <f t="shared" ca="1" si="3"/>
        <v>0.9626761035317003</v>
      </c>
      <c r="I67">
        <f t="shared" ca="1" si="4"/>
        <v>49.049158024568136</v>
      </c>
      <c r="J67">
        <v>30</v>
      </c>
      <c r="K67">
        <v>70</v>
      </c>
    </row>
    <row r="68" spans="1:11" x14ac:dyDescent="0.25">
      <c r="A68" vm="133">
        <f ca="1"/>
        <v>45390</v>
      </c>
      <c r="B68" vm="134">
        <f ca="1"/>
        <v>189.82</v>
      </c>
      <c r="C68">
        <f t="shared" ref="C68:C131" ca="1" si="7">B68-B67</f>
        <v>0.68000000000000682</v>
      </c>
      <c r="D68">
        <f t="shared" ref="D68:D131" ca="1" si="8">MAX(C68,0)</f>
        <v>0.68000000000000682</v>
      </c>
      <c r="E68">
        <f t="shared" ref="E68:E131" ca="1" si="9">MAX(-C68,0)</f>
        <v>0</v>
      </c>
      <c r="F68">
        <f t="shared" ca="1" si="5"/>
        <v>0.85372984125843543</v>
      </c>
      <c r="G68">
        <f t="shared" ca="1" si="6"/>
        <v>0.836375193830178</v>
      </c>
      <c r="H68">
        <f t="shared" ca="1" si="3"/>
        <v>1.0207498351891355</v>
      </c>
      <c r="I68">
        <f t="shared" ca="1" si="4"/>
        <v>50.513419197859129</v>
      </c>
      <c r="J68">
        <v>30</v>
      </c>
      <c r="K68">
        <v>70</v>
      </c>
    </row>
    <row r="69" spans="1:11" x14ac:dyDescent="0.25">
      <c r="A69" vm="135">
        <f ca="1"/>
        <v>45391</v>
      </c>
      <c r="B69" vm="136">
        <f ca="1"/>
        <v>189.31</v>
      </c>
      <c r="C69">
        <f t="shared" ca="1" si="7"/>
        <v>-0.50999999999999091</v>
      </c>
      <c r="D69">
        <f t="shared" ca="1" si="8"/>
        <v>0</v>
      </c>
      <c r="E69">
        <f t="shared" ca="1" si="9"/>
        <v>0.50999999999999091</v>
      </c>
      <c r="F69">
        <f t="shared" ca="1" si="5"/>
        <v>0.79274913831140437</v>
      </c>
      <c r="G69">
        <f t="shared" ca="1" si="6"/>
        <v>0.81306267998516468</v>
      </c>
      <c r="H69">
        <f t="shared" ca="1" si="3"/>
        <v>0.97501602007592947</v>
      </c>
      <c r="I69">
        <f t="shared" ca="1" si="4"/>
        <v>49.367499309623071</v>
      </c>
      <c r="J69">
        <v>30</v>
      </c>
      <c r="K69">
        <v>70</v>
      </c>
    </row>
    <row r="70" spans="1:11" x14ac:dyDescent="0.25">
      <c r="A70" vm="137">
        <f ca="1"/>
        <v>45392</v>
      </c>
      <c r="B70" vm="138">
        <f ca="1"/>
        <v>186.04</v>
      </c>
      <c r="C70">
        <f t="shared" ca="1" si="7"/>
        <v>-3.2700000000000102</v>
      </c>
      <c r="D70">
        <f t="shared" ca="1" si="8"/>
        <v>0</v>
      </c>
      <c r="E70">
        <f t="shared" ca="1" si="9"/>
        <v>3.2700000000000102</v>
      </c>
      <c r="F70">
        <f t="shared" ca="1" si="5"/>
        <v>0.73612419986058975</v>
      </c>
      <c r="G70">
        <f t="shared" ca="1" si="6"/>
        <v>0.98855820284336793</v>
      </c>
      <c r="H70">
        <f t="shared" ca="1" si="3"/>
        <v>0.74464426853501609</v>
      </c>
      <c r="I70">
        <f t="shared" ca="1" si="4"/>
        <v>42.681724977682499</v>
      </c>
      <c r="J70">
        <v>30</v>
      </c>
      <c r="K70">
        <v>70</v>
      </c>
    </row>
    <row r="71" spans="1:11" x14ac:dyDescent="0.25">
      <c r="A71" vm="139">
        <f ca="1"/>
        <v>45393</v>
      </c>
      <c r="B71" vm="140">
        <f ca="1"/>
        <v>185.9</v>
      </c>
      <c r="C71">
        <f t="shared" ca="1" si="7"/>
        <v>-0.13999999999998636</v>
      </c>
      <c r="D71">
        <f t="shared" ca="1" si="8"/>
        <v>0</v>
      </c>
      <c r="E71">
        <f t="shared" ca="1" si="9"/>
        <v>0.13999999999998636</v>
      </c>
      <c r="F71">
        <f t="shared" ca="1" si="5"/>
        <v>0.68354389987054753</v>
      </c>
      <c r="G71">
        <f t="shared" ca="1" si="6"/>
        <v>0.92794690264026924</v>
      </c>
      <c r="H71">
        <f t="shared" ca="1" si="3"/>
        <v>0.73661962546097559</v>
      </c>
      <c r="I71">
        <f t="shared" ca="1" si="4"/>
        <v>42.416866345469529</v>
      </c>
      <c r="J71">
        <v>30</v>
      </c>
      <c r="K71">
        <v>70</v>
      </c>
    </row>
    <row r="72" spans="1:11" x14ac:dyDescent="0.25">
      <c r="A72" vm="141">
        <f ca="1"/>
        <v>45394</v>
      </c>
      <c r="B72" vm="142">
        <f ca="1"/>
        <v>182.27</v>
      </c>
      <c r="C72">
        <f t="shared" ca="1" si="7"/>
        <v>-3.6299999999999955</v>
      </c>
      <c r="D72">
        <f t="shared" ca="1" si="8"/>
        <v>0</v>
      </c>
      <c r="E72">
        <f t="shared" ca="1" si="9"/>
        <v>3.6299999999999955</v>
      </c>
      <c r="F72">
        <f t="shared" ca="1" si="5"/>
        <v>0.63471933559407989</v>
      </c>
      <c r="G72">
        <f t="shared" ca="1" si="6"/>
        <v>1.1209506953088211</v>
      </c>
      <c r="H72">
        <f t="shared" ca="1" si="3"/>
        <v>0.56623305400530144</v>
      </c>
      <c r="I72">
        <f t="shared" ca="1" si="4"/>
        <v>36.152541446963035</v>
      </c>
      <c r="J72">
        <v>30</v>
      </c>
      <c r="K72">
        <v>70</v>
      </c>
    </row>
    <row r="73" spans="1:11" x14ac:dyDescent="0.25">
      <c r="A73" vm="143">
        <f ca="1"/>
        <v>45397</v>
      </c>
      <c r="B73" vm="144">
        <f ca="1"/>
        <v>181.25</v>
      </c>
      <c r="C73">
        <f t="shared" ca="1" si="7"/>
        <v>-1.0200000000000102</v>
      </c>
      <c r="D73">
        <f t="shared" ca="1" si="8"/>
        <v>0</v>
      </c>
      <c r="E73">
        <f t="shared" ca="1" si="9"/>
        <v>1.0200000000000102</v>
      </c>
      <c r="F73">
        <f t="shared" ca="1" si="5"/>
        <v>0.5893822401945028</v>
      </c>
      <c r="G73">
        <f t="shared" ca="1" si="6"/>
        <v>1.1137399313581917</v>
      </c>
      <c r="H73">
        <f t="shared" ca="1" si="3"/>
        <v>0.52919198064108075</v>
      </c>
      <c r="I73">
        <f t="shared" ca="1" si="4"/>
        <v>34.605987171030577</v>
      </c>
      <c r="J73">
        <v>30</v>
      </c>
      <c r="K73">
        <v>70</v>
      </c>
    </row>
    <row r="74" spans="1:11" x14ac:dyDescent="0.25">
      <c r="A74" vm="145">
        <f ca="1"/>
        <v>45398</v>
      </c>
      <c r="B74" vm="146">
        <f ca="1"/>
        <v>183.75</v>
      </c>
      <c r="C74">
        <f t="shared" ca="1" si="7"/>
        <v>2.5</v>
      </c>
      <c r="D74">
        <f t="shared" ca="1" si="8"/>
        <v>2.5</v>
      </c>
      <c r="E74">
        <f t="shared" ca="1" si="9"/>
        <v>0</v>
      </c>
      <c r="F74">
        <f t="shared" ca="1" si="5"/>
        <v>0.72585493732346684</v>
      </c>
      <c r="G74">
        <f t="shared" ca="1" si="6"/>
        <v>1.0341870791183208</v>
      </c>
      <c r="H74">
        <f t="shared" ca="1" si="3"/>
        <v>0.70186038094991732</v>
      </c>
      <c r="I74">
        <f t="shared" ca="1" si="4"/>
        <v>41.240773262385019</v>
      </c>
      <c r="J74">
        <v>30</v>
      </c>
      <c r="K74">
        <v>70</v>
      </c>
    </row>
    <row r="75" spans="1:11" x14ac:dyDescent="0.25">
      <c r="A75" vm="147">
        <f ca="1"/>
        <v>45399</v>
      </c>
      <c r="B75" vm="148">
        <f ca="1"/>
        <v>183.1</v>
      </c>
      <c r="C75">
        <f t="shared" ca="1" si="7"/>
        <v>-0.65000000000000568</v>
      </c>
      <c r="D75">
        <f t="shared" ca="1" si="8"/>
        <v>0</v>
      </c>
      <c r="E75">
        <f t="shared" ca="1" si="9"/>
        <v>0.65000000000000568</v>
      </c>
      <c r="F75">
        <f t="shared" ca="1" si="5"/>
        <v>0.67400815608607634</v>
      </c>
      <c r="G75">
        <f t="shared" ca="1" si="6"/>
        <v>1.006745144895584</v>
      </c>
      <c r="H75">
        <f t="shared" ca="1" si="3"/>
        <v>0.66949233329154223</v>
      </c>
      <c r="I75">
        <f t="shared" ca="1" si="4"/>
        <v>40.101551827529676</v>
      </c>
      <c r="J75">
        <v>30</v>
      </c>
      <c r="K75">
        <v>70</v>
      </c>
    </row>
    <row r="76" spans="1:11" x14ac:dyDescent="0.25">
      <c r="A76" vm="149">
        <f ca="1"/>
        <v>45400</v>
      </c>
      <c r="B76" vm="150">
        <f ca="1"/>
        <v>181.47</v>
      </c>
      <c r="C76">
        <f t="shared" ca="1" si="7"/>
        <v>-1.6299999999999955</v>
      </c>
      <c r="D76">
        <f t="shared" ca="1" si="8"/>
        <v>0</v>
      </c>
      <c r="E76">
        <f t="shared" ca="1" si="9"/>
        <v>1.6299999999999955</v>
      </c>
      <c r="F76">
        <f t="shared" ca="1" si="5"/>
        <v>0.62586471636564234</v>
      </c>
      <c r="G76">
        <f t="shared" ca="1" si="6"/>
        <v>1.0512633488316134</v>
      </c>
      <c r="H76">
        <f t="shared" ca="1" si="3"/>
        <v>0.59534532147557107</v>
      </c>
      <c r="I76">
        <f t="shared" ca="1" si="4"/>
        <v>37.317646120961619</v>
      </c>
      <c r="J76">
        <v>30</v>
      </c>
      <c r="K76">
        <v>70</v>
      </c>
    </row>
    <row r="77" spans="1:11" x14ac:dyDescent="0.25">
      <c r="A77" vm="151">
        <f ca="1"/>
        <v>45401</v>
      </c>
      <c r="B77" vm="152">
        <f ca="1"/>
        <v>181.58</v>
      </c>
      <c r="C77">
        <f t="shared" ca="1" si="7"/>
        <v>0.11000000000001364</v>
      </c>
      <c r="D77">
        <f t="shared" ca="1" si="8"/>
        <v>0.11000000000001364</v>
      </c>
      <c r="E77">
        <f t="shared" ca="1" si="9"/>
        <v>0</v>
      </c>
      <c r="F77">
        <f t="shared" ca="1" si="5"/>
        <v>0.5890172366252403</v>
      </c>
      <c r="G77">
        <f t="shared" ca="1" si="6"/>
        <v>0.97617310962935533</v>
      </c>
      <c r="H77">
        <f t="shared" ca="1" si="3"/>
        <v>0.6033942451548221</v>
      </c>
      <c r="I77">
        <f t="shared" ca="1" si="4"/>
        <v>37.632307024811539</v>
      </c>
      <c r="J77">
        <v>30</v>
      </c>
      <c r="K77">
        <v>70</v>
      </c>
    </row>
    <row r="78" spans="1:11" x14ac:dyDescent="0.25">
      <c r="A78" vm="153">
        <f ca="1"/>
        <v>45404</v>
      </c>
      <c r="B78" vm="154">
        <f ca="1"/>
        <v>181.9</v>
      </c>
      <c r="C78">
        <f t="shared" ca="1" si="7"/>
        <v>0.31999999999999318</v>
      </c>
      <c r="D78">
        <f t="shared" ca="1" si="8"/>
        <v>0.31999999999999318</v>
      </c>
      <c r="E78">
        <f t="shared" ca="1" si="9"/>
        <v>0</v>
      </c>
      <c r="F78">
        <f t="shared" ca="1" si="5"/>
        <v>0.56980171972343696</v>
      </c>
      <c r="G78">
        <f t="shared" ca="1" si="6"/>
        <v>0.90644645894154419</v>
      </c>
      <c r="H78">
        <f t="shared" ca="1" si="3"/>
        <v>0.62861045360450007</v>
      </c>
      <c r="I78">
        <f t="shared" ca="1" si="4"/>
        <v>38.597962589103886</v>
      </c>
      <c r="J78">
        <v>30</v>
      </c>
      <c r="K78">
        <v>70</v>
      </c>
    </row>
    <row r="79" spans="1:11" x14ac:dyDescent="0.25">
      <c r="A79" vm="155">
        <f ca="1"/>
        <v>45405</v>
      </c>
      <c r="B79" vm="156">
        <f ca="1"/>
        <v>182.19</v>
      </c>
      <c r="C79">
        <f t="shared" ca="1" si="7"/>
        <v>0.28999999999999204</v>
      </c>
      <c r="D79">
        <f t="shared" ca="1" si="8"/>
        <v>0.28999999999999204</v>
      </c>
      <c r="E79">
        <f t="shared" ca="1" si="9"/>
        <v>0</v>
      </c>
      <c r="F79">
        <f t="shared" ca="1" si="5"/>
        <v>0.54981588260033376</v>
      </c>
      <c r="G79">
        <f t="shared" ca="1" si="6"/>
        <v>0.84170028330286251</v>
      </c>
      <c r="H79">
        <f t="shared" ca="1" si="3"/>
        <v>0.65322050319721436</v>
      </c>
      <c r="I79">
        <f t="shared" ca="1" si="4"/>
        <v>39.512001087207118</v>
      </c>
      <c r="J79">
        <v>30</v>
      </c>
      <c r="K79">
        <v>70</v>
      </c>
    </row>
    <row r="80" spans="1:11" x14ac:dyDescent="0.25">
      <c r="A80" vm="157">
        <f ca="1"/>
        <v>45406</v>
      </c>
      <c r="B80" vm="158">
        <f ca="1"/>
        <v>184.1</v>
      </c>
      <c r="C80">
        <f t="shared" ca="1" si="7"/>
        <v>1.9099999999999966</v>
      </c>
      <c r="D80">
        <f t="shared" ca="1" si="8"/>
        <v>1.9099999999999966</v>
      </c>
      <c r="E80">
        <f t="shared" ca="1" si="9"/>
        <v>0</v>
      </c>
      <c r="F80">
        <f t="shared" ca="1" si="5"/>
        <v>0.64697189098602392</v>
      </c>
      <c r="G80">
        <f t="shared" ca="1" si="6"/>
        <v>0.78157883449551513</v>
      </c>
      <c r="H80">
        <f t="shared" ca="1" si="3"/>
        <v>0.82777560296092745</v>
      </c>
      <c r="I80">
        <f t="shared" ca="1" si="4"/>
        <v>45.288688700076868</v>
      </c>
      <c r="J80">
        <v>30</v>
      </c>
      <c r="K80">
        <v>70</v>
      </c>
    </row>
    <row r="81" spans="1:11" x14ac:dyDescent="0.25">
      <c r="A81" vm="159">
        <f ca="1"/>
        <v>45407</v>
      </c>
      <c r="B81" vm="160">
        <f ca="1"/>
        <v>168.91</v>
      </c>
      <c r="C81">
        <f t="shared" ca="1" si="7"/>
        <v>-15.189999999999998</v>
      </c>
      <c r="D81">
        <f t="shared" ca="1" si="8"/>
        <v>0</v>
      </c>
      <c r="E81">
        <f t="shared" ca="1" si="9"/>
        <v>15.189999999999998</v>
      </c>
      <c r="F81">
        <f t="shared" ca="1" si="5"/>
        <v>0.60075961305845083</v>
      </c>
      <c r="G81">
        <f t="shared" ca="1" si="6"/>
        <v>1.8107517748886923</v>
      </c>
      <c r="H81">
        <f t="shared" ref="H81:H144" ca="1" si="10">IF(G81=0,NA(),F81/G81)</f>
        <v>0.33177358784882582</v>
      </c>
      <c r="I81">
        <f t="shared" ref="I81:I144" ca="1" si="11">IF(H81=0,100,100-(100/(1+H81)))</f>
        <v>24.912161562291516</v>
      </c>
      <c r="J81">
        <v>30</v>
      </c>
      <c r="K81">
        <v>70</v>
      </c>
    </row>
    <row r="82" spans="1:11" x14ac:dyDescent="0.25">
      <c r="A82" vm="161">
        <f ca="1"/>
        <v>45408</v>
      </c>
      <c r="B82" vm="162">
        <f ca="1"/>
        <v>167.13</v>
      </c>
      <c r="C82">
        <f t="shared" ca="1" si="7"/>
        <v>-1.7800000000000011</v>
      </c>
      <c r="D82">
        <f t="shared" ca="1" si="8"/>
        <v>0</v>
      </c>
      <c r="E82">
        <f t="shared" ca="1" si="9"/>
        <v>1.7800000000000011</v>
      </c>
      <c r="F82">
        <f t="shared" ref="F82:F145" ca="1" si="12">(F81*($E$1-1)+D82)/$E$1</f>
        <v>0.55784821212570435</v>
      </c>
      <c r="G82">
        <f t="shared" ref="G82:G145" ca="1" si="13">(G81*($E$1-1)+E82)/$E$1</f>
        <v>1.8085552195395</v>
      </c>
      <c r="H82">
        <f t="shared" ca="1" si="10"/>
        <v>0.30844964317304363</v>
      </c>
      <c r="I82">
        <f t="shared" ca="1" si="11"/>
        <v>23.57367322329965</v>
      </c>
      <c r="J82">
        <v>30</v>
      </c>
      <c r="K82">
        <v>70</v>
      </c>
    </row>
    <row r="83" spans="1:11" x14ac:dyDescent="0.25">
      <c r="A83" vm="163">
        <f ca="1"/>
        <v>45411</v>
      </c>
      <c r="B83" vm="164">
        <f ca="1"/>
        <v>167.43</v>
      </c>
      <c r="C83">
        <f t="shared" ca="1" si="7"/>
        <v>0.30000000000001137</v>
      </c>
      <c r="D83">
        <f t="shared" ca="1" si="8"/>
        <v>0.30000000000001137</v>
      </c>
      <c r="E83">
        <f t="shared" ca="1" si="9"/>
        <v>0</v>
      </c>
      <c r="F83">
        <f t="shared" ca="1" si="12"/>
        <v>0.53943048268815486</v>
      </c>
      <c r="G83">
        <f t="shared" ca="1" si="13"/>
        <v>1.6793727038581072</v>
      </c>
      <c r="H83">
        <f t="shared" ca="1" si="10"/>
        <v>0.32120950962754968</v>
      </c>
      <c r="I83">
        <f t="shared" ca="1" si="11"/>
        <v>24.311776995769492</v>
      </c>
      <c r="J83">
        <v>30</v>
      </c>
      <c r="K83">
        <v>70</v>
      </c>
    </row>
    <row r="84" spans="1:11" x14ac:dyDescent="0.25">
      <c r="A84" vm="165">
        <f ca="1"/>
        <v>45412</v>
      </c>
      <c r="B84" vm="166">
        <f ca="1"/>
        <v>166.2</v>
      </c>
      <c r="C84">
        <f t="shared" ca="1" si="7"/>
        <v>-1.2300000000000182</v>
      </c>
      <c r="D84">
        <f t="shared" ca="1" si="8"/>
        <v>0</v>
      </c>
      <c r="E84">
        <f t="shared" ca="1" si="9"/>
        <v>1.2300000000000182</v>
      </c>
      <c r="F84">
        <f t="shared" ca="1" si="12"/>
        <v>0.50089973392471521</v>
      </c>
      <c r="G84">
        <f t="shared" ca="1" si="13"/>
        <v>1.6472746535825296</v>
      </c>
      <c r="H84">
        <f t="shared" ca="1" si="10"/>
        <v>0.30407784933456439</v>
      </c>
      <c r="I84">
        <f t="shared" ca="1" si="11"/>
        <v>23.317461414571767</v>
      </c>
      <c r="J84">
        <v>30</v>
      </c>
      <c r="K84">
        <v>70</v>
      </c>
    </row>
    <row r="85" spans="1:11" x14ac:dyDescent="0.25">
      <c r="A85" vm="167">
        <f ca="1"/>
        <v>45413</v>
      </c>
      <c r="B85" vm="168">
        <f ca="1"/>
        <v>164.43</v>
      </c>
      <c r="C85">
        <f t="shared" ca="1" si="7"/>
        <v>-1.7699999999999818</v>
      </c>
      <c r="D85">
        <f t="shared" ca="1" si="8"/>
        <v>0</v>
      </c>
      <c r="E85">
        <f t="shared" ca="1" si="9"/>
        <v>1.7699999999999818</v>
      </c>
      <c r="F85">
        <f t="shared" ca="1" si="12"/>
        <v>0.46512118150152126</v>
      </c>
      <c r="G85">
        <f t="shared" ca="1" si="13"/>
        <v>1.6560407497552048</v>
      </c>
      <c r="H85">
        <f t="shared" ca="1" si="10"/>
        <v>0.28086336738409079</v>
      </c>
      <c r="I85">
        <f t="shared" ca="1" si="11"/>
        <v>21.927660243551074</v>
      </c>
      <c r="J85">
        <v>30</v>
      </c>
      <c r="K85">
        <v>70</v>
      </c>
    </row>
    <row r="86" spans="1:11" x14ac:dyDescent="0.25">
      <c r="A86" vm="169">
        <f ca="1"/>
        <v>45414</v>
      </c>
      <c r="B86" vm="170">
        <f ca="1"/>
        <v>164.69</v>
      </c>
      <c r="C86">
        <f t="shared" ca="1" si="7"/>
        <v>0.25999999999999091</v>
      </c>
      <c r="D86">
        <f t="shared" ca="1" si="8"/>
        <v>0.25999999999999091</v>
      </c>
      <c r="E86">
        <f t="shared" ca="1" si="9"/>
        <v>0</v>
      </c>
      <c r="F86">
        <f t="shared" ca="1" si="12"/>
        <v>0.45046966853712622</v>
      </c>
      <c r="G86">
        <f t="shared" ca="1" si="13"/>
        <v>1.53775212477269</v>
      </c>
      <c r="H86">
        <f t="shared" ca="1" si="10"/>
        <v>0.2929403648872958</v>
      </c>
      <c r="I86">
        <f t="shared" ca="1" si="11"/>
        <v>22.656912325019022</v>
      </c>
      <c r="J86">
        <v>30</v>
      </c>
      <c r="K86">
        <v>70</v>
      </c>
    </row>
    <row r="87" spans="1:11" x14ac:dyDescent="0.25">
      <c r="A87" vm="171">
        <f ca="1"/>
        <v>45415</v>
      </c>
      <c r="B87" vm="172">
        <f ca="1"/>
        <v>165.71</v>
      </c>
      <c r="C87">
        <f t="shared" ca="1" si="7"/>
        <v>1.0200000000000102</v>
      </c>
      <c r="D87">
        <f t="shared" ca="1" si="8"/>
        <v>1.0200000000000102</v>
      </c>
      <c r="E87">
        <f t="shared" ca="1" si="9"/>
        <v>0</v>
      </c>
      <c r="F87">
        <f t="shared" ca="1" si="12"/>
        <v>0.49115040649876079</v>
      </c>
      <c r="G87">
        <f t="shared" ca="1" si="13"/>
        <v>1.4279126872889265</v>
      </c>
      <c r="H87">
        <f t="shared" ca="1" si="10"/>
        <v>0.34396389280024692</v>
      </c>
      <c r="I87">
        <f t="shared" ca="1" si="11"/>
        <v>25.59323912218899</v>
      </c>
      <c r="J87">
        <v>30</v>
      </c>
      <c r="K87">
        <v>70</v>
      </c>
    </row>
    <row r="88" spans="1:11" x14ac:dyDescent="0.25">
      <c r="A88" vm="173">
        <f ca="1"/>
        <v>45418</v>
      </c>
      <c r="B88" vm="174">
        <f ca="1"/>
        <v>168.61</v>
      </c>
      <c r="C88">
        <f t="shared" ca="1" si="7"/>
        <v>2.9000000000000057</v>
      </c>
      <c r="D88">
        <f t="shared" ca="1" si="8"/>
        <v>2.9000000000000057</v>
      </c>
      <c r="E88">
        <f t="shared" ca="1" si="9"/>
        <v>0</v>
      </c>
      <c r="F88">
        <f t="shared" ca="1" si="12"/>
        <v>0.66321109174884973</v>
      </c>
      <c r="G88">
        <f t="shared" ca="1" si="13"/>
        <v>1.3259189239111462</v>
      </c>
      <c r="H88">
        <f t="shared" ca="1" si="10"/>
        <v>0.50018977766192096</v>
      </c>
      <c r="I88">
        <f t="shared" ca="1" si="11"/>
        <v>33.341766829092634</v>
      </c>
      <c r="J88">
        <v>30</v>
      </c>
      <c r="K88">
        <v>70</v>
      </c>
    </row>
    <row r="89" spans="1:11" x14ac:dyDescent="0.25">
      <c r="A89" vm="175">
        <f ca="1"/>
        <v>45419</v>
      </c>
      <c r="B89" vm="176">
        <f ca="1"/>
        <v>168.38</v>
      </c>
      <c r="C89">
        <f t="shared" ca="1" si="7"/>
        <v>-0.23000000000001819</v>
      </c>
      <c r="D89">
        <f t="shared" ca="1" si="8"/>
        <v>0</v>
      </c>
      <c r="E89">
        <f t="shared" ca="1" si="9"/>
        <v>0.23000000000001819</v>
      </c>
      <c r="F89">
        <f t="shared" ca="1" si="12"/>
        <v>0.61583887090964617</v>
      </c>
      <c r="G89">
        <f t="shared" ca="1" si="13"/>
        <v>1.247639000774637</v>
      </c>
      <c r="H89">
        <f t="shared" ca="1" si="10"/>
        <v>0.49360341455123052</v>
      </c>
      <c r="I89">
        <f t="shared" ca="1" si="11"/>
        <v>33.047823119736179</v>
      </c>
      <c r="J89">
        <v>30</v>
      </c>
      <c r="K89">
        <v>70</v>
      </c>
    </row>
    <row r="90" spans="1:11" x14ac:dyDescent="0.25">
      <c r="A90" vm="177">
        <f ca="1"/>
        <v>45420</v>
      </c>
      <c r="B90" vm="178">
        <f ca="1"/>
        <v>169.9</v>
      </c>
      <c r="C90">
        <f t="shared" ca="1" si="7"/>
        <v>1.5200000000000102</v>
      </c>
      <c r="D90">
        <f t="shared" ca="1" si="8"/>
        <v>1.5200000000000102</v>
      </c>
      <c r="E90">
        <f t="shared" ca="1" si="9"/>
        <v>0</v>
      </c>
      <c r="F90">
        <f t="shared" ca="1" si="12"/>
        <v>0.68042180870181501</v>
      </c>
      <c r="G90">
        <f t="shared" ca="1" si="13"/>
        <v>1.1585219292907343</v>
      </c>
      <c r="H90">
        <f t="shared" ca="1" si="10"/>
        <v>0.58731888581373692</v>
      </c>
      <c r="I90">
        <f t="shared" ca="1" si="11"/>
        <v>37.000686570464929</v>
      </c>
      <c r="J90">
        <v>30</v>
      </c>
      <c r="K90">
        <v>70</v>
      </c>
    </row>
    <row r="91" spans="1:11" x14ac:dyDescent="0.25">
      <c r="A91" vm="179">
        <f ca="1"/>
        <v>45421</v>
      </c>
      <c r="B91" vm="180">
        <f ca="1"/>
        <v>166.27</v>
      </c>
      <c r="C91">
        <f t="shared" ca="1" si="7"/>
        <v>-3.6299999999999955</v>
      </c>
      <c r="D91">
        <f t="shared" ca="1" si="8"/>
        <v>0</v>
      </c>
      <c r="E91">
        <f t="shared" ca="1" si="9"/>
        <v>3.6299999999999955</v>
      </c>
      <c r="F91">
        <f t="shared" ca="1" si="12"/>
        <v>0.63182025093739969</v>
      </c>
      <c r="G91">
        <f t="shared" ca="1" si="13"/>
        <v>1.3350560771985387</v>
      </c>
      <c r="H91">
        <f t="shared" ca="1" si="10"/>
        <v>0.47325371699981444</v>
      </c>
      <c r="I91">
        <f t="shared" ca="1" si="11"/>
        <v>32.123028880834241</v>
      </c>
      <c r="J91">
        <v>30</v>
      </c>
      <c r="K91">
        <v>70</v>
      </c>
    </row>
    <row r="92" spans="1:11" x14ac:dyDescent="0.25">
      <c r="A92" vm="181">
        <f ca="1"/>
        <v>45422</v>
      </c>
      <c r="B92" vm="182">
        <f ca="1"/>
        <v>167.15</v>
      </c>
      <c r="C92">
        <f t="shared" ca="1" si="7"/>
        <v>0.87999999999999545</v>
      </c>
      <c r="D92">
        <f t="shared" ca="1" si="8"/>
        <v>0.87999999999999545</v>
      </c>
      <c r="E92">
        <f t="shared" ca="1" si="9"/>
        <v>0</v>
      </c>
      <c r="F92">
        <f t="shared" ca="1" si="12"/>
        <v>0.64954737587044231</v>
      </c>
      <c r="G92">
        <f t="shared" ca="1" si="13"/>
        <v>1.2396949288272145</v>
      </c>
      <c r="H92">
        <f t="shared" ca="1" si="10"/>
        <v>0.52395743562888653</v>
      </c>
      <c r="I92">
        <f t="shared" ca="1" si="11"/>
        <v>34.38136941224127</v>
      </c>
      <c r="J92">
        <v>30</v>
      </c>
      <c r="K92">
        <v>70</v>
      </c>
    </row>
    <row r="93" spans="1:11" x14ac:dyDescent="0.25">
      <c r="A93" vm="183">
        <f ca="1"/>
        <v>45425</v>
      </c>
      <c r="B93" vm="184">
        <f ca="1"/>
        <v>167.56</v>
      </c>
      <c r="C93">
        <f t="shared" ca="1" si="7"/>
        <v>0.40999999999999659</v>
      </c>
      <c r="D93">
        <f t="shared" ca="1" si="8"/>
        <v>0.40999999999999659</v>
      </c>
      <c r="E93">
        <f t="shared" ca="1" si="9"/>
        <v>0</v>
      </c>
      <c r="F93">
        <f t="shared" ca="1" si="12"/>
        <v>0.63243684902255326</v>
      </c>
      <c r="G93">
        <f t="shared" ca="1" si="13"/>
        <v>1.151145291053842</v>
      </c>
      <c r="H93">
        <f t="shared" ca="1" si="10"/>
        <v>0.5493979378081586</v>
      </c>
      <c r="I93">
        <f t="shared" ca="1" si="11"/>
        <v>35.458801409362877</v>
      </c>
      <c r="J93">
        <v>30</v>
      </c>
      <c r="K93">
        <v>70</v>
      </c>
    </row>
    <row r="94" spans="1:11" x14ac:dyDescent="0.25">
      <c r="A94" vm="185">
        <f ca="1"/>
        <v>45426</v>
      </c>
      <c r="B94" vm="186">
        <f ca="1"/>
        <v>167.36</v>
      </c>
      <c r="C94">
        <f t="shared" ca="1" si="7"/>
        <v>-0.19999999999998863</v>
      </c>
      <c r="D94">
        <f t="shared" ca="1" si="8"/>
        <v>0</v>
      </c>
      <c r="E94">
        <f t="shared" ca="1" si="9"/>
        <v>0.19999999999998863</v>
      </c>
      <c r="F94">
        <f t="shared" ca="1" si="12"/>
        <v>0.58726278837808521</v>
      </c>
      <c r="G94">
        <f t="shared" ca="1" si="13"/>
        <v>1.0832063416928526</v>
      </c>
      <c r="H94">
        <f t="shared" ca="1" si="10"/>
        <v>0.542152280478991</v>
      </c>
      <c r="I94">
        <f t="shared" ca="1" si="11"/>
        <v>35.155560662958592</v>
      </c>
      <c r="J94">
        <v>30</v>
      </c>
      <c r="K94">
        <v>70</v>
      </c>
    </row>
    <row r="95" spans="1:11" x14ac:dyDescent="0.25">
      <c r="A95" vm="187">
        <f ca="1"/>
        <v>45427</v>
      </c>
      <c r="B95" vm="188">
        <f ca="1"/>
        <v>168.26</v>
      </c>
      <c r="C95">
        <f t="shared" ca="1" si="7"/>
        <v>0.89999999999997726</v>
      </c>
      <c r="D95">
        <f t="shared" ca="1" si="8"/>
        <v>0.89999999999997726</v>
      </c>
      <c r="E95">
        <f t="shared" ca="1" si="9"/>
        <v>0</v>
      </c>
      <c r="F95">
        <f t="shared" ca="1" si="12"/>
        <v>0.60960116063679182</v>
      </c>
      <c r="G95">
        <f t="shared" ca="1" si="13"/>
        <v>1.0058344601433631</v>
      </c>
      <c r="H95">
        <f t="shared" ca="1" si="10"/>
        <v>0.60606509797835362</v>
      </c>
      <c r="I95">
        <f t="shared" ca="1" si="11"/>
        <v>37.736023199884144</v>
      </c>
      <c r="J95">
        <v>30</v>
      </c>
      <c r="K95">
        <v>70</v>
      </c>
    </row>
    <row r="96" spans="1:11" x14ac:dyDescent="0.25">
      <c r="A96" vm="189">
        <f ca="1"/>
        <v>45428</v>
      </c>
      <c r="B96" vm="190">
        <f ca="1"/>
        <v>168.97</v>
      </c>
      <c r="C96">
        <f t="shared" ca="1" si="7"/>
        <v>0.71000000000000796</v>
      </c>
      <c r="D96">
        <f t="shared" ca="1" si="8"/>
        <v>0.71000000000000796</v>
      </c>
      <c r="E96">
        <f t="shared" ca="1" si="9"/>
        <v>0</v>
      </c>
      <c r="F96">
        <f t="shared" ca="1" si="12"/>
        <v>0.61677250630559299</v>
      </c>
      <c r="G96">
        <f t="shared" ca="1" si="13"/>
        <v>0.93398914156169432</v>
      </c>
      <c r="H96">
        <f t="shared" ca="1" si="10"/>
        <v>0.6603636796829423</v>
      </c>
      <c r="I96">
        <f t="shared" ca="1" si="11"/>
        <v>39.772231093915714</v>
      </c>
      <c r="J96">
        <v>30</v>
      </c>
      <c r="K96">
        <v>70</v>
      </c>
    </row>
    <row r="97" spans="1:11" x14ac:dyDescent="0.25">
      <c r="A97" vm="191">
        <f ca="1"/>
        <v>45429</v>
      </c>
      <c r="B97" vm="192">
        <f ca="1"/>
        <v>169.03</v>
      </c>
      <c r="C97">
        <f t="shared" ca="1" si="7"/>
        <v>6.0000000000002274E-2</v>
      </c>
      <c r="D97">
        <f t="shared" ca="1" si="8"/>
        <v>6.0000000000002274E-2</v>
      </c>
      <c r="E97">
        <f t="shared" ca="1" si="9"/>
        <v>0</v>
      </c>
      <c r="F97">
        <f t="shared" ca="1" si="12"/>
        <v>0.57700304156947946</v>
      </c>
      <c r="G97">
        <f t="shared" ca="1" si="13"/>
        <v>0.86727563145014475</v>
      </c>
      <c r="H97">
        <f t="shared" ca="1" si="10"/>
        <v>0.66530526241662125</v>
      </c>
      <c r="I97">
        <f t="shared" ca="1" si="11"/>
        <v>39.950949380365145</v>
      </c>
      <c r="J97">
        <v>30</v>
      </c>
      <c r="K97">
        <v>70</v>
      </c>
    </row>
    <row r="98" spans="1:11" x14ac:dyDescent="0.25">
      <c r="A98" vm="193">
        <f ca="1"/>
        <v>45432</v>
      </c>
      <c r="B98" vm="194">
        <f ca="1"/>
        <v>169.92</v>
      </c>
      <c r="C98">
        <f t="shared" ca="1" si="7"/>
        <v>0.88999999999998636</v>
      </c>
      <c r="D98">
        <f t="shared" ca="1" si="8"/>
        <v>0.88999999999998636</v>
      </c>
      <c r="E98">
        <f t="shared" ca="1" si="9"/>
        <v>0</v>
      </c>
      <c r="F98">
        <f t="shared" ca="1" si="12"/>
        <v>0.59935996717165863</v>
      </c>
      <c r="G98">
        <f t="shared" ca="1" si="13"/>
        <v>0.8053273720608487</v>
      </c>
      <c r="H98">
        <f t="shared" ca="1" si="10"/>
        <v>0.74424387890589716</v>
      </c>
      <c r="I98">
        <f t="shared" ca="1" si="11"/>
        <v>42.66856761869419</v>
      </c>
      <c r="J98">
        <v>30</v>
      </c>
      <c r="K98">
        <v>70</v>
      </c>
    </row>
    <row r="99" spans="1:11" x14ac:dyDescent="0.25">
      <c r="A99" vm="195">
        <f ca="1"/>
        <v>45433</v>
      </c>
      <c r="B99" vm="196">
        <f ca="1"/>
        <v>173.47</v>
      </c>
      <c r="C99">
        <f t="shared" ca="1" si="7"/>
        <v>3.5500000000000114</v>
      </c>
      <c r="D99">
        <f t="shared" ca="1" si="8"/>
        <v>3.5500000000000114</v>
      </c>
      <c r="E99">
        <f t="shared" ca="1" si="9"/>
        <v>0</v>
      </c>
      <c r="F99">
        <f t="shared" ca="1" si="12"/>
        <v>0.81011996951654097</v>
      </c>
      <c r="G99">
        <f t="shared" ca="1" si="13"/>
        <v>0.74780398834221662</v>
      </c>
      <c r="H99">
        <f t="shared" ca="1" si="10"/>
        <v>1.0833319722090153</v>
      </c>
      <c r="I99">
        <f t="shared" ca="1" si="11"/>
        <v>51.999968639675224</v>
      </c>
      <c r="J99">
        <v>30</v>
      </c>
      <c r="K99">
        <v>70</v>
      </c>
    </row>
    <row r="100" spans="1:11" x14ac:dyDescent="0.25">
      <c r="A100" vm="197">
        <f ca="1"/>
        <v>45434</v>
      </c>
      <c r="B100" vm="198">
        <f ca="1"/>
        <v>173.69</v>
      </c>
      <c r="C100">
        <f t="shared" ca="1" si="7"/>
        <v>0.21999999999999886</v>
      </c>
      <c r="D100">
        <f t="shared" ca="1" si="8"/>
        <v>0.21999999999999886</v>
      </c>
      <c r="E100">
        <f t="shared" ca="1" si="9"/>
        <v>0</v>
      </c>
      <c r="F100">
        <f t="shared" ca="1" si="12"/>
        <v>0.76796854312250229</v>
      </c>
      <c r="G100">
        <f t="shared" ca="1" si="13"/>
        <v>0.694389417746344</v>
      </c>
      <c r="H100">
        <f t="shared" ca="1" si="10"/>
        <v>1.1059623368324951</v>
      </c>
      <c r="I100">
        <f t="shared" ca="1" si="11"/>
        <v>52.515769987412725</v>
      </c>
      <c r="J100">
        <v>30</v>
      </c>
      <c r="K100">
        <v>70</v>
      </c>
    </row>
    <row r="101" spans="1:11" x14ac:dyDescent="0.25">
      <c r="A101" vm="199">
        <f ca="1"/>
        <v>45435</v>
      </c>
      <c r="B101" vm="200">
        <f ca="1"/>
        <v>170.67</v>
      </c>
      <c r="C101">
        <f t="shared" ca="1" si="7"/>
        <v>-3.0200000000000102</v>
      </c>
      <c r="D101">
        <f t="shared" ca="1" si="8"/>
        <v>0</v>
      </c>
      <c r="E101">
        <f t="shared" ca="1" si="9"/>
        <v>3.0200000000000102</v>
      </c>
      <c r="F101">
        <f t="shared" ca="1" si="12"/>
        <v>0.71311364718518078</v>
      </c>
      <c r="G101">
        <f t="shared" ca="1" si="13"/>
        <v>0.86050445933589159</v>
      </c>
      <c r="H101">
        <f t="shared" ca="1" si="10"/>
        <v>0.82871580669731559</v>
      </c>
      <c r="I101">
        <f t="shared" ca="1" si="11"/>
        <v>45.316817608417075</v>
      </c>
      <c r="J101">
        <v>30</v>
      </c>
      <c r="K101">
        <v>70</v>
      </c>
    </row>
    <row r="102" spans="1:11" x14ac:dyDescent="0.25">
      <c r="A102" vm="201">
        <f ca="1"/>
        <v>45436</v>
      </c>
      <c r="B102" vm="202">
        <f ca="1"/>
        <v>170.89</v>
      </c>
      <c r="C102">
        <f t="shared" ca="1" si="7"/>
        <v>0.21999999999999886</v>
      </c>
      <c r="D102">
        <f t="shared" ca="1" si="8"/>
        <v>0.21999999999999886</v>
      </c>
      <c r="E102">
        <f t="shared" ca="1" si="9"/>
        <v>0</v>
      </c>
      <c r="F102">
        <f t="shared" ca="1" si="12"/>
        <v>0.6778912438148107</v>
      </c>
      <c r="G102">
        <f t="shared" ca="1" si="13"/>
        <v>0.79903985509761366</v>
      </c>
      <c r="H102">
        <f t="shared" ca="1" si="10"/>
        <v>0.84838226715486798</v>
      </c>
      <c r="I102">
        <f t="shared" ca="1" si="11"/>
        <v>45.89863699897667</v>
      </c>
      <c r="J102">
        <v>30</v>
      </c>
      <c r="K102">
        <v>70</v>
      </c>
    </row>
    <row r="103" spans="1:11" x14ac:dyDescent="0.25">
      <c r="A103" vm="203">
        <f ca="1"/>
        <v>45440</v>
      </c>
      <c r="B103" vm="204">
        <f ca="1"/>
        <v>169.66</v>
      </c>
      <c r="C103">
        <f t="shared" ca="1" si="7"/>
        <v>-1.2299999999999898</v>
      </c>
      <c r="D103">
        <f t="shared" ca="1" si="8"/>
        <v>0</v>
      </c>
      <c r="E103">
        <f t="shared" ca="1" si="9"/>
        <v>1.2299999999999898</v>
      </c>
      <c r="F103">
        <f t="shared" ca="1" si="12"/>
        <v>0.62947044068518132</v>
      </c>
      <c r="G103">
        <f t="shared" ca="1" si="13"/>
        <v>0.8298227225906406</v>
      </c>
      <c r="H103">
        <f t="shared" ca="1" si="10"/>
        <v>0.75856014007428552</v>
      </c>
      <c r="I103">
        <f t="shared" ca="1" si="11"/>
        <v>43.135297041489991</v>
      </c>
      <c r="J103">
        <v>30</v>
      </c>
      <c r="K103">
        <v>70</v>
      </c>
    </row>
    <row r="104" spans="1:11" x14ac:dyDescent="0.25">
      <c r="A104" vm="205">
        <f ca="1"/>
        <v>45441</v>
      </c>
      <c r="B104" vm="206">
        <f ca="1"/>
        <v>167.05</v>
      </c>
      <c r="C104">
        <f t="shared" ca="1" si="7"/>
        <v>-2.6099999999999852</v>
      </c>
      <c r="D104">
        <f t="shared" ca="1" si="8"/>
        <v>0</v>
      </c>
      <c r="E104">
        <f t="shared" ca="1" si="9"/>
        <v>2.6099999999999852</v>
      </c>
      <c r="F104">
        <f t="shared" ca="1" si="12"/>
        <v>0.58450826635052544</v>
      </c>
      <c r="G104">
        <f t="shared" ca="1" si="13"/>
        <v>0.95697824240559382</v>
      </c>
      <c r="H104">
        <f t="shared" ca="1" si="10"/>
        <v>0.61078532452443646</v>
      </c>
      <c r="I104">
        <f t="shared" ca="1" si="11"/>
        <v>37.918480831998082</v>
      </c>
      <c r="J104">
        <v>30</v>
      </c>
      <c r="K104">
        <v>70</v>
      </c>
    </row>
    <row r="105" spans="1:11" x14ac:dyDescent="0.25">
      <c r="A105" vm="207">
        <f ca="1"/>
        <v>45442</v>
      </c>
      <c r="B105" vm="208">
        <f ca="1"/>
        <v>165.63</v>
      </c>
      <c r="C105">
        <f t="shared" ca="1" si="7"/>
        <v>-1.4200000000000159</v>
      </c>
      <c r="D105">
        <f t="shared" ca="1" si="8"/>
        <v>0</v>
      </c>
      <c r="E105">
        <f t="shared" ca="1" si="9"/>
        <v>1.4200000000000159</v>
      </c>
      <c r="F105">
        <f t="shared" ca="1" si="12"/>
        <v>0.54275767589691648</v>
      </c>
      <c r="G105">
        <f t="shared" ca="1" si="13"/>
        <v>0.9900512250909097</v>
      </c>
      <c r="H105">
        <f t="shared" ca="1" si="10"/>
        <v>0.54821171081029541</v>
      </c>
      <c r="I105">
        <f t="shared" ca="1" si="11"/>
        <v>35.409350477227363</v>
      </c>
      <c r="J105">
        <v>30</v>
      </c>
      <c r="K105">
        <v>70</v>
      </c>
    </row>
    <row r="106" spans="1:11" x14ac:dyDescent="0.25">
      <c r="A106" vm="209">
        <f ca="1"/>
        <v>45443</v>
      </c>
      <c r="B106" vm="210">
        <f ca="1"/>
        <v>166.85</v>
      </c>
      <c r="C106">
        <f t="shared" ca="1" si="7"/>
        <v>1.2199999999999989</v>
      </c>
      <c r="D106">
        <f t="shared" ca="1" si="8"/>
        <v>1.2199999999999989</v>
      </c>
      <c r="E106">
        <f t="shared" ca="1" si="9"/>
        <v>0</v>
      </c>
      <c r="F106">
        <f t="shared" ca="1" si="12"/>
        <v>0.59113212761856526</v>
      </c>
      <c r="G106">
        <f t="shared" ca="1" si="13"/>
        <v>0.91933328044155893</v>
      </c>
      <c r="H106">
        <f t="shared" ca="1" si="10"/>
        <v>0.64300090097319496</v>
      </c>
      <c r="I106">
        <f t="shared" ca="1" si="11"/>
        <v>39.135760704228936</v>
      </c>
      <c r="J106">
        <v>30</v>
      </c>
      <c r="K106">
        <v>70</v>
      </c>
    </row>
    <row r="107" spans="1:11" x14ac:dyDescent="0.25">
      <c r="A107" vm="211">
        <f ca="1"/>
        <v>45446</v>
      </c>
      <c r="B107" vm="212">
        <f ca="1"/>
        <v>165.28</v>
      </c>
      <c r="C107">
        <f t="shared" ca="1" si="7"/>
        <v>-1.5699999999999932</v>
      </c>
      <c r="D107">
        <f t="shared" ca="1" si="8"/>
        <v>0</v>
      </c>
      <c r="E107">
        <f t="shared" ca="1" si="9"/>
        <v>1.5699999999999932</v>
      </c>
      <c r="F107">
        <f t="shared" ca="1" si="12"/>
        <v>0.54890840421723919</v>
      </c>
      <c r="G107">
        <f t="shared" ca="1" si="13"/>
        <v>0.96580947469573275</v>
      </c>
      <c r="H107">
        <f t="shared" ca="1" si="10"/>
        <v>0.56834025612574002</v>
      </c>
      <c r="I107">
        <f t="shared" ca="1" si="11"/>
        <v>36.238326084271215</v>
      </c>
      <c r="J107">
        <v>30</v>
      </c>
      <c r="K107">
        <v>70</v>
      </c>
    </row>
    <row r="108" spans="1:11" x14ac:dyDescent="0.25">
      <c r="A108" vm="213">
        <f ca="1"/>
        <v>45447</v>
      </c>
      <c r="B108" vm="214">
        <f ca="1"/>
        <v>165.81</v>
      </c>
      <c r="C108">
        <f t="shared" ca="1" si="7"/>
        <v>0.53000000000000114</v>
      </c>
      <c r="D108">
        <f t="shared" ca="1" si="8"/>
        <v>0.53000000000000114</v>
      </c>
      <c r="E108">
        <f t="shared" ca="1" si="9"/>
        <v>0</v>
      </c>
      <c r="F108">
        <f t="shared" ca="1" si="12"/>
        <v>0.54755780391600795</v>
      </c>
      <c r="G108">
        <f t="shared" ca="1" si="13"/>
        <v>0.89682308364603747</v>
      </c>
      <c r="H108">
        <f t="shared" ca="1" si="10"/>
        <v>0.61055275438485568</v>
      </c>
      <c r="I108">
        <f t="shared" ca="1" si="11"/>
        <v>37.909516016943755</v>
      </c>
      <c r="J108">
        <v>30</v>
      </c>
      <c r="K108">
        <v>70</v>
      </c>
    </row>
    <row r="109" spans="1:11" x14ac:dyDescent="0.25">
      <c r="A109" vm="215">
        <f ca="1"/>
        <v>45448</v>
      </c>
      <c r="B109" vm="216">
        <f ca="1"/>
        <v>167.38</v>
      </c>
      <c r="C109">
        <f t="shared" ca="1" si="7"/>
        <v>1.5699999999999932</v>
      </c>
      <c r="D109">
        <f t="shared" ca="1" si="8"/>
        <v>1.5699999999999932</v>
      </c>
      <c r="E109">
        <f t="shared" ca="1" si="9"/>
        <v>0</v>
      </c>
      <c r="F109">
        <f t="shared" ca="1" si="12"/>
        <v>0.62058938935057839</v>
      </c>
      <c r="G109">
        <f t="shared" ca="1" si="13"/>
        <v>0.83276429195703472</v>
      </c>
      <c r="H109">
        <f t="shared" ca="1" si="10"/>
        <v>0.74521613780072693</v>
      </c>
      <c r="I109">
        <f t="shared" ca="1" si="11"/>
        <v>42.700506926312734</v>
      </c>
      <c r="J109">
        <v>30</v>
      </c>
      <c r="K109">
        <v>70</v>
      </c>
    </row>
    <row r="110" spans="1:11" x14ac:dyDescent="0.25">
      <c r="A110" vm="217">
        <f ca="1"/>
        <v>45449</v>
      </c>
      <c r="B110" vm="218">
        <f ca="1"/>
        <v>168.2</v>
      </c>
      <c r="C110">
        <f t="shared" ca="1" si="7"/>
        <v>0.81999999999999318</v>
      </c>
      <c r="D110">
        <f t="shared" ca="1" si="8"/>
        <v>0.81999999999999318</v>
      </c>
      <c r="E110">
        <f t="shared" ca="1" si="9"/>
        <v>0</v>
      </c>
      <c r="F110">
        <f t="shared" ca="1" si="12"/>
        <v>0.63483300439696511</v>
      </c>
      <c r="G110">
        <f t="shared" ca="1" si="13"/>
        <v>0.77328112824581796</v>
      </c>
      <c r="H110">
        <f t="shared" ca="1" si="10"/>
        <v>0.82096016727716958</v>
      </c>
      <c r="I110">
        <f t="shared" ca="1" si="11"/>
        <v>45.083916827501405</v>
      </c>
      <c r="J110">
        <v>30</v>
      </c>
      <c r="K110">
        <v>70</v>
      </c>
    </row>
    <row r="111" spans="1:11" x14ac:dyDescent="0.25">
      <c r="A111" vm="219">
        <f ca="1"/>
        <v>45450</v>
      </c>
      <c r="B111" vm="220">
        <f ca="1"/>
        <v>170.01</v>
      </c>
      <c r="C111">
        <f t="shared" ca="1" si="7"/>
        <v>1.8100000000000023</v>
      </c>
      <c r="D111">
        <f t="shared" ca="1" si="8"/>
        <v>1.8100000000000023</v>
      </c>
      <c r="E111">
        <f t="shared" ca="1" si="9"/>
        <v>0</v>
      </c>
      <c r="F111">
        <f t="shared" ca="1" si="12"/>
        <v>0.71877350408289631</v>
      </c>
      <c r="G111">
        <f t="shared" ca="1" si="13"/>
        <v>0.71804676194254535</v>
      </c>
      <c r="H111">
        <f t="shared" ca="1" si="10"/>
        <v>1.0010121097662008</v>
      </c>
      <c r="I111">
        <f t="shared" ca="1" si="11"/>
        <v>50.025289946054329</v>
      </c>
      <c r="J111">
        <v>30</v>
      </c>
      <c r="K111">
        <v>70</v>
      </c>
    </row>
    <row r="112" spans="1:11" x14ac:dyDescent="0.25">
      <c r="A112" vm="221">
        <f ca="1"/>
        <v>45453</v>
      </c>
      <c r="B112" vm="222">
        <f ca="1"/>
        <v>170.38</v>
      </c>
      <c r="C112">
        <f t="shared" ca="1" si="7"/>
        <v>0.37000000000000455</v>
      </c>
      <c r="D112">
        <f t="shared" ca="1" si="8"/>
        <v>0.37000000000000455</v>
      </c>
      <c r="E112">
        <f t="shared" ca="1" si="9"/>
        <v>0</v>
      </c>
      <c r="F112">
        <f t="shared" ca="1" si="12"/>
        <v>0.69386111093411829</v>
      </c>
      <c r="G112">
        <f t="shared" ca="1" si="13"/>
        <v>0.66675770751807784</v>
      </c>
      <c r="H112">
        <f t="shared" ca="1" si="10"/>
        <v>1.0406495539690563</v>
      </c>
      <c r="I112">
        <f t="shared" ca="1" si="11"/>
        <v>50.995995463552113</v>
      </c>
      <c r="J112">
        <v>30</v>
      </c>
      <c r="K112">
        <v>70</v>
      </c>
    </row>
    <row r="113" spans="1:11" x14ac:dyDescent="0.25">
      <c r="A113" vm="223">
        <f ca="1"/>
        <v>45454</v>
      </c>
      <c r="B113" vm="224">
        <f ca="1"/>
        <v>169.32</v>
      </c>
      <c r="C113">
        <f t="shared" ca="1" si="7"/>
        <v>-1.0600000000000023</v>
      </c>
      <c r="D113">
        <f t="shared" ca="1" si="8"/>
        <v>0</v>
      </c>
      <c r="E113">
        <f t="shared" ca="1" si="9"/>
        <v>1.0600000000000023</v>
      </c>
      <c r="F113">
        <f t="shared" ca="1" si="12"/>
        <v>0.64429960301025269</v>
      </c>
      <c r="G113">
        <f t="shared" ca="1" si="13"/>
        <v>0.69484644269535811</v>
      </c>
      <c r="H113">
        <f t="shared" ca="1" si="10"/>
        <v>0.92725466149178126</v>
      </c>
      <c r="I113">
        <f t="shared" ca="1" si="11"/>
        <v>48.112721168568598</v>
      </c>
      <c r="J113">
        <v>30</v>
      </c>
      <c r="K113">
        <v>70</v>
      </c>
    </row>
    <row r="114" spans="1:11" x14ac:dyDescent="0.25">
      <c r="A114" vm="225">
        <f ca="1"/>
        <v>45455</v>
      </c>
      <c r="B114" vm="226">
        <f ca="1"/>
        <v>169</v>
      </c>
      <c r="C114">
        <f t="shared" ca="1" si="7"/>
        <v>-0.31999999999999318</v>
      </c>
      <c r="D114">
        <f t="shared" ca="1" si="8"/>
        <v>0</v>
      </c>
      <c r="E114">
        <f t="shared" ca="1" si="9"/>
        <v>0.31999999999999318</v>
      </c>
      <c r="F114">
        <f t="shared" ca="1" si="12"/>
        <v>0.59827820279523458</v>
      </c>
      <c r="G114">
        <f t="shared" ca="1" si="13"/>
        <v>0.66807169678854628</v>
      </c>
      <c r="H114">
        <f t="shared" ca="1" si="10"/>
        <v>0.89552993439355011</v>
      </c>
      <c r="I114">
        <f t="shared" ca="1" si="11"/>
        <v>47.244304515827295</v>
      </c>
      <c r="J114">
        <v>30</v>
      </c>
      <c r="K114">
        <v>70</v>
      </c>
    </row>
    <row r="115" spans="1:11" x14ac:dyDescent="0.25">
      <c r="A115" vm="227">
        <f ca="1"/>
        <v>45456</v>
      </c>
      <c r="B115" vm="228">
        <f ca="1"/>
        <v>169.12</v>
      </c>
      <c r="C115">
        <f t="shared" ca="1" si="7"/>
        <v>0.12000000000000455</v>
      </c>
      <c r="D115">
        <f t="shared" ca="1" si="8"/>
        <v>0.12000000000000455</v>
      </c>
      <c r="E115">
        <f t="shared" ca="1" si="9"/>
        <v>0</v>
      </c>
      <c r="F115">
        <f t="shared" ca="1" si="12"/>
        <v>0.56411547402414675</v>
      </c>
      <c r="G115">
        <f t="shared" ca="1" si="13"/>
        <v>0.62035228987507873</v>
      </c>
      <c r="H115">
        <f t="shared" ca="1" si="10"/>
        <v>0.90934696821662986</v>
      </c>
      <c r="I115">
        <f t="shared" ca="1" si="11"/>
        <v>47.626072335400565</v>
      </c>
      <c r="J115">
        <v>30</v>
      </c>
      <c r="K115">
        <v>70</v>
      </c>
    </row>
    <row r="116" spans="1:11" x14ac:dyDescent="0.25">
      <c r="A116" vm="229">
        <f ca="1"/>
        <v>45457</v>
      </c>
      <c r="B116" vm="230">
        <f ca="1"/>
        <v>169.21</v>
      </c>
      <c r="C116">
        <f t="shared" ca="1" si="7"/>
        <v>9.0000000000003411E-2</v>
      </c>
      <c r="D116">
        <f t="shared" ca="1" si="8"/>
        <v>9.0000000000003411E-2</v>
      </c>
      <c r="E116">
        <f t="shared" ca="1" si="9"/>
        <v>0</v>
      </c>
      <c r="F116">
        <f t="shared" ca="1" si="12"/>
        <v>0.53025008302242227</v>
      </c>
      <c r="G116">
        <f t="shared" ca="1" si="13"/>
        <v>0.57604141202685888</v>
      </c>
      <c r="H116">
        <f t="shared" ca="1" si="10"/>
        <v>0.92050688015065574</v>
      </c>
      <c r="I116">
        <f t="shared" ca="1" si="11"/>
        <v>47.930413041709372</v>
      </c>
      <c r="J116">
        <v>30</v>
      </c>
      <c r="K116">
        <v>70</v>
      </c>
    </row>
    <row r="117" spans="1:11" x14ac:dyDescent="0.25">
      <c r="A117" vm="231">
        <f ca="1"/>
        <v>45460</v>
      </c>
      <c r="B117" vm="232">
        <f ca="1"/>
        <v>169.5</v>
      </c>
      <c r="C117">
        <f t="shared" ca="1" si="7"/>
        <v>0.28999999999999204</v>
      </c>
      <c r="D117">
        <f t="shared" ca="1" si="8"/>
        <v>0.28999999999999204</v>
      </c>
      <c r="E117">
        <f t="shared" ca="1" si="9"/>
        <v>0</v>
      </c>
      <c r="F117">
        <f t="shared" ca="1" si="12"/>
        <v>0.51308936280653439</v>
      </c>
      <c r="G117">
        <f t="shared" ca="1" si="13"/>
        <v>0.53489559688208321</v>
      </c>
      <c r="H117">
        <f t="shared" ca="1" si="10"/>
        <v>0.9592327284003499</v>
      </c>
      <c r="I117">
        <f t="shared" ca="1" si="11"/>
        <v>48.959611305775418</v>
      </c>
      <c r="J117">
        <v>30</v>
      </c>
      <c r="K117">
        <v>70</v>
      </c>
    </row>
    <row r="118" spans="1:11" x14ac:dyDescent="0.25">
      <c r="A118" vm="233">
        <f ca="1"/>
        <v>45461</v>
      </c>
      <c r="B118" vm="234">
        <f ca="1"/>
        <v>170.55</v>
      </c>
      <c r="C118">
        <f t="shared" ca="1" si="7"/>
        <v>1.0500000000000114</v>
      </c>
      <c r="D118">
        <f t="shared" ca="1" si="8"/>
        <v>1.0500000000000114</v>
      </c>
      <c r="E118">
        <f t="shared" ca="1" si="9"/>
        <v>0</v>
      </c>
      <c r="F118">
        <f t="shared" ca="1" si="12"/>
        <v>0.55144012260606845</v>
      </c>
      <c r="G118">
        <f t="shared" ca="1" si="13"/>
        <v>0.49668876853336297</v>
      </c>
      <c r="H118">
        <f t="shared" ca="1" si="10"/>
        <v>1.1102327202492959</v>
      </c>
      <c r="I118">
        <f t="shared" ca="1" si="11"/>
        <v>52.611861696378995</v>
      </c>
      <c r="J118">
        <v>30</v>
      </c>
      <c r="K118">
        <v>70</v>
      </c>
    </row>
    <row r="119" spans="1:11" x14ac:dyDescent="0.25">
      <c r="A119" vm="235">
        <f ca="1"/>
        <v>45463</v>
      </c>
      <c r="B119" vm="236">
        <f ca="1"/>
        <v>173.92</v>
      </c>
      <c r="C119">
        <f t="shared" ca="1" si="7"/>
        <v>3.3699999999999761</v>
      </c>
      <c r="D119">
        <f t="shared" ca="1" si="8"/>
        <v>3.3699999999999761</v>
      </c>
      <c r="E119">
        <f t="shared" ca="1" si="9"/>
        <v>0</v>
      </c>
      <c r="F119">
        <f t="shared" ca="1" si="12"/>
        <v>0.75276582813420467</v>
      </c>
      <c r="G119">
        <f t="shared" ca="1" si="13"/>
        <v>0.46121099935240845</v>
      </c>
      <c r="H119">
        <f t="shared" ca="1" si="10"/>
        <v>1.6321506407938484</v>
      </c>
      <c r="I119">
        <f t="shared" ca="1" si="11"/>
        <v>62.008253460052607</v>
      </c>
      <c r="J119">
        <v>30</v>
      </c>
      <c r="K119">
        <v>70</v>
      </c>
    </row>
    <row r="120" spans="1:11" x14ac:dyDescent="0.25">
      <c r="A120" vm="237">
        <f ca="1"/>
        <v>45464</v>
      </c>
      <c r="B120" vm="238">
        <f ca="1"/>
        <v>172.46</v>
      </c>
      <c r="C120">
        <f t="shared" ca="1" si="7"/>
        <v>-1.4599999999999795</v>
      </c>
      <c r="D120">
        <f t="shared" ca="1" si="8"/>
        <v>0</v>
      </c>
      <c r="E120">
        <f t="shared" ca="1" si="9"/>
        <v>1.4599999999999795</v>
      </c>
      <c r="F120">
        <f t="shared" ca="1" si="12"/>
        <v>0.69899684041033283</v>
      </c>
      <c r="G120">
        <f t="shared" ca="1" si="13"/>
        <v>0.53255307082723491</v>
      </c>
      <c r="H120">
        <f t="shared" ca="1" si="10"/>
        <v>1.3125393105414911</v>
      </c>
      <c r="I120">
        <f t="shared" ca="1" si="11"/>
        <v>56.757491842772367</v>
      </c>
      <c r="J120">
        <v>30</v>
      </c>
      <c r="K120">
        <v>70</v>
      </c>
    </row>
    <row r="121" spans="1:11" x14ac:dyDescent="0.25">
      <c r="A121" vm="239">
        <f ca="1"/>
        <v>45467</v>
      </c>
      <c r="B121" vm="240">
        <f ca="1"/>
        <v>175.01</v>
      </c>
      <c r="C121">
        <f t="shared" ca="1" si="7"/>
        <v>2.5499999999999829</v>
      </c>
      <c r="D121">
        <f t="shared" ca="1" si="8"/>
        <v>2.5499999999999829</v>
      </c>
      <c r="E121">
        <f t="shared" ca="1" si="9"/>
        <v>0</v>
      </c>
      <c r="F121">
        <f t="shared" ca="1" si="12"/>
        <v>0.8312113518095936</v>
      </c>
      <c r="G121">
        <f t="shared" ca="1" si="13"/>
        <v>0.4945135657681467</v>
      </c>
      <c r="H121">
        <f t="shared" ca="1" si="10"/>
        <v>1.6808666320780128</v>
      </c>
      <c r="I121">
        <f t="shared" ca="1" si="11"/>
        <v>62.698629315070676</v>
      </c>
      <c r="J121">
        <v>30</v>
      </c>
      <c r="K121">
        <v>70</v>
      </c>
    </row>
    <row r="122" spans="1:11" x14ac:dyDescent="0.25">
      <c r="A122" vm="241">
        <f ca="1"/>
        <v>45468</v>
      </c>
      <c r="B122" vm="242">
        <f ca="1"/>
        <v>172.6</v>
      </c>
      <c r="C122">
        <f t="shared" ca="1" si="7"/>
        <v>-2.4099999999999966</v>
      </c>
      <c r="D122">
        <f t="shared" ca="1" si="8"/>
        <v>0</v>
      </c>
      <c r="E122">
        <f t="shared" ca="1" si="9"/>
        <v>2.4099999999999966</v>
      </c>
      <c r="F122">
        <f t="shared" ca="1" si="12"/>
        <v>0.77183911239462255</v>
      </c>
      <c r="G122">
        <f t="shared" ca="1" si="13"/>
        <v>0.63133402535613592</v>
      </c>
      <c r="H122">
        <f t="shared" ca="1" si="10"/>
        <v>1.2225526922285357</v>
      </c>
      <c r="I122">
        <f t="shared" ca="1" si="11"/>
        <v>55.006691022595824</v>
      </c>
      <c r="J122">
        <v>30</v>
      </c>
      <c r="K122">
        <v>70</v>
      </c>
    </row>
    <row r="123" spans="1:11" x14ac:dyDescent="0.25">
      <c r="A123" vm="243">
        <f ca="1"/>
        <v>45469</v>
      </c>
      <c r="B123" vm="244">
        <f ca="1"/>
        <v>171.87</v>
      </c>
      <c r="C123">
        <f t="shared" ca="1" si="7"/>
        <v>-0.72999999999998977</v>
      </c>
      <c r="D123">
        <f t="shared" ca="1" si="8"/>
        <v>0</v>
      </c>
      <c r="E123">
        <f t="shared" ca="1" si="9"/>
        <v>0.72999999999998977</v>
      </c>
      <c r="F123">
        <f t="shared" ca="1" si="12"/>
        <v>0.716707747223578</v>
      </c>
      <c r="G123">
        <f t="shared" ca="1" si="13"/>
        <v>0.63838159497355407</v>
      </c>
      <c r="H123">
        <f t="shared" ca="1" si="10"/>
        <v>1.1226948785283648</v>
      </c>
      <c r="I123">
        <f t="shared" ca="1" si="11"/>
        <v>52.890073363097464</v>
      </c>
      <c r="J123">
        <v>30</v>
      </c>
      <c r="K123">
        <v>70</v>
      </c>
    </row>
    <row r="124" spans="1:11" x14ac:dyDescent="0.25">
      <c r="A124" vm="245">
        <f ca="1"/>
        <v>45470</v>
      </c>
      <c r="B124" vm="246">
        <f ca="1"/>
        <v>170.85</v>
      </c>
      <c r="C124">
        <f t="shared" ca="1" si="7"/>
        <v>-1.0200000000000102</v>
      </c>
      <c r="D124">
        <f t="shared" ca="1" si="8"/>
        <v>0</v>
      </c>
      <c r="E124">
        <f t="shared" ca="1" si="9"/>
        <v>1.0200000000000102</v>
      </c>
      <c r="F124">
        <f t="shared" ca="1" si="12"/>
        <v>0.66551433670760818</v>
      </c>
      <c r="G124">
        <f t="shared" ca="1" si="13"/>
        <v>0.66564005247544389</v>
      </c>
      <c r="H124">
        <f t="shared" ca="1" si="10"/>
        <v>0.99981113551180067</v>
      </c>
      <c r="I124">
        <f t="shared" ca="1" si="11"/>
        <v>49.995277941880474</v>
      </c>
      <c r="J124">
        <v>30</v>
      </c>
      <c r="K124">
        <v>70</v>
      </c>
    </row>
    <row r="125" spans="1:11" x14ac:dyDescent="0.25">
      <c r="A125" vm="247">
        <f ca="1"/>
        <v>45471</v>
      </c>
      <c r="B125" vm="248">
        <f ca="1"/>
        <v>172.95</v>
      </c>
      <c r="C125">
        <f t="shared" ca="1" si="7"/>
        <v>2.0999999999999943</v>
      </c>
      <c r="D125">
        <f t="shared" ca="1" si="8"/>
        <v>2.0999999999999943</v>
      </c>
      <c r="E125">
        <f t="shared" ca="1" si="9"/>
        <v>0</v>
      </c>
      <c r="F125">
        <f t="shared" ca="1" si="12"/>
        <v>0.76797759837135005</v>
      </c>
      <c r="G125">
        <f t="shared" ca="1" si="13"/>
        <v>0.61809433444148365</v>
      </c>
      <c r="H125">
        <f t="shared" ca="1" si="10"/>
        <v>1.2424925380772216</v>
      </c>
      <c r="I125">
        <f t="shared" ca="1" si="11"/>
        <v>55.406763544576641</v>
      </c>
      <c r="J125">
        <v>30</v>
      </c>
      <c r="K125">
        <v>70</v>
      </c>
    </row>
    <row r="126" spans="1:11" x14ac:dyDescent="0.25">
      <c r="A126" vm="249">
        <f ca="1"/>
        <v>45474</v>
      </c>
      <c r="B126" vm="250">
        <f ca="1"/>
        <v>175.1</v>
      </c>
      <c r="C126">
        <f t="shared" ca="1" si="7"/>
        <v>2.1500000000000057</v>
      </c>
      <c r="D126">
        <f t="shared" ca="1" si="8"/>
        <v>2.1500000000000057</v>
      </c>
      <c r="E126">
        <f t="shared" ca="1" si="9"/>
        <v>0</v>
      </c>
      <c r="F126">
        <f t="shared" ca="1" si="12"/>
        <v>0.86669348420196823</v>
      </c>
      <c r="G126">
        <f t="shared" ca="1" si="13"/>
        <v>0.57394473912423483</v>
      </c>
      <c r="H126">
        <f t="shared" ca="1" si="10"/>
        <v>1.5100643409057639</v>
      </c>
      <c r="I126">
        <f t="shared" ca="1" si="11"/>
        <v>60.160383791630331</v>
      </c>
      <c r="J126">
        <v>30</v>
      </c>
      <c r="K126">
        <v>70</v>
      </c>
    </row>
    <row r="127" spans="1:11" x14ac:dyDescent="0.25">
      <c r="A127" vm="251">
        <f ca="1"/>
        <v>45475</v>
      </c>
      <c r="B127" vm="252">
        <f ca="1"/>
        <v>177.3</v>
      </c>
      <c r="C127">
        <f t="shared" ca="1" si="7"/>
        <v>2.2000000000000171</v>
      </c>
      <c r="D127">
        <f t="shared" ca="1" si="8"/>
        <v>2.2000000000000171</v>
      </c>
      <c r="E127">
        <f t="shared" ca="1" si="9"/>
        <v>0</v>
      </c>
      <c r="F127">
        <f t="shared" ca="1" si="12"/>
        <v>0.96192966390182888</v>
      </c>
      <c r="G127">
        <f t="shared" ca="1" si="13"/>
        <v>0.53294868632964665</v>
      </c>
      <c r="H127">
        <f t="shared" ca="1" si="10"/>
        <v>1.8049198517150356</v>
      </c>
      <c r="I127">
        <f t="shared" ca="1" si="11"/>
        <v>64.348357426734964</v>
      </c>
      <c r="J127">
        <v>30</v>
      </c>
      <c r="K127">
        <v>70</v>
      </c>
    </row>
    <row r="128" spans="1:11" x14ac:dyDescent="0.25">
      <c r="A128" vm="253">
        <f ca="1"/>
        <v>45476</v>
      </c>
      <c r="B128" vm="254">
        <f ca="1"/>
        <v>175.73</v>
      </c>
      <c r="C128">
        <f t="shared" ca="1" si="7"/>
        <v>-1.5700000000000216</v>
      </c>
      <c r="D128">
        <f t="shared" ca="1" si="8"/>
        <v>0</v>
      </c>
      <c r="E128">
        <f t="shared" ca="1" si="9"/>
        <v>1.5700000000000216</v>
      </c>
      <c r="F128">
        <f t="shared" ca="1" si="12"/>
        <v>0.89322040219455534</v>
      </c>
      <c r="G128">
        <f t="shared" ca="1" si="13"/>
        <v>0.60702378016324487</v>
      </c>
      <c r="H128">
        <f t="shared" ca="1" si="10"/>
        <v>1.4714751404868267</v>
      </c>
      <c r="I128">
        <f t="shared" ca="1" si="11"/>
        <v>59.538334672343822</v>
      </c>
      <c r="J128">
        <v>30</v>
      </c>
      <c r="K128">
        <v>70</v>
      </c>
    </row>
    <row r="129" spans="1:11" x14ac:dyDescent="0.25">
      <c r="A129" vm="255">
        <f ca="1"/>
        <v>45478</v>
      </c>
      <c r="B129" vm="256">
        <f ca="1"/>
        <v>176.02</v>
      </c>
      <c r="C129">
        <f t="shared" ca="1" si="7"/>
        <v>0.29000000000002046</v>
      </c>
      <c r="D129">
        <f t="shared" ca="1" si="8"/>
        <v>0.29000000000002046</v>
      </c>
      <c r="E129">
        <f t="shared" ca="1" si="9"/>
        <v>0</v>
      </c>
      <c r="F129">
        <f t="shared" ca="1" si="12"/>
        <v>0.85013323060923141</v>
      </c>
      <c r="G129">
        <f t="shared" ca="1" si="13"/>
        <v>0.56366493872301304</v>
      </c>
      <c r="H129">
        <f t="shared" ca="1" si="10"/>
        <v>1.5082244294548715</v>
      </c>
      <c r="I129">
        <f t="shared" ca="1" si="11"/>
        <v>60.131159386828216</v>
      </c>
      <c r="J129">
        <v>30</v>
      </c>
      <c r="K129">
        <v>70</v>
      </c>
    </row>
    <row r="130" spans="1:11" x14ac:dyDescent="0.25">
      <c r="A130" vm="257">
        <f ca="1"/>
        <v>45481</v>
      </c>
      <c r="B130" vm="258">
        <f ca="1"/>
        <v>177.64</v>
      </c>
      <c r="C130">
        <f t="shared" ca="1" si="7"/>
        <v>1.6199999999999761</v>
      </c>
      <c r="D130">
        <f t="shared" ca="1" si="8"/>
        <v>1.6199999999999761</v>
      </c>
      <c r="E130">
        <f t="shared" ca="1" si="9"/>
        <v>0</v>
      </c>
      <c r="F130">
        <f t="shared" ca="1" si="12"/>
        <v>0.90512371413714177</v>
      </c>
      <c r="G130">
        <f t="shared" ca="1" si="13"/>
        <v>0.52340315738565502</v>
      </c>
      <c r="H130">
        <f t="shared" ca="1" si="10"/>
        <v>1.7293050325835666</v>
      </c>
      <c r="I130">
        <f t="shared" ca="1" si="11"/>
        <v>63.360636203663994</v>
      </c>
      <c r="J130">
        <v>30</v>
      </c>
      <c r="K130">
        <v>70</v>
      </c>
    </row>
    <row r="131" spans="1:11" x14ac:dyDescent="0.25">
      <c r="A131" vm="259">
        <f ca="1"/>
        <v>45482</v>
      </c>
      <c r="B131" vm="260">
        <f ca="1"/>
        <v>176.48</v>
      </c>
      <c r="C131">
        <f t="shared" ca="1" si="7"/>
        <v>-1.1599999999999966</v>
      </c>
      <c r="D131">
        <f t="shared" ca="1" si="8"/>
        <v>0</v>
      </c>
      <c r="E131">
        <f t="shared" ca="1" si="9"/>
        <v>1.1599999999999966</v>
      </c>
      <c r="F131">
        <f t="shared" ca="1" si="12"/>
        <v>0.84047202027020307</v>
      </c>
      <c r="G131">
        <f t="shared" ca="1" si="13"/>
        <v>0.56887436042953654</v>
      </c>
      <c r="H131">
        <f t="shared" ca="1" si="10"/>
        <v>1.4774299541916303</v>
      </c>
      <c r="I131">
        <f t="shared" ca="1" si="11"/>
        <v>59.63558936114125</v>
      </c>
      <c r="J131">
        <v>30</v>
      </c>
      <c r="K131">
        <v>70</v>
      </c>
    </row>
    <row r="132" spans="1:11" x14ac:dyDescent="0.25">
      <c r="A132" vm="261">
        <f ca="1"/>
        <v>45483</v>
      </c>
      <c r="B132" vm="262">
        <f ca="1"/>
        <v>177.84</v>
      </c>
      <c r="C132">
        <f t="shared" ref="C132:C195" ca="1" si="14">B132-B131</f>
        <v>1.3600000000000136</v>
      </c>
      <c r="D132">
        <f t="shared" ref="D132:D195" ca="1" si="15">MAX(C132,0)</f>
        <v>1.3600000000000136</v>
      </c>
      <c r="E132">
        <f t="shared" ref="E132:E195" ca="1" si="16">MAX(-C132,0)</f>
        <v>0</v>
      </c>
      <c r="F132">
        <f t="shared" ca="1" si="12"/>
        <v>0.87758116167947531</v>
      </c>
      <c r="G132">
        <f t="shared" ca="1" si="13"/>
        <v>0.52824047754171244</v>
      </c>
      <c r="H132">
        <f t="shared" ca="1" si="10"/>
        <v>1.6613288814282074</v>
      </c>
      <c r="I132">
        <f t="shared" ca="1" si="11"/>
        <v>62.424786843204885</v>
      </c>
      <c r="J132">
        <v>30</v>
      </c>
      <c r="K132">
        <v>70</v>
      </c>
    </row>
    <row r="133" spans="1:11" x14ac:dyDescent="0.25">
      <c r="A133" vm="263">
        <f ca="1"/>
        <v>45484</v>
      </c>
      <c r="B133" vm="264">
        <f ca="1"/>
        <v>178.31</v>
      </c>
      <c r="C133">
        <f t="shared" ca="1" si="14"/>
        <v>0.46999999999999886</v>
      </c>
      <c r="D133">
        <f t="shared" ca="1" si="15"/>
        <v>0.46999999999999886</v>
      </c>
      <c r="E133">
        <f t="shared" ca="1" si="16"/>
        <v>0</v>
      </c>
      <c r="F133">
        <f t="shared" ca="1" si="12"/>
        <v>0.84846822155951274</v>
      </c>
      <c r="G133">
        <f t="shared" ca="1" si="13"/>
        <v>0.49050901486016152</v>
      </c>
      <c r="H133">
        <f t="shared" ca="1" si="10"/>
        <v>1.7297709029902362</v>
      </c>
      <c r="I133">
        <f t="shared" ca="1" si="11"/>
        <v>63.366889180898532</v>
      </c>
      <c r="J133">
        <v>30</v>
      </c>
      <c r="K133">
        <v>70</v>
      </c>
    </row>
    <row r="134" spans="1:11" x14ac:dyDescent="0.25">
      <c r="A134" vm="265">
        <f ca="1"/>
        <v>45485</v>
      </c>
      <c r="B134" vm="266">
        <f ca="1"/>
        <v>182.83</v>
      </c>
      <c r="C134">
        <f t="shared" ca="1" si="14"/>
        <v>4.5200000000000102</v>
      </c>
      <c r="D134">
        <f t="shared" ca="1" si="15"/>
        <v>4.5200000000000102</v>
      </c>
      <c r="E134">
        <f t="shared" ca="1" si="16"/>
        <v>0</v>
      </c>
      <c r="F134">
        <f t="shared" ca="1" si="12"/>
        <v>1.1107204914481197</v>
      </c>
      <c r="G134">
        <f t="shared" ca="1" si="13"/>
        <v>0.45547265665586428</v>
      </c>
      <c r="H134">
        <f t="shared" ca="1" si="10"/>
        <v>2.438610694225126</v>
      </c>
      <c r="I134">
        <f t="shared" ca="1" si="11"/>
        <v>70.918487467062761</v>
      </c>
      <c r="J134">
        <v>30</v>
      </c>
      <c r="K134">
        <v>70</v>
      </c>
    </row>
    <row r="135" spans="1:11" x14ac:dyDescent="0.25">
      <c r="A135" vm="267">
        <f ca="1"/>
        <v>45488</v>
      </c>
      <c r="B135" vm="268">
        <f ca="1"/>
        <v>182.88</v>
      </c>
      <c r="C135">
        <f t="shared" ca="1" si="14"/>
        <v>4.9999999999982947E-2</v>
      </c>
      <c r="D135">
        <f t="shared" ca="1" si="15"/>
        <v>4.9999999999982947E-2</v>
      </c>
      <c r="E135">
        <f t="shared" ca="1" si="16"/>
        <v>0</v>
      </c>
      <c r="F135">
        <f t="shared" ca="1" si="12"/>
        <v>1.0349547420589671</v>
      </c>
      <c r="G135">
        <f t="shared" ca="1" si="13"/>
        <v>0.4229388954661597</v>
      </c>
      <c r="H135">
        <f t="shared" ca="1" si="10"/>
        <v>2.4470550075992623</v>
      </c>
      <c r="I135">
        <f t="shared" ca="1" si="11"/>
        <v>70.989728977476915</v>
      </c>
      <c r="J135">
        <v>30</v>
      </c>
      <c r="K135">
        <v>70</v>
      </c>
    </row>
    <row r="136" spans="1:11" x14ac:dyDescent="0.25">
      <c r="A136" vm="269">
        <f ca="1"/>
        <v>45489</v>
      </c>
      <c r="B136" vm="270">
        <f ca="1"/>
        <v>185.81</v>
      </c>
      <c r="C136">
        <f t="shared" ca="1" si="14"/>
        <v>2.9300000000000068</v>
      </c>
      <c r="D136">
        <f t="shared" ca="1" si="15"/>
        <v>2.9300000000000068</v>
      </c>
      <c r="E136">
        <f t="shared" ca="1" si="16"/>
        <v>0</v>
      </c>
      <c r="F136">
        <f t="shared" ca="1" si="12"/>
        <v>1.1703151176261843</v>
      </c>
      <c r="G136">
        <f t="shared" ca="1" si="13"/>
        <v>0.39272897436143406</v>
      </c>
      <c r="H136">
        <f t="shared" ca="1" si="10"/>
        <v>2.9799561377641739</v>
      </c>
      <c r="I136">
        <f t="shared" ca="1" si="11"/>
        <v>74.874094955182812</v>
      </c>
      <c r="J136">
        <v>30</v>
      </c>
      <c r="K136">
        <v>70</v>
      </c>
    </row>
    <row r="137" spans="1:11" x14ac:dyDescent="0.25">
      <c r="A137" vm="271">
        <f ca="1"/>
        <v>45490</v>
      </c>
      <c r="B137" vm="272">
        <f ca="1"/>
        <v>187.45</v>
      </c>
      <c r="C137">
        <f t="shared" ca="1" si="14"/>
        <v>1.6399999999999864</v>
      </c>
      <c r="D137">
        <f t="shared" ca="1" si="15"/>
        <v>1.6399999999999864</v>
      </c>
      <c r="E137">
        <f t="shared" ca="1" si="16"/>
        <v>0</v>
      </c>
      <c r="F137">
        <f t="shared" ca="1" si="12"/>
        <v>1.2038640377957417</v>
      </c>
      <c r="G137">
        <f t="shared" ca="1" si="13"/>
        <v>0.36467690476418874</v>
      </c>
      <c r="H137">
        <f t="shared" ca="1" si="10"/>
        <v>3.3011798171704814</v>
      </c>
      <c r="I137">
        <f t="shared" ca="1" si="11"/>
        <v>76.750565135455162</v>
      </c>
      <c r="J137">
        <v>30</v>
      </c>
      <c r="K137">
        <v>70</v>
      </c>
    </row>
    <row r="138" spans="1:11" x14ac:dyDescent="0.25">
      <c r="A138" vm="273">
        <f ca="1"/>
        <v>45491</v>
      </c>
      <c r="B138" vm="274">
        <f ca="1"/>
        <v>185.22</v>
      </c>
      <c r="C138">
        <f t="shared" ca="1" si="14"/>
        <v>-2.2299999999999898</v>
      </c>
      <c r="D138">
        <f t="shared" ca="1" si="15"/>
        <v>0</v>
      </c>
      <c r="E138">
        <f t="shared" ca="1" si="16"/>
        <v>2.2299999999999898</v>
      </c>
      <c r="F138">
        <f t="shared" ca="1" si="12"/>
        <v>1.1178737493817601</v>
      </c>
      <c r="G138">
        <f t="shared" ca="1" si="13"/>
        <v>0.49791426870960309</v>
      </c>
      <c r="H138">
        <f t="shared" ca="1" si="10"/>
        <v>2.2451129032289971</v>
      </c>
      <c r="I138">
        <f t="shared" ca="1" si="11"/>
        <v>69.184431179421637</v>
      </c>
      <c r="J138">
        <v>30</v>
      </c>
      <c r="K138">
        <v>70</v>
      </c>
    </row>
    <row r="139" spans="1:11" x14ac:dyDescent="0.25">
      <c r="A139" vm="275">
        <f ca="1"/>
        <v>45492</v>
      </c>
      <c r="B139" vm="276">
        <f ca="1"/>
        <v>183.25</v>
      </c>
      <c r="C139">
        <f t="shared" ca="1" si="14"/>
        <v>-1.9699999999999989</v>
      </c>
      <c r="D139">
        <f t="shared" ca="1" si="15"/>
        <v>0</v>
      </c>
      <c r="E139">
        <f t="shared" ca="1" si="16"/>
        <v>1.9699999999999989</v>
      </c>
      <c r="F139">
        <f t="shared" ca="1" si="12"/>
        <v>1.0380256244259201</v>
      </c>
      <c r="G139">
        <f t="shared" ca="1" si="13"/>
        <v>0.60306324951605994</v>
      </c>
      <c r="H139">
        <f t="shared" ca="1" si="10"/>
        <v>1.7212549848774641</v>
      </c>
      <c r="I139">
        <f t="shared" ca="1" si="11"/>
        <v>63.252249217467977</v>
      </c>
      <c r="J139">
        <v>30</v>
      </c>
      <c r="K139">
        <v>70</v>
      </c>
    </row>
    <row r="140" spans="1:11" x14ac:dyDescent="0.25">
      <c r="A140" vm="277">
        <f ca="1"/>
        <v>45495</v>
      </c>
      <c r="B140" vm="278">
        <f ca="1"/>
        <v>184.15</v>
      </c>
      <c r="C140">
        <f t="shared" ca="1" si="14"/>
        <v>0.90000000000000568</v>
      </c>
      <c r="D140">
        <f t="shared" ca="1" si="15"/>
        <v>0.90000000000000568</v>
      </c>
      <c r="E140">
        <f t="shared" ca="1" si="16"/>
        <v>0</v>
      </c>
      <c r="F140">
        <f t="shared" ca="1" si="12"/>
        <v>1.0281666512526404</v>
      </c>
      <c r="G140">
        <f t="shared" ca="1" si="13"/>
        <v>0.55998730312205569</v>
      </c>
      <c r="H140">
        <f t="shared" ca="1" si="10"/>
        <v>1.8360535060712611</v>
      </c>
      <c r="I140">
        <f t="shared" ca="1" si="11"/>
        <v>64.739734357646739</v>
      </c>
      <c r="J140">
        <v>30</v>
      </c>
      <c r="K140">
        <v>70</v>
      </c>
    </row>
    <row r="141" spans="1:11" x14ac:dyDescent="0.25">
      <c r="A141" vm="279">
        <f ca="1"/>
        <v>45496</v>
      </c>
      <c r="B141" vm="158">
        <f ca="1"/>
        <v>184.1</v>
      </c>
      <c r="C141">
        <f t="shared" ca="1" si="14"/>
        <v>-5.0000000000011369E-2</v>
      </c>
      <c r="D141">
        <f t="shared" ca="1" si="15"/>
        <v>0</v>
      </c>
      <c r="E141">
        <f t="shared" ca="1" si="16"/>
        <v>5.0000000000011369E-2</v>
      </c>
      <c r="F141">
        <f t="shared" ca="1" si="12"/>
        <v>0.95472617616316602</v>
      </c>
      <c r="G141">
        <f t="shared" ca="1" si="13"/>
        <v>0.52355963861333821</v>
      </c>
      <c r="H141">
        <f t="shared" ca="1" si="10"/>
        <v>1.8235289845714311</v>
      </c>
      <c r="I141">
        <f t="shared" ca="1" si="11"/>
        <v>64.583327974875203</v>
      </c>
      <c r="J141">
        <v>30</v>
      </c>
      <c r="K141">
        <v>70</v>
      </c>
    </row>
    <row r="142" spans="1:11" x14ac:dyDescent="0.25">
      <c r="A142" vm="280">
        <f ca="1"/>
        <v>45497</v>
      </c>
      <c r="B142" vm="281">
        <f ca="1"/>
        <v>184.02</v>
      </c>
      <c r="C142">
        <f t="shared" ca="1" si="14"/>
        <v>-7.9999999999984084E-2</v>
      </c>
      <c r="D142">
        <f t="shared" ca="1" si="15"/>
        <v>0</v>
      </c>
      <c r="E142">
        <f t="shared" ca="1" si="16"/>
        <v>7.9999999999984084E-2</v>
      </c>
      <c r="F142">
        <f t="shared" ca="1" si="12"/>
        <v>0.88653144929436845</v>
      </c>
      <c r="G142">
        <f t="shared" ca="1" si="13"/>
        <v>0.49187680728381294</v>
      </c>
      <c r="H142">
        <f t="shared" ca="1" si="10"/>
        <v>1.8023444817206837</v>
      </c>
      <c r="I142">
        <f t="shared" ca="1" si="11"/>
        <v>64.31559337109104</v>
      </c>
      <c r="J142">
        <v>30</v>
      </c>
      <c r="K142">
        <v>70</v>
      </c>
    </row>
    <row r="143" spans="1:11" x14ac:dyDescent="0.25">
      <c r="A143" vm="282">
        <f ca="1"/>
        <v>45498</v>
      </c>
      <c r="B143" vm="283">
        <f ca="1"/>
        <v>191.98</v>
      </c>
      <c r="C143">
        <f t="shared" ca="1" si="14"/>
        <v>7.9599999999999795</v>
      </c>
      <c r="D143">
        <f t="shared" ca="1" si="15"/>
        <v>7.9599999999999795</v>
      </c>
      <c r="E143">
        <f t="shared" ca="1" si="16"/>
        <v>0</v>
      </c>
      <c r="F143">
        <f t="shared" ca="1" si="12"/>
        <v>1.3917792029161977</v>
      </c>
      <c r="G143">
        <f t="shared" ca="1" si="13"/>
        <v>0.45674274962068345</v>
      </c>
      <c r="H143">
        <f t="shared" ca="1" si="10"/>
        <v>3.0471840090993125</v>
      </c>
      <c r="I143">
        <f t="shared" ca="1" si="11"/>
        <v>75.291461970800128</v>
      </c>
      <c r="J143">
        <v>30</v>
      </c>
      <c r="K143">
        <v>70</v>
      </c>
    </row>
    <row r="144" spans="1:11" x14ac:dyDescent="0.25">
      <c r="A144" vm="284">
        <f ca="1"/>
        <v>45499</v>
      </c>
      <c r="B144" vm="285">
        <f ca="1"/>
        <v>191.75</v>
      </c>
      <c r="C144">
        <f t="shared" ca="1" si="14"/>
        <v>-0.22999999999998977</v>
      </c>
      <c r="D144">
        <f t="shared" ca="1" si="15"/>
        <v>0</v>
      </c>
      <c r="E144">
        <f t="shared" ca="1" si="16"/>
        <v>0.22999999999998977</v>
      </c>
      <c r="F144">
        <f t="shared" ca="1" si="12"/>
        <v>1.292366402707898</v>
      </c>
      <c r="G144">
        <f t="shared" ca="1" si="13"/>
        <v>0.44054683893349106</v>
      </c>
      <c r="H144">
        <f t="shared" ca="1" si="10"/>
        <v>2.9335505069938894</v>
      </c>
      <c r="I144">
        <f t="shared" ca="1" si="11"/>
        <v>74.577674845613629</v>
      </c>
      <c r="J144">
        <v>30</v>
      </c>
      <c r="K144">
        <v>70</v>
      </c>
    </row>
    <row r="145" spans="1:11" x14ac:dyDescent="0.25">
      <c r="A145" vm="286">
        <f ca="1"/>
        <v>45502</v>
      </c>
      <c r="B145" vm="287">
        <f ca="1"/>
        <v>191.5</v>
      </c>
      <c r="C145">
        <f t="shared" ca="1" si="14"/>
        <v>-0.25</v>
      </c>
      <c r="D145">
        <f t="shared" ca="1" si="15"/>
        <v>0</v>
      </c>
      <c r="E145">
        <f t="shared" ca="1" si="16"/>
        <v>0.25</v>
      </c>
      <c r="F145">
        <f t="shared" ca="1" si="12"/>
        <v>1.200054516800191</v>
      </c>
      <c r="G145">
        <f t="shared" ca="1" si="13"/>
        <v>0.42693635043824169</v>
      </c>
      <c r="H145">
        <f t="shared" ref="H145:H208" ca="1" si="17">IF(G145=0,NA(),F145/G145)</f>
        <v>2.8108511153204896</v>
      </c>
      <c r="I145">
        <f t="shared" ref="I145:I208" ca="1" si="18">IF(H145=0,100,100-(100/(1+H145)))</f>
        <v>73.759142780997863</v>
      </c>
      <c r="J145">
        <v>30</v>
      </c>
      <c r="K145">
        <v>70</v>
      </c>
    </row>
    <row r="146" spans="1:11" x14ac:dyDescent="0.25">
      <c r="A146" vm="288">
        <f ca="1"/>
        <v>45503</v>
      </c>
      <c r="B146" vm="289">
        <f ca="1"/>
        <v>191.04</v>
      </c>
      <c r="C146">
        <f t="shared" ca="1" si="14"/>
        <v>-0.46000000000000796</v>
      </c>
      <c r="D146">
        <f t="shared" ca="1" si="15"/>
        <v>0</v>
      </c>
      <c r="E146">
        <f t="shared" ca="1" si="16"/>
        <v>0.46000000000000796</v>
      </c>
      <c r="F146">
        <f t="shared" ref="F146:F209" ca="1" si="19">(F145*($E$1-1)+D146)/$E$1</f>
        <v>1.1143363370287489</v>
      </c>
      <c r="G146">
        <f t="shared" ref="G146:G209" ca="1" si="20">(G145*($E$1-1)+E146)/$E$1</f>
        <v>0.42929803969265351</v>
      </c>
      <c r="H146">
        <f t="shared" ca="1" si="17"/>
        <v>2.5957172733109464</v>
      </c>
      <c r="I146">
        <f t="shared" ca="1" si="18"/>
        <v>72.189137132041608</v>
      </c>
      <c r="J146">
        <v>30</v>
      </c>
      <c r="K146">
        <v>70</v>
      </c>
    </row>
    <row r="147" spans="1:11" x14ac:dyDescent="0.25">
      <c r="A147" vm="290">
        <f ca="1"/>
        <v>45504</v>
      </c>
      <c r="B147" vm="291">
        <f ca="1"/>
        <v>192.14</v>
      </c>
      <c r="C147">
        <f t="shared" ca="1" si="14"/>
        <v>1.0999999999999943</v>
      </c>
      <c r="D147">
        <f t="shared" ca="1" si="15"/>
        <v>1.0999999999999943</v>
      </c>
      <c r="E147">
        <f t="shared" ca="1" si="16"/>
        <v>0</v>
      </c>
      <c r="F147">
        <f t="shared" ca="1" si="19"/>
        <v>1.1133123129552664</v>
      </c>
      <c r="G147">
        <f t="shared" ca="1" si="20"/>
        <v>0.39863389400032112</v>
      </c>
      <c r="H147">
        <f t="shared" ca="1" si="17"/>
        <v>2.7928189993657933</v>
      </c>
      <c r="I147">
        <f t="shared" ca="1" si="18"/>
        <v>73.634386450626494</v>
      </c>
      <c r="J147">
        <v>30</v>
      </c>
      <c r="K147">
        <v>70</v>
      </c>
    </row>
    <row r="148" spans="1:11" x14ac:dyDescent="0.25">
      <c r="A148" vm="292">
        <f ca="1"/>
        <v>45505</v>
      </c>
      <c r="B148" vm="293">
        <f ca="1"/>
        <v>189.66</v>
      </c>
      <c r="C148">
        <f t="shared" ca="1" si="14"/>
        <v>-2.4799999999999898</v>
      </c>
      <c r="D148">
        <f t="shared" ca="1" si="15"/>
        <v>0</v>
      </c>
      <c r="E148">
        <f t="shared" ca="1" si="16"/>
        <v>2.4799999999999898</v>
      </c>
      <c r="F148">
        <f t="shared" ca="1" si="19"/>
        <v>1.0337900048870332</v>
      </c>
      <c r="G148">
        <f t="shared" ca="1" si="20"/>
        <v>0.54730290157172601</v>
      </c>
      <c r="H148">
        <f t="shared" ca="1" si="17"/>
        <v>1.8888809138746203</v>
      </c>
      <c r="I148">
        <f t="shared" ca="1" si="18"/>
        <v>65.384519825748669</v>
      </c>
      <c r="J148">
        <v>30</v>
      </c>
      <c r="K148">
        <v>70</v>
      </c>
    </row>
    <row r="149" spans="1:11" x14ac:dyDescent="0.25">
      <c r="A149" vm="294">
        <f ca="1"/>
        <v>45506</v>
      </c>
      <c r="B149" vm="295">
        <f ca="1"/>
        <v>189.12</v>
      </c>
      <c r="C149">
        <f t="shared" ca="1" si="14"/>
        <v>-0.53999999999999204</v>
      </c>
      <c r="D149">
        <f t="shared" ca="1" si="15"/>
        <v>0</v>
      </c>
      <c r="E149">
        <f t="shared" ca="1" si="16"/>
        <v>0.53999999999999204</v>
      </c>
      <c r="F149">
        <f t="shared" ca="1" si="19"/>
        <v>0.95994786168081647</v>
      </c>
      <c r="G149">
        <f t="shared" ca="1" si="20"/>
        <v>0.54678126574517361</v>
      </c>
      <c r="H149">
        <f t="shared" ca="1" si="17"/>
        <v>1.7556341480949686</v>
      </c>
      <c r="I149">
        <f t="shared" ca="1" si="18"/>
        <v>63.710712443764635</v>
      </c>
      <c r="J149">
        <v>30</v>
      </c>
      <c r="K149">
        <v>70</v>
      </c>
    </row>
    <row r="150" spans="1:11" x14ac:dyDescent="0.25">
      <c r="A150" vm="296">
        <f ca="1"/>
        <v>45509</v>
      </c>
      <c r="B150" vm="297">
        <f ca="1"/>
        <v>183.31</v>
      </c>
      <c r="C150">
        <f t="shared" ca="1" si="14"/>
        <v>-5.8100000000000023</v>
      </c>
      <c r="D150">
        <f t="shared" ca="1" si="15"/>
        <v>0</v>
      </c>
      <c r="E150">
        <f t="shared" ca="1" si="16"/>
        <v>5.8100000000000023</v>
      </c>
      <c r="F150">
        <f t="shared" ca="1" si="19"/>
        <v>0.89138015727504383</v>
      </c>
      <c r="G150">
        <f t="shared" ca="1" si="20"/>
        <v>0.92272546104909003</v>
      </c>
      <c r="H150">
        <f t="shared" ca="1" si="17"/>
        <v>0.96602965335062041</v>
      </c>
      <c r="I150">
        <f t="shared" ca="1" si="18"/>
        <v>49.136067286892512</v>
      </c>
      <c r="J150">
        <v>30</v>
      </c>
      <c r="K150">
        <v>70</v>
      </c>
    </row>
    <row r="151" spans="1:11" x14ac:dyDescent="0.25">
      <c r="A151" vm="298">
        <f ca="1"/>
        <v>45510</v>
      </c>
      <c r="B151" vm="299">
        <f ca="1"/>
        <v>186.8</v>
      </c>
      <c r="C151">
        <f t="shared" ca="1" si="14"/>
        <v>3.4900000000000091</v>
      </c>
      <c r="D151">
        <f t="shared" ca="1" si="15"/>
        <v>3.4900000000000091</v>
      </c>
      <c r="E151">
        <f t="shared" ca="1" si="16"/>
        <v>0</v>
      </c>
      <c r="F151">
        <f t="shared" ca="1" si="19"/>
        <v>1.076995860326827</v>
      </c>
      <c r="G151">
        <f t="shared" ca="1" si="20"/>
        <v>0.85681649954558359</v>
      </c>
      <c r="H151">
        <f t="shared" ca="1" si="17"/>
        <v>1.2569737638082559</v>
      </c>
      <c r="I151">
        <f t="shared" ca="1" si="18"/>
        <v>55.692883274253418</v>
      </c>
      <c r="J151">
        <v>30</v>
      </c>
      <c r="K151">
        <v>70</v>
      </c>
    </row>
    <row r="152" spans="1:11" x14ac:dyDescent="0.25">
      <c r="A152" vm="300">
        <f ca="1"/>
        <v>45511</v>
      </c>
      <c r="B152" vm="299">
        <f ca="1"/>
        <v>186.8</v>
      </c>
      <c r="C152">
        <f t="shared" ca="1" si="14"/>
        <v>0</v>
      </c>
      <c r="D152">
        <f t="shared" ca="1" si="15"/>
        <v>0</v>
      </c>
      <c r="E152">
        <f t="shared" ca="1" si="16"/>
        <v>0</v>
      </c>
      <c r="F152">
        <f t="shared" ca="1" si="19"/>
        <v>1.0000675845891966</v>
      </c>
      <c r="G152">
        <f t="shared" ca="1" si="20"/>
        <v>0.79561532100661325</v>
      </c>
      <c r="H152">
        <f t="shared" ca="1" si="17"/>
        <v>1.2569737638082563</v>
      </c>
      <c r="I152">
        <f t="shared" ca="1" si="18"/>
        <v>55.692883274253418</v>
      </c>
      <c r="J152">
        <v>30</v>
      </c>
      <c r="K152">
        <v>70</v>
      </c>
    </row>
    <row r="153" spans="1:11" x14ac:dyDescent="0.25">
      <c r="A153" vm="301">
        <f ca="1"/>
        <v>45512</v>
      </c>
      <c r="B153" vm="302">
        <f ca="1"/>
        <v>192.61</v>
      </c>
      <c r="C153">
        <f t="shared" ca="1" si="14"/>
        <v>5.8100000000000023</v>
      </c>
      <c r="D153">
        <f t="shared" ca="1" si="15"/>
        <v>5.8100000000000023</v>
      </c>
      <c r="E153">
        <f t="shared" ca="1" si="16"/>
        <v>0</v>
      </c>
      <c r="F153">
        <f t="shared" ca="1" si="19"/>
        <v>1.3436341856899685</v>
      </c>
      <c r="G153">
        <f t="shared" ca="1" si="20"/>
        <v>0.73878565522042661</v>
      </c>
      <c r="H153">
        <f t="shared" ca="1" si="17"/>
        <v>1.8187063814728202</v>
      </c>
      <c r="I153">
        <f t="shared" ca="1" si="18"/>
        <v>64.522732606243167</v>
      </c>
      <c r="J153">
        <v>30</v>
      </c>
      <c r="K153">
        <v>70</v>
      </c>
    </row>
    <row r="154" spans="1:11" x14ac:dyDescent="0.25">
      <c r="A154" vm="303">
        <f ca="1"/>
        <v>45513</v>
      </c>
      <c r="B154" vm="304">
        <f ca="1"/>
        <v>191.45</v>
      </c>
      <c r="C154">
        <f t="shared" ca="1" si="14"/>
        <v>-1.160000000000025</v>
      </c>
      <c r="D154">
        <f t="shared" ca="1" si="15"/>
        <v>0</v>
      </c>
      <c r="E154">
        <f t="shared" ca="1" si="16"/>
        <v>1.160000000000025</v>
      </c>
      <c r="F154">
        <f t="shared" ca="1" si="19"/>
        <v>1.2476603152835424</v>
      </c>
      <c r="G154">
        <f t="shared" ca="1" si="20"/>
        <v>0.76887239413325503</v>
      </c>
      <c r="H154">
        <f t="shared" ca="1" si="17"/>
        <v>1.6227144124351374</v>
      </c>
      <c r="I154">
        <f t="shared" ca="1" si="18"/>
        <v>61.8715634741367</v>
      </c>
      <c r="J154">
        <v>30</v>
      </c>
      <c r="K154">
        <v>70</v>
      </c>
    </row>
    <row r="155" spans="1:11" x14ac:dyDescent="0.25">
      <c r="A155" vm="305">
        <f ca="1"/>
        <v>45516</v>
      </c>
      <c r="B155" vm="306">
        <f ca="1"/>
        <v>189.48</v>
      </c>
      <c r="C155">
        <f t="shared" ca="1" si="14"/>
        <v>-1.9699999999999989</v>
      </c>
      <c r="D155">
        <f t="shared" ca="1" si="15"/>
        <v>0</v>
      </c>
      <c r="E155">
        <f t="shared" ca="1" si="16"/>
        <v>1.9699999999999989</v>
      </c>
      <c r="F155">
        <f t="shared" ca="1" si="19"/>
        <v>1.158541721334718</v>
      </c>
      <c r="G155">
        <f t="shared" ca="1" si="20"/>
        <v>0.85466722312373666</v>
      </c>
      <c r="H155">
        <f t="shared" ca="1" si="17"/>
        <v>1.3555471533123098</v>
      </c>
      <c r="I155">
        <f t="shared" ca="1" si="18"/>
        <v>57.547018381957429</v>
      </c>
      <c r="J155">
        <v>30</v>
      </c>
      <c r="K155">
        <v>70</v>
      </c>
    </row>
    <row r="156" spans="1:11" x14ac:dyDescent="0.25">
      <c r="A156" vm="307">
        <f ca="1"/>
        <v>45517</v>
      </c>
      <c r="B156" vm="308">
        <f ca="1"/>
        <v>190.99</v>
      </c>
      <c r="C156">
        <f t="shared" ca="1" si="14"/>
        <v>1.5100000000000193</v>
      </c>
      <c r="D156">
        <f t="shared" ca="1" si="15"/>
        <v>1.5100000000000193</v>
      </c>
      <c r="E156">
        <f t="shared" ca="1" si="16"/>
        <v>0</v>
      </c>
      <c r="F156">
        <f t="shared" ca="1" si="19"/>
        <v>1.1836458840965254</v>
      </c>
      <c r="G156">
        <f t="shared" ca="1" si="20"/>
        <v>0.79361956432918401</v>
      </c>
      <c r="H156">
        <f t="shared" ca="1" si="17"/>
        <v>1.491452501044396</v>
      </c>
      <c r="I156">
        <f t="shared" ca="1" si="18"/>
        <v>59.862770830236244</v>
      </c>
      <c r="J156">
        <v>30</v>
      </c>
      <c r="K156">
        <v>70</v>
      </c>
    </row>
    <row r="157" spans="1:11" x14ac:dyDescent="0.25">
      <c r="A157" vm="309">
        <f ca="1"/>
        <v>45518</v>
      </c>
      <c r="B157" vm="310">
        <f ca="1"/>
        <v>192.32</v>
      </c>
      <c r="C157">
        <f t="shared" ca="1" si="14"/>
        <v>1.3299999999999841</v>
      </c>
      <c r="D157">
        <f t="shared" ca="1" si="15"/>
        <v>1.3299999999999841</v>
      </c>
      <c r="E157">
        <f t="shared" ca="1" si="16"/>
        <v>0</v>
      </c>
      <c r="F157">
        <f t="shared" ca="1" si="19"/>
        <v>1.1940997495182011</v>
      </c>
      <c r="G157">
        <f t="shared" ca="1" si="20"/>
        <v>0.73693245259138518</v>
      </c>
      <c r="H157">
        <f t="shared" ca="1" si="17"/>
        <v>1.6203652659334116</v>
      </c>
      <c r="I157">
        <f t="shared" ca="1" si="18"/>
        <v>61.837381490256263</v>
      </c>
      <c r="J157">
        <v>30</v>
      </c>
      <c r="K157">
        <v>70</v>
      </c>
    </row>
    <row r="158" spans="1:11" x14ac:dyDescent="0.25">
      <c r="A158" vm="311">
        <f ca="1"/>
        <v>45519</v>
      </c>
      <c r="B158" vm="312">
        <f ca="1"/>
        <v>193.95</v>
      </c>
      <c r="C158">
        <f t="shared" ca="1" si="14"/>
        <v>1.6299999999999955</v>
      </c>
      <c r="D158">
        <f t="shared" ca="1" si="15"/>
        <v>1.6299999999999955</v>
      </c>
      <c r="E158">
        <f t="shared" ca="1" si="16"/>
        <v>0</v>
      </c>
      <c r="F158">
        <f t="shared" ca="1" si="19"/>
        <v>1.2252354816954723</v>
      </c>
      <c r="G158">
        <f t="shared" ca="1" si="20"/>
        <v>0.68429442026342913</v>
      </c>
      <c r="H158">
        <f t="shared" ca="1" si="17"/>
        <v>1.7905092390257982</v>
      </c>
      <c r="I158">
        <f t="shared" ca="1" si="18"/>
        <v>64.16424694049347</v>
      </c>
      <c r="J158">
        <v>30</v>
      </c>
      <c r="K158">
        <v>70</v>
      </c>
    </row>
    <row r="159" spans="1:11" x14ac:dyDescent="0.25">
      <c r="A159" vm="313">
        <f ca="1"/>
        <v>45520</v>
      </c>
      <c r="B159" vm="314">
        <f ca="1"/>
        <v>193.78</v>
      </c>
      <c r="C159">
        <f t="shared" ca="1" si="14"/>
        <v>-0.16999999999998749</v>
      </c>
      <c r="D159">
        <f t="shared" ca="1" si="15"/>
        <v>0</v>
      </c>
      <c r="E159">
        <f t="shared" ca="1" si="16"/>
        <v>0.16999999999998749</v>
      </c>
      <c r="F159">
        <f t="shared" ca="1" si="19"/>
        <v>1.1377186615743671</v>
      </c>
      <c r="G159">
        <f t="shared" ca="1" si="20"/>
        <v>0.64755910453032617</v>
      </c>
      <c r="H159">
        <f t="shared" ca="1" si="17"/>
        <v>1.7569340831051292</v>
      </c>
      <c r="I159">
        <f t="shared" ca="1" si="18"/>
        <v>63.727823377129788</v>
      </c>
      <c r="J159">
        <v>30</v>
      </c>
      <c r="K159">
        <v>70</v>
      </c>
    </row>
    <row r="160" spans="1:11" x14ac:dyDescent="0.25">
      <c r="A160" vm="315">
        <f ca="1"/>
        <v>45523</v>
      </c>
      <c r="B160" vm="316">
        <f ca="1"/>
        <v>194.73</v>
      </c>
      <c r="C160">
        <f t="shared" ca="1" si="14"/>
        <v>0.94999999999998863</v>
      </c>
      <c r="D160">
        <f t="shared" ca="1" si="15"/>
        <v>0.94999999999998863</v>
      </c>
      <c r="E160">
        <f t="shared" ca="1" si="16"/>
        <v>0</v>
      </c>
      <c r="F160">
        <f t="shared" ca="1" si="19"/>
        <v>1.1243101857476259</v>
      </c>
      <c r="G160">
        <f t="shared" ca="1" si="20"/>
        <v>0.60130488277815997</v>
      </c>
      <c r="H160">
        <f t="shared" ca="1" si="17"/>
        <v>1.8697838949071344</v>
      </c>
      <c r="I160">
        <f t="shared" ca="1" si="18"/>
        <v>65.154170605854631</v>
      </c>
      <c r="J160">
        <v>30</v>
      </c>
      <c r="K160">
        <v>70</v>
      </c>
    </row>
    <row r="161" spans="1:11" x14ac:dyDescent="0.25">
      <c r="A161" vm="317">
        <f ca="1"/>
        <v>45524</v>
      </c>
      <c r="B161" vm="318">
        <f ca="1"/>
        <v>196.03</v>
      </c>
      <c r="C161">
        <f t="shared" ca="1" si="14"/>
        <v>1.3000000000000114</v>
      </c>
      <c r="D161">
        <f t="shared" ca="1" si="15"/>
        <v>1.3000000000000114</v>
      </c>
      <c r="E161">
        <f t="shared" ca="1" si="16"/>
        <v>0</v>
      </c>
      <c r="F161">
        <f t="shared" ca="1" si="19"/>
        <v>1.1368594581942248</v>
      </c>
      <c r="G161">
        <f t="shared" ca="1" si="20"/>
        <v>0.55835453400829138</v>
      </c>
      <c r="H161">
        <f t="shared" ca="1" si="17"/>
        <v>2.036088880720619</v>
      </c>
      <c r="I161">
        <f t="shared" ca="1" si="18"/>
        <v>67.062887837372898</v>
      </c>
      <c r="J161">
        <v>30</v>
      </c>
      <c r="K161">
        <v>70</v>
      </c>
    </row>
    <row r="162" spans="1:11" x14ac:dyDescent="0.25">
      <c r="A162" vm="319">
        <f ca="1"/>
        <v>45525</v>
      </c>
      <c r="B162" vm="320">
        <f ca="1"/>
        <v>197.21</v>
      </c>
      <c r="C162">
        <f t="shared" ca="1" si="14"/>
        <v>1.1800000000000068</v>
      </c>
      <c r="D162">
        <f t="shared" ca="1" si="15"/>
        <v>1.1800000000000068</v>
      </c>
      <c r="E162">
        <f t="shared" ca="1" si="16"/>
        <v>0</v>
      </c>
      <c r="F162">
        <f t="shared" ca="1" si="19"/>
        <v>1.1399409254660664</v>
      </c>
      <c r="G162">
        <f t="shared" ca="1" si="20"/>
        <v>0.51847206729341344</v>
      </c>
      <c r="H162">
        <f t="shared" ca="1" si="17"/>
        <v>2.1986544644862258</v>
      </c>
      <c r="I162">
        <f t="shared" ca="1" si="18"/>
        <v>68.736854477320918</v>
      </c>
      <c r="J162">
        <v>30</v>
      </c>
      <c r="K162">
        <v>70</v>
      </c>
    </row>
    <row r="163" spans="1:11" x14ac:dyDescent="0.25">
      <c r="A163" vm="321">
        <f ca="1"/>
        <v>45526</v>
      </c>
      <c r="B163" vm="322">
        <f ca="1"/>
        <v>195.96</v>
      </c>
      <c r="C163">
        <f t="shared" ca="1" si="14"/>
        <v>-1.25</v>
      </c>
      <c r="D163">
        <f t="shared" ca="1" si="15"/>
        <v>0</v>
      </c>
      <c r="E163">
        <f t="shared" ca="1" si="16"/>
        <v>1.25</v>
      </c>
      <c r="F163">
        <f t="shared" ca="1" si="19"/>
        <v>1.0585165736470616</v>
      </c>
      <c r="G163">
        <f t="shared" ca="1" si="20"/>
        <v>0.57072406248674101</v>
      </c>
      <c r="H163">
        <f t="shared" ca="1" si="17"/>
        <v>1.8546906346210923</v>
      </c>
      <c r="I163">
        <f t="shared" ca="1" si="18"/>
        <v>64.969934469528539</v>
      </c>
      <c r="J163">
        <v>30</v>
      </c>
      <c r="K163">
        <v>70</v>
      </c>
    </row>
    <row r="164" spans="1:11" x14ac:dyDescent="0.25">
      <c r="A164" vm="323">
        <f ca="1"/>
        <v>45527</v>
      </c>
      <c r="B164" vm="324">
        <f ca="1"/>
        <v>196.1</v>
      </c>
      <c r="C164">
        <f t="shared" ca="1" si="14"/>
        <v>0.13999999999998636</v>
      </c>
      <c r="D164">
        <f t="shared" ca="1" si="15"/>
        <v>0.13999999999998636</v>
      </c>
      <c r="E164">
        <f t="shared" ca="1" si="16"/>
        <v>0</v>
      </c>
      <c r="F164">
        <f t="shared" ca="1" si="19"/>
        <v>0.99290824695798485</v>
      </c>
      <c r="G164">
        <f t="shared" ca="1" si="20"/>
        <v>0.52995805802340235</v>
      </c>
      <c r="H164">
        <f t="shared" ca="1" si="17"/>
        <v>1.8735600523959561</v>
      </c>
      <c r="I164">
        <f t="shared" ca="1" si="18"/>
        <v>65.199961658493748</v>
      </c>
      <c r="J164">
        <v>30</v>
      </c>
      <c r="K164">
        <v>70</v>
      </c>
    </row>
    <row r="165" spans="1:11" x14ac:dyDescent="0.25">
      <c r="A165" vm="325">
        <f ca="1"/>
        <v>45530</v>
      </c>
      <c r="B165" vm="326">
        <f ca="1"/>
        <v>197.98</v>
      </c>
      <c r="C165">
        <f t="shared" ca="1" si="14"/>
        <v>1.8799999999999955</v>
      </c>
      <c r="D165">
        <f t="shared" ca="1" si="15"/>
        <v>1.8799999999999955</v>
      </c>
      <c r="E165">
        <f t="shared" ca="1" si="16"/>
        <v>0</v>
      </c>
      <c r="F165">
        <f t="shared" ca="1" si="19"/>
        <v>1.0562719436038428</v>
      </c>
      <c r="G165">
        <f t="shared" ca="1" si="20"/>
        <v>0.49210391102173073</v>
      </c>
      <c r="H165">
        <f t="shared" ca="1" si="17"/>
        <v>2.1464408632940106</v>
      </c>
      <c r="I165">
        <f t="shared" ca="1" si="18"/>
        <v>68.21805832533272</v>
      </c>
      <c r="J165">
        <v>30</v>
      </c>
      <c r="K165">
        <v>70</v>
      </c>
    </row>
    <row r="166" spans="1:11" x14ac:dyDescent="0.25">
      <c r="A166" vm="327">
        <f ca="1"/>
        <v>45531</v>
      </c>
      <c r="B166" vm="328">
        <f ca="1"/>
        <v>198.73</v>
      </c>
      <c r="C166">
        <f t="shared" ca="1" si="14"/>
        <v>0.75</v>
      </c>
      <c r="D166">
        <f t="shared" ca="1" si="15"/>
        <v>0.75</v>
      </c>
      <c r="E166">
        <f t="shared" ca="1" si="16"/>
        <v>0</v>
      </c>
      <c r="F166">
        <f t="shared" ca="1" si="19"/>
        <v>1.0343953762035683</v>
      </c>
      <c r="G166">
        <f t="shared" ca="1" si="20"/>
        <v>0.45695363166303565</v>
      </c>
      <c r="H166">
        <f t="shared" ca="1" si="17"/>
        <v>2.2636768908893292</v>
      </c>
      <c r="I166">
        <f t="shared" ca="1" si="18"/>
        <v>69.359711961942807</v>
      </c>
      <c r="J166">
        <v>30</v>
      </c>
      <c r="K166">
        <v>70</v>
      </c>
    </row>
    <row r="167" spans="1:11" x14ac:dyDescent="0.25">
      <c r="A167" vm="329">
        <f ca="1"/>
        <v>45532</v>
      </c>
      <c r="B167" vm="330">
        <f ca="1"/>
        <v>198.46</v>
      </c>
      <c r="C167">
        <f t="shared" ca="1" si="14"/>
        <v>-0.26999999999998181</v>
      </c>
      <c r="D167">
        <f t="shared" ca="1" si="15"/>
        <v>0</v>
      </c>
      <c r="E167">
        <f t="shared" ca="1" si="16"/>
        <v>0.26999999999998181</v>
      </c>
      <c r="F167">
        <f t="shared" ca="1" si="19"/>
        <v>0.96050999218902766</v>
      </c>
      <c r="G167">
        <f t="shared" ca="1" si="20"/>
        <v>0.44359980082996037</v>
      </c>
      <c r="H167">
        <f t="shared" ca="1" si="17"/>
        <v>2.1652624514076555</v>
      </c>
      <c r="I167">
        <f t="shared" ca="1" si="18"/>
        <v>68.407043164610883</v>
      </c>
      <c r="J167">
        <v>30</v>
      </c>
      <c r="K167">
        <v>70</v>
      </c>
    </row>
    <row r="168" spans="1:11" x14ac:dyDescent="0.25">
      <c r="A168" vm="331">
        <f ca="1"/>
        <v>45533</v>
      </c>
      <c r="B168" vm="332">
        <f ca="1"/>
        <v>198.9</v>
      </c>
      <c r="C168">
        <f t="shared" ca="1" si="14"/>
        <v>0.43999999999999773</v>
      </c>
      <c r="D168">
        <f t="shared" ca="1" si="15"/>
        <v>0.43999999999999773</v>
      </c>
      <c r="E168">
        <f t="shared" ca="1" si="16"/>
        <v>0</v>
      </c>
      <c r="F168">
        <f t="shared" ca="1" si="19"/>
        <v>0.92333070703266829</v>
      </c>
      <c r="G168">
        <f t="shared" ca="1" si="20"/>
        <v>0.41191410077067747</v>
      </c>
      <c r="H168">
        <f t="shared" ca="1" si="17"/>
        <v>2.2415612995650003</v>
      </c>
      <c r="I168">
        <f t="shared" ca="1" si="18"/>
        <v>69.150668224778144</v>
      </c>
      <c r="J168">
        <v>30</v>
      </c>
      <c r="K168">
        <v>70</v>
      </c>
    </row>
    <row r="169" spans="1:11" x14ac:dyDescent="0.25">
      <c r="A169" vm="333">
        <f ca="1"/>
        <v>45534</v>
      </c>
      <c r="B169" vm="334">
        <f ca="1"/>
        <v>202.13</v>
      </c>
      <c r="C169">
        <f t="shared" ca="1" si="14"/>
        <v>3.2299999999999898</v>
      </c>
      <c r="D169">
        <f t="shared" ca="1" si="15"/>
        <v>3.2299999999999898</v>
      </c>
      <c r="E169">
        <f t="shared" ca="1" si="16"/>
        <v>0</v>
      </c>
      <c r="F169">
        <f t="shared" ca="1" si="19"/>
        <v>1.0880927993874769</v>
      </c>
      <c r="G169">
        <f t="shared" ca="1" si="20"/>
        <v>0.38249166500134335</v>
      </c>
      <c r="H169">
        <f t="shared" ca="1" si="17"/>
        <v>2.8447490467110059</v>
      </c>
      <c r="I169">
        <f t="shared" ca="1" si="18"/>
        <v>73.990500085943168</v>
      </c>
      <c r="J169">
        <v>30</v>
      </c>
      <c r="K169">
        <v>70</v>
      </c>
    </row>
    <row r="170" spans="1:11" x14ac:dyDescent="0.25">
      <c r="A170" vm="335">
        <f ca="1"/>
        <v>45538</v>
      </c>
      <c r="B170" vm="336">
        <f ca="1"/>
        <v>201.28</v>
      </c>
      <c r="C170">
        <f t="shared" ca="1" si="14"/>
        <v>-0.84999999999999432</v>
      </c>
      <c r="D170">
        <f t="shared" ca="1" si="15"/>
        <v>0</v>
      </c>
      <c r="E170">
        <f t="shared" ca="1" si="16"/>
        <v>0.84999999999999432</v>
      </c>
      <c r="F170">
        <f t="shared" ca="1" si="19"/>
        <v>1.0103718851455143</v>
      </c>
      <c r="G170">
        <f t="shared" ca="1" si="20"/>
        <v>0.41588511750124696</v>
      </c>
      <c r="H170">
        <f t="shared" ca="1" si="17"/>
        <v>2.4294494864738336</v>
      </c>
      <c r="I170">
        <f t="shared" ca="1" si="18"/>
        <v>70.840801010654275</v>
      </c>
      <c r="J170">
        <v>30</v>
      </c>
      <c r="K170">
        <v>70</v>
      </c>
    </row>
    <row r="171" spans="1:11" x14ac:dyDescent="0.25">
      <c r="A171" vm="337">
        <f ca="1"/>
        <v>45539</v>
      </c>
      <c r="B171" vm="338">
        <f ca="1"/>
        <v>204.11</v>
      </c>
      <c r="C171">
        <f t="shared" ca="1" si="14"/>
        <v>2.8300000000000125</v>
      </c>
      <c r="D171">
        <f t="shared" ca="1" si="15"/>
        <v>2.8300000000000125</v>
      </c>
      <c r="E171">
        <f t="shared" ca="1" si="16"/>
        <v>0</v>
      </c>
      <c r="F171">
        <f t="shared" ca="1" si="19"/>
        <v>1.1403453219208355</v>
      </c>
      <c r="G171">
        <f t="shared" ca="1" si="20"/>
        <v>0.38617903767972933</v>
      </c>
      <c r="H171">
        <f t="shared" ca="1" si="17"/>
        <v>2.9528928570860451</v>
      </c>
      <c r="I171">
        <f t="shared" ca="1" si="18"/>
        <v>74.702071719263088</v>
      </c>
      <c r="J171">
        <v>30</v>
      </c>
      <c r="K171">
        <v>70</v>
      </c>
    </row>
    <row r="172" spans="1:11" x14ac:dyDescent="0.25">
      <c r="A172" vm="339">
        <f ca="1"/>
        <v>45540</v>
      </c>
      <c r="B172" vm="340">
        <f ca="1"/>
        <v>202.59</v>
      </c>
      <c r="C172">
        <f t="shared" ca="1" si="14"/>
        <v>-1.5200000000000102</v>
      </c>
      <c r="D172">
        <f t="shared" ca="1" si="15"/>
        <v>0</v>
      </c>
      <c r="E172">
        <f t="shared" ca="1" si="16"/>
        <v>1.5200000000000102</v>
      </c>
      <c r="F172">
        <f t="shared" ca="1" si="19"/>
        <v>1.0588920846407759</v>
      </c>
      <c r="G172">
        <f t="shared" ca="1" si="20"/>
        <v>0.46716624927403511</v>
      </c>
      <c r="H172">
        <f t="shared" ca="1" si="17"/>
        <v>2.2666279644265144</v>
      </c>
      <c r="I172">
        <f t="shared" ca="1" si="18"/>
        <v>69.387392415360068</v>
      </c>
      <c r="J172">
        <v>30</v>
      </c>
      <c r="K172">
        <v>70</v>
      </c>
    </row>
    <row r="173" spans="1:11" x14ac:dyDescent="0.25">
      <c r="A173" vm="341">
        <f ca="1"/>
        <v>45541</v>
      </c>
      <c r="B173" vm="342">
        <f ca="1"/>
        <v>200.74</v>
      </c>
      <c r="C173">
        <f t="shared" ca="1" si="14"/>
        <v>-1.8499999999999943</v>
      </c>
      <c r="D173">
        <f t="shared" ca="1" si="15"/>
        <v>0</v>
      </c>
      <c r="E173">
        <f t="shared" ca="1" si="16"/>
        <v>1.8499999999999943</v>
      </c>
      <c r="F173">
        <f t="shared" ca="1" si="19"/>
        <v>0.98325693573786332</v>
      </c>
      <c r="G173">
        <f t="shared" ca="1" si="20"/>
        <v>0.56594008861160361</v>
      </c>
      <c r="H173">
        <f t="shared" ca="1" si="17"/>
        <v>1.7373869699706999</v>
      </c>
      <c r="I173">
        <f t="shared" ca="1" si="18"/>
        <v>63.468811279878942</v>
      </c>
      <c r="J173">
        <v>30</v>
      </c>
      <c r="K173">
        <v>70</v>
      </c>
    </row>
    <row r="174" spans="1:11" x14ac:dyDescent="0.25">
      <c r="A174" vm="343">
        <f ca="1"/>
        <v>45544</v>
      </c>
      <c r="B174" vm="344">
        <f ca="1"/>
        <v>203.53</v>
      </c>
      <c r="C174">
        <f t="shared" ca="1" si="14"/>
        <v>2.789999999999992</v>
      </c>
      <c r="D174">
        <f t="shared" ca="1" si="15"/>
        <v>2.789999999999992</v>
      </c>
      <c r="E174">
        <f t="shared" ca="1" si="16"/>
        <v>0</v>
      </c>
      <c r="F174">
        <f t="shared" ca="1" si="19"/>
        <v>1.1123100117565869</v>
      </c>
      <c r="G174">
        <f t="shared" ca="1" si="20"/>
        <v>0.52551579656791758</v>
      </c>
      <c r="H174">
        <f t="shared" ca="1" si="17"/>
        <v>2.1166062352853214</v>
      </c>
      <c r="I174">
        <f t="shared" ca="1" si="18"/>
        <v>67.913816359657915</v>
      </c>
      <c r="J174">
        <v>30</v>
      </c>
      <c r="K174">
        <v>70</v>
      </c>
    </row>
    <row r="175" spans="1:11" x14ac:dyDescent="0.25">
      <c r="A175" vm="345">
        <f ca="1"/>
        <v>45545</v>
      </c>
      <c r="B175" vm="346">
        <f ca="1"/>
        <v>205.32</v>
      </c>
      <c r="C175">
        <f t="shared" ca="1" si="14"/>
        <v>1.789999999999992</v>
      </c>
      <c r="D175">
        <f t="shared" ca="1" si="15"/>
        <v>1.789999999999992</v>
      </c>
      <c r="E175">
        <f t="shared" ca="1" si="16"/>
        <v>0</v>
      </c>
      <c r="F175">
        <f t="shared" ca="1" si="19"/>
        <v>1.1607164394882585</v>
      </c>
      <c r="G175">
        <f t="shared" ca="1" si="20"/>
        <v>0.4879789539559235</v>
      </c>
      <c r="H175">
        <f t="shared" ca="1" si="17"/>
        <v>2.3786198771045766</v>
      </c>
      <c r="I175">
        <f t="shared" ca="1" si="18"/>
        <v>70.402115763996989</v>
      </c>
      <c r="J175">
        <v>30</v>
      </c>
      <c r="K175">
        <v>70</v>
      </c>
    </row>
    <row r="176" spans="1:11" x14ac:dyDescent="0.25">
      <c r="A176" vm="347">
        <f ca="1"/>
        <v>45546</v>
      </c>
      <c r="B176" vm="348">
        <f ca="1"/>
        <v>209.89</v>
      </c>
      <c r="C176">
        <f t="shared" ca="1" si="14"/>
        <v>4.5699999999999932</v>
      </c>
      <c r="D176">
        <f t="shared" ca="1" si="15"/>
        <v>4.5699999999999932</v>
      </c>
      <c r="E176">
        <f t="shared" ca="1" si="16"/>
        <v>0</v>
      </c>
      <c r="F176">
        <f t="shared" ca="1" si="19"/>
        <v>1.4042366938105251</v>
      </c>
      <c r="G176">
        <f t="shared" ca="1" si="20"/>
        <v>0.45312331438764325</v>
      </c>
      <c r="H176">
        <f t="shared" ca="1" si="17"/>
        <v>3.0990166456304036</v>
      </c>
      <c r="I176">
        <f t="shared" ca="1" si="18"/>
        <v>75.60390487640467</v>
      </c>
      <c r="J176">
        <v>30</v>
      </c>
      <c r="K176">
        <v>70</v>
      </c>
    </row>
    <row r="177" spans="1:11" x14ac:dyDescent="0.25">
      <c r="A177" vm="349">
        <f ca="1"/>
        <v>45547</v>
      </c>
      <c r="B177" vm="350">
        <f ca="1"/>
        <v>211.61</v>
      </c>
      <c r="C177">
        <f t="shared" ca="1" si="14"/>
        <v>1.7200000000000273</v>
      </c>
      <c r="D177">
        <f t="shared" ca="1" si="15"/>
        <v>1.7200000000000273</v>
      </c>
      <c r="E177">
        <f t="shared" ca="1" si="16"/>
        <v>0</v>
      </c>
      <c r="F177">
        <f t="shared" ca="1" si="19"/>
        <v>1.4267912156812039</v>
      </c>
      <c r="G177">
        <f t="shared" ca="1" si="20"/>
        <v>0.42075736335995445</v>
      </c>
      <c r="H177">
        <f t="shared" ca="1" si="17"/>
        <v>3.3910071217472568</v>
      </c>
      <c r="I177">
        <f t="shared" ca="1" si="18"/>
        <v>77.226181323019972</v>
      </c>
      <c r="J177">
        <v>30</v>
      </c>
      <c r="K177">
        <v>70</v>
      </c>
    </row>
    <row r="178" spans="1:11" x14ac:dyDescent="0.25">
      <c r="A178" vm="351">
        <f ca="1"/>
        <v>45548</v>
      </c>
      <c r="B178" vm="352">
        <f ca="1"/>
        <v>214.79</v>
      </c>
      <c r="C178">
        <f t="shared" ca="1" si="14"/>
        <v>3.1799999999999784</v>
      </c>
      <c r="D178">
        <f t="shared" ca="1" si="15"/>
        <v>3.1799999999999784</v>
      </c>
      <c r="E178">
        <f t="shared" ca="1" si="16"/>
        <v>0</v>
      </c>
      <c r="F178">
        <f t="shared" ca="1" si="19"/>
        <v>1.5520204145611165</v>
      </c>
      <c r="G178">
        <f t="shared" ca="1" si="20"/>
        <v>0.39070326597710059</v>
      </c>
      <c r="H178">
        <f t="shared" ca="1" si="17"/>
        <v>3.9723763523698867</v>
      </c>
      <c r="I178">
        <f t="shared" ca="1" si="18"/>
        <v>79.888891565430498</v>
      </c>
      <c r="J178">
        <v>30</v>
      </c>
      <c r="K178">
        <v>70</v>
      </c>
    </row>
    <row r="179" spans="1:11" x14ac:dyDescent="0.25">
      <c r="A179" vm="353">
        <f ca="1"/>
        <v>45551</v>
      </c>
      <c r="B179" vm="354">
        <f ca="1"/>
        <v>217.16</v>
      </c>
      <c r="C179">
        <f t="shared" ca="1" si="14"/>
        <v>2.3700000000000045</v>
      </c>
      <c r="D179">
        <f t="shared" ca="1" si="15"/>
        <v>2.3700000000000045</v>
      </c>
      <c r="E179">
        <f t="shared" ca="1" si="16"/>
        <v>0</v>
      </c>
      <c r="F179">
        <f t="shared" ca="1" si="19"/>
        <v>1.6104475278067514</v>
      </c>
      <c r="G179">
        <f t="shared" ca="1" si="20"/>
        <v>0.36279588983587907</v>
      </c>
      <c r="H179">
        <f t="shared" ca="1" si="17"/>
        <v>4.4389905534356595</v>
      </c>
      <c r="I179">
        <f t="shared" ca="1" si="18"/>
        <v>81.614235395788143</v>
      </c>
      <c r="J179">
        <v>30</v>
      </c>
      <c r="K179">
        <v>70</v>
      </c>
    </row>
    <row r="180" spans="1:11" x14ac:dyDescent="0.25">
      <c r="A180" vm="355">
        <f ca="1"/>
        <v>45552</v>
      </c>
      <c r="B180" vm="356">
        <f ca="1"/>
        <v>214.13</v>
      </c>
      <c r="C180">
        <f t="shared" ca="1" si="14"/>
        <v>-3.0300000000000011</v>
      </c>
      <c r="D180">
        <f t="shared" ca="1" si="15"/>
        <v>0</v>
      </c>
      <c r="E180">
        <f t="shared" ca="1" si="16"/>
        <v>3.0300000000000011</v>
      </c>
      <c r="F180">
        <f t="shared" ca="1" si="19"/>
        <v>1.4954155615348406</v>
      </c>
      <c r="G180">
        <f t="shared" ca="1" si="20"/>
        <v>0.55331046913331638</v>
      </c>
      <c r="H180">
        <f t="shared" ca="1" si="17"/>
        <v>2.7026699203382152</v>
      </c>
      <c r="I180">
        <f t="shared" ca="1" si="18"/>
        <v>72.992461615140229</v>
      </c>
      <c r="J180">
        <v>30</v>
      </c>
      <c r="K180">
        <v>70</v>
      </c>
    </row>
    <row r="181" spans="1:11" x14ac:dyDescent="0.25">
      <c r="A181" vm="357">
        <f ca="1"/>
        <v>45553</v>
      </c>
      <c r="B181" vm="358">
        <f ca="1"/>
        <v>214.94</v>
      </c>
      <c r="C181">
        <f t="shared" ca="1" si="14"/>
        <v>0.81000000000000227</v>
      </c>
      <c r="D181">
        <f t="shared" ca="1" si="15"/>
        <v>0.81000000000000227</v>
      </c>
      <c r="E181">
        <f t="shared" ca="1" si="16"/>
        <v>0</v>
      </c>
      <c r="F181">
        <f t="shared" ca="1" si="19"/>
        <v>1.4464573071394951</v>
      </c>
      <c r="G181">
        <f t="shared" ca="1" si="20"/>
        <v>0.51378829276665094</v>
      </c>
      <c r="H181">
        <f t="shared" ca="1" si="17"/>
        <v>2.8152788366402848</v>
      </c>
      <c r="I181">
        <f t="shared" ca="1" si="18"/>
        <v>73.789595916386673</v>
      </c>
      <c r="J181">
        <v>30</v>
      </c>
      <c r="K181">
        <v>70</v>
      </c>
    </row>
    <row r="182" spans="1:11" x14ac:dyDescent="0.25">
      <c r="A182" vm="359">
        <f ca="1"/>
        <v>45554</v>
      </c>
      <c r="B182" vm="360">
        <f ca="1"/>
        <v>213.89</v>
      </c>
      <c r="C182">
        <f t="shared" ca="1" si="14"/>
        <v>-1.0500000000000114</v>
      </c>
      <c r="D182">
        <f t="shared" ca="1" si="15"/>
        <v>0</v>
      </c>
      <c r="E182">
        <f t="shared" ca="1" si="16"/>
        <v>1.0500000000000114</v>
      </c>
      <c r="F182">
        <f t="shared" ca="1" si="19"/>
        <v>1.3431389280581025</v>
      </c>
      <c r="G182">
        <f t="shared" ca="1" si="20"/>
        <v>0.55208912899760532</v>
      </c>
      <c r="H182">
        <f t="shared" ca="1" si="17"/>
        <v>2.4328298774814825</v>
      </c>
      <c r="I182">
        <f t="shared" ca="1" si="18"/>
        <v>70.869514782548549</v>
      </c>
      <c r="J182">
        <v>30</v>
      </c>
      <c r="K182">
        <v>70</v>
      </c>
    </row>
    <row r="183" spans="1:11" x14ac:dyDescent="0.25">
      <c r="A183" vm="361">
        <f ca="1"/>
        <v>45555</v>
      </c>
      <c r="B183" vm="362">
        <f ca="1"/>
        <v>217.7</v>
      </c>
      <c r="C183">
        <f t="shared" ca="1" si="14"/>
        <v>3.8100000000000023</v>
      </c>
      <c r="D183">
        <f t="shared" ca="1" si="15"/>
        <v>3.8100000000000023</v>
      </c>
      <c r="E183">
        <f t="shared" ca="1" si="16"/>
        <v>0</v>
      </c>
      <c r="F183">
        <f t="shared" ca="1" si="19"/>
        <v>1.5193432903396666</v>
      </c>
      <c r="G183">
        <f t="shared" ca="1" si="20"/>
        <v>0.51265419121206202</v>
      </c>
      <c r="H183">
        <f t="shared" ca="1" si="17"/>
        <v>2.963680618210693</v>
      </c>
      <c r="I183">
        <f t="shared" ca="1" si="18"/>
        <v>74.770923888125338</v>
      </c>
      <c r="J183">
        <v>30</v>
      </c>
      <c r="K183">
        <v>70</v>
      </c>
    </row>
    <row r="184" spans="1:11" x14ac:dyDescent="0.25">
      <c r="A184" vm="363">
        <f ca="1"/>
        <v>45558</v>
      </c>
      <c r="B184" vm="364">
        <f ca="1"/>
        <v>220.5</v>
      </c>
      <c r="C184">
        <f t="shared" ca="1" si="14"/>
        <v>2.8000000000000114</v>
      </c>
      <c r="D184">
        <f t="shared" ca="1" si="15"/>
        <v>2.8000000000000114</v>
      </c>
      <c r="E184">
        <f t="shared" ca="1" si="16"/>
        <v>0</v>
      </c>
      <c r="F184">
        <f t="shared" ca="1" si="19"/>
        <v>1.61081876960112</v>
      </c>
      <c r="G184">
        <f t="shared" ca="1" si="20"/>
        <v>0.47603603469691474</v>
      </c>
      <c r="H184">
        <f t="shared" ca="1" si="17"/>
        <v>3.3838168798013473</v>
      </c>
      <c r="I184">
        <f t="shared" ca="1" si="18"/>
        <v>77.18882819655289</v>
      </c>
      <c r="J184">
        <v>30</v>
      </c>
      <c r="K184">
        <v>70</v>
      </c>
    </row>
    <row r="185" spans="1:11" x14ac:dyDescent="0.25">
      <c r="A185" vm="365">
        <f ca="1"/>
        <v>45559</v>
      </c>
      <c r="B185" vm="366">
        <f ca="1"/>
        <v>220.97</v>
      </c>
      <c r="C185">
        <f t="shared" ca="1" si="14"/>
        <v>0.46999999999999886</v>
      </c>
      <c r="D185">
        <f t="shared" ca="1" si="15"/>
        <v>0.46999999999999886</v>
      </c>
      <c r="E185">
        <f t="shared" ca="1" si="16"/>
        <v>0</v>
      </c>
      <c r="F185">
        <f t="shared" ca="1" si="19"/>
        <v>1.5293317146296115</v>
      </c>
      <c r="G185">
        <f t="shared" ca="1" si="20"/>
        <v>0.44203346078999228</v>
      </c>
      <c r="H185">
        <f t="shared" ca="1" si="17"/>
        <v>3.4597645886273498</v>
      </c>
      <c r="I185">
        <f t="shared" ca="1" si="18"/>
        <v>77.577291802575047</v>
      </c>
      <c r="J185">
        <v>30</v>
      </c>
      <c r="K185">
        <v>70</v>
      </c>
    </row>
    <row r="186" spans="1:11" x14ac:dyDescent="0.25">
      <c r="A186" vm="367">
        <f ca="1"/>
        <v>45560</v>
      </c>
      <c r="B186" vm="368">
        <f ca="1"/>
        <v>221.23</v>
      </c>
      <c r="C186">
        <f t="shared" ca="1" si="14"/>
        <v>0.25999999999999091</v>
      </c>
      <c r="D186">
        <f t="shared" ca="1" si="15"/>
        <v>0.25999999999999091</v>
      </c>
      <c r="E186">
        <f t="shared" ca="1" si="16"/>
        <v>0</v>
      </c>
      <c r="F186">
        <f t="shared" ca="1" si="19"/>
        <v>1.4386651635846388</v>
      </c>
      <c r="G186">
        <f t="shared" ca="1" si="20"/>
        <v>0.41045964216213571</v>
      </c>
      <c r="H186">
        <f t="shared" ca="1" si="17"/>
        <v>3.5050100321832653</v>
      </c>
      <c r="I186">
        <f t="shared" ca="1" si="18"/>
        <v>77.802491163035896</v>
      </c>
      <c r="J186">
        <v>30</v>
      </c>
      <c r="K186">
        <v>70</v>
      </c>
    </row>
    <row r="187" spans="1:11" x14ac:dyDescent="0.25">
      <c r="A187" vm="369">
        <f ca="1"/>
        <v>45561</v>
      </c>
      <c r="B187" vm="370">
        <f ca="1"/>
        <v>223.43</v>
      </c>
      <c r="C187">
        <f t="shared" ca="1" si="14"/>
        <v>2.2000000000000171</v>
      </c>
      <c r="D187">
        <f t="shared" ca="1" si="15"/>
        <v>2.2000000000000171</v>
      </c>
      <c r="E187">
        <f t="shared" ca="1" si="16"/>
        <v>0</v>
      </c>
      <c r="F187">
        <f t="shared" ca="1" si="19"/>
        <v>1.4930462233285944</v>
      </c>
      <c r="G187">
        <f t="shared" ca="1" si="20"/>
        <v>0.38114109629341175</v>
      </c>
      <c r="H187">
        <f t="shared" ca="1" si="17"/>
        <v>3.9173057900300807</v>
      </c>
      <c r="I187">
        <f t="shared" ca="1" si="18"/>
        <v>79.663660494177179</v>
      </c>
      <c r="J187">
        <v>30</v>
      </c>
      <c r="K187">
        <v>70</v>
      </c>
    </row>
    <row r="188" spans="1:11" x14ac:dyDescent="0.25">
      <c r="A188" vm="371">
        <f ca="1"/>
        <v>45562</v>
      </c>
      <c r="B188" vm="372">
        <f ca="1"/>
        <v>220.84</v>
      </c>
      <c r="C188">
        <f t="shared" ca="1" si="14"/>
        <v>-2.5900000000000034</v>
      </c>
      <c r="D188">
        <f t="shared" ca="1" si="15"/>
        <v>0</v>
      </c>
      <c r="E188">
        <f t="shared" ca="1" si="16"/>
        <v>2.5900000000000034</v>
      </c>
      <c r="F188">
        <f t="shared" ca="1" si="19"/>
        <v>1.386400064519409</v>
      </c>
      <c r="G188">
        <f t="shared" ca="1" si="20"/>
        <v>0.53891673227245396</v>
      </c>
      <c r="H188">
        <f t="shared" ca="1" si="17"/>
        <v>2.5725682308533382</v>
      </c>
      <c r="I188">
        <f t="shared" ca="1" si="18"/>
        <v>72.008932079622127</v>
      </c>
      <c r="J188">
        <v>30</v>
      </c>
      <c r="K188">
        <v>70</v>
      </c>
    </row>
    <row r="189" spans="1:11" x14ac:dyDescent="0.25">
      <c r="A189" vm="373">
        <f ca="1"/>
        <v>45565</v>
      </c>
      <c r="B189" vm="374">
        <f ca="1"/>
        <v>221.08</v>
      </c>
      <c r="C189">
        <f t="shared" ca="1" si="14"/>
        <v>0.24000000000000909</v>
      </c>
      <c r="D189">
        <f t="shared" ca="1" si="15"/>
        <v>0.24000000000000909</v>
      </c>
      <c r="E189">
        <f t="shared" ca="1" si="16"/>
        <v>0</v>
      </c>
      <c r="F189">
        <f t="shared" ca="1" si="19"/>
        <v>1.3045143456251662</v>
      </c>
      <c r="G189">
        <f t="shared" ca="1" si="20"/>
        <v>0.50042267996727863</v>
      </c>
      <c r="H189">
        <f t="shared" ca="1" si="17"/>
        <v>2.6068249858508912</v>
      </c>
      <c r="I189">
        <f t="shared" ca="1" si="18"/>
        <v>72.274784500970497</v>
      </c>
      <c r="J189">
        <v>30</v>
      </c>
      <c r="K189">
        <v>70</v>
      </c>
    </row>
    <row r="190" spans="1:11" x14ac:dyDescent="0.25">
      <c r="A190" vm="375">
        <f ca="1"/>
        <v>45566</v>
      </c>
      <c r="B190" vm="376">
        <f ca="1"/>
        <v>219.35</v>
      </c>
      <c r="C190">
        <f t="shared" ca="1" si="14"/>
        <v>-1.7300000000000182</v>
      </c>
      <c r="D190">
        <f t="shared" ca="1" si="15"/>
        <v>0</v>
      </c>
      <c r="E190">
        <f t="shared" ca="1" si="16"/>
        <v>1.7300000000000182</v>
      </c>
      <c r="F190">
        <f t="shared" ca="1" si="19"/>
        <v>1.2113347495090829</v>
      </c>
      <c r="G190">
        <f t="shared" ca="1" si="20"/>
        <v>0.58824963139818853</v>
      </c>
      <c r="H190">
        <f t="shared" ca="1" si="17"/>
        <v>2.0592188840474184</v>
      </c>
      <c r="I190">
        <f t="shared" ca="1" si="18"/>
        <v>67.311917260494397</v>
      </c>
      <c r="J190">
        <v>30</v>
      </c>
      <c r="K190">
        <v>70</v>
      </c>
    </row>
    <row r="191" spans="1:11" x14ac:dyDescent="0.25">
      <c r="A191" vm="377">
        <f ca="1"/>
        <v>45567</v>
      </c>
      <c r="B191" vm="378">
        <f ca="1"/>
        <v>219.73</v>
      </c>
      <c r="C191">
        <f t="shared" ca="1" si="14"/>
        <v>0.37999999999999545</v>
      </c>
      <c r="D191">
        <f t="shared" ca="1" si="15"/>
        <v>0.37999999999999545</v>
      </c>
      <c r="E191">
        <f t="shared" ca="1" si="16"/>
        <v>0</v>
      </c>
      <c r="F191">
        <f t="shared" ca="1" si="19"/>
        <v>1.1519536959727195</v>
      </c>
      <c r="G191">
        <f t="shared" ca="1" si="20"/>
        <v>0.5462318005840322</v>
      </c>
      <c r="H191">
        <f t="shared" ca="1" si="17"/>
        <v>2.1089099805998992</v>
      </c>
      <c r="I191">
        <f t="shared" ca="1" si="18"/>
        <v>67.834385484296376</v>
      </c>
      <c r="J191">
        <v>30</v>
      </c>
      <c r="K191">
        <v>70</v>
      </c>
    </row>
    <row r="192" spans="1:11" x14ac:dyDescent="0.25">
      <c r="A192" vm="379">
        <f ca="1"/>
        <v>45568</v>
      </c>
      <c r="B192" vm="380">
        <f ca="1"/>
        <v>222.72</v>
      </c>
      <c r="C192">
        <f t="shared" ca="1" si="14"/>
        <v>2.9900000000000091</v>
      </c>
      <c r="D192">
        <f t="shared" ca="1" si="15"/>
        <v>2.9900000000000091</v>
      </c>
      <c r="E192">
        <f t="shared" ca="1" si="16"/>
        <v>0</v>
      </c>
      <c r="F192">
        <f t="shared" ca="1" si="19"/>
        <v>1.2832427176889545</v>
      </c>
      <c r="G192">
        <f t="shared" ca="1" si="20"/>
        <v>0.50721524339945845</v>
      </c>
      <c r="H192">
        <f t="shared" ca="1" si="17"/>
        <v>2.5299766408604047</v>
      </c>
      <c r="I192">
        <f t="shared" ca="1" si="18"/>
        <v>71.671200641252469</v>
      </c>
      <c r="J192">
        <v>30</v>
      </c>
      <c r="K192">
        <v>70</v>
      </c>
    </row>
    <row r="193" spans="1:11" x14ac:dyDescent="0.25">
      <c r="A193" vm="381">
        <f ca="1"/>
        <v>45569</v>
      </c>
      <c r="B193" vm="382">
        <f ca="1"/>
        <v>226</v>
      </c>
      <c r="C193">
        <f t="shared" ca="1" si="14"/>
        <v>3.2800000000000011</v>
      </c>
      <c r="D193">
        <f t="shared" ca="1" si="15"/>
        <v>3.2800000000000011</v>
      </c>
      <c r="E193">
        <f t="shared" ca="1" si="16"/>
        <v>0</v>
      </c>
      <c r="F193">
        <f t="shared" ca="1" si="19"/>
        <v>1.4258682378540293</v>
      </c>
      <c r="G193">
        <f t="shared" ca="1" si="20"/>
        <v>0.47098558315664002</v>
      </c>
      <c r="H193">
        <f t="shared" ca="1" si="17"/>
        <v>3.027413765613745</v>
      </c>
      <c r="I193">
        <f t="shared" ca="1" si="18"/>
        <v>75.170169786426001</v>
      </c>
      <c r="J193">
        <v>30</v>
      </c>
      <c r="K193">
        <v>70</v>
      </c>
    </row>
    <row r="194" spans="1:11" x14ac:dyDescent="0.25">
      <c r="A194" vm="383">
        <f ca="1"/>
        <v>45572</v>
      </c>
      <c r="B194" vm="384">
        <f ca="1"/>
        <v>227.12</v>
      </c>
      <c r="C194">
        <f t="shared" ca="1" si="14"/>
        <v>1.1200000000000045</v>
      </c>
      <c r="D194">
        <f t="shared" ca="1" si="15"/>
        <v>1.1200000000000045</v>
      </c>
      <c r="E194">
        <f t="shared" ca="1" si="16"/>
        <v>0</v>
      </c>
      <c r="F194">
        <f t="shared" ca="1" si="19"/>
        <v>1.4040205065787419</v>
      </c>
      <c r="G194">
        <f t="shared" ca="1" si="20"/>
        <v>0.43734375578830859</v>
      </c>
      <c r="H194">
        <f t="shared" ca="1" si="17"/>
        <v>3.2103362355042804</v>
      </c>
      <c r="I194">
        <f t="shared" ca="1" si="18"/>
        <v>76.248927779986957</v>
      </c>
      <c r="J194">
        <v>30</v>
      </c>
      <c r="K194">
        <v>70</v>
      </c>
    </row>
    <row r="195" spans="1:11" x14ac:dyDescent="0.25">
      <c r="A195" vm="385">
        <f ca="1"/>
        <v>45573</v>
      </c>
      <c r="B195" vm="386">
        <f ca="1"/>
        <v>228.62</v>
      </c>
      <c r="C195">
        <f t="shared" ca="1" si="14"/>
        <v>1.5</v>
      </c>
      <c r="D195">
        <f t="shared" ca="1" si="15"/>
        <v>1.5</v>
      </c>
      <c r="E195">
        <f t="shared" ca="1" si="16"/>
        <v>0</v>
      </c>
      <c r="F195">
        <f t="shared" ca="1" si="19"/>
        <v>1.4108761846802604</v>
      </c>
      <c r="G195">
        <f t="shared" ca="1" si="20"/>
        <v>0.40610491608914367</v>
      </c>
      <c r="H195">
        <f t="shared" ca="1" si="17"/>
        <v>3.4741667209233205</v>
      </c>
      <c r="I195">
        <f t="shared" ca="1" si="18"/>
        <v>77.649469445929967</v>
      </c>
      <c r="J195">
        <v>30</v>
      </c>
      <c r="K195">
        <v>70</v>
      </c>
    </row>
    <row r="196" spans="1:11" x14ac:dyDescent="0.25">
      <c r="A196" vm="387">
        <f ca="1"/>
        <v>45574</v>
      </c>
      <c r="B196" vm="388">
        <f ca="1"/>
        <v>234.3</v>
      </c>
      <c r="C196">
        <f t="shared" ref="C196:C259" ca="1" si="21">B196-B195</f>
        <v>5.6800000000000068</v>
      </c>
      <c r="D196">
        <f t="shared" ref="D196:D259" ca="1" si="22">MAX(C196,0)</f>
        <v>5.6800000000000068</v>
      </c>
      <c r="E196">
        <f t="shared" ref="E196:E259" ca="1" si="23">MAX(-C196,0)</f>
        <v>0</v>
      </c>
      <c r="F196">
        <f t="shared" ca="1" si="19"/>
        <v>1.7158136000602424</v>
      </c>
      <c r="G196">
        <f t="shared" ca="1" si="20"/>
        <v>0.37709742208277625</v>
      </c>
      <c r="H196">
        <f t="shared" ca="1" si="17"/>
        <v>4.5500539106936833</v>
      </c>
      <c r="I196">
        <f t="shared" ca="1" si="18"/>
        <v>81.982157000795453</v>
      </c>
      <c r="J196">
        <v>30</v>
      </c>
      <c r="K196">
        <v>70</v>
      </c>
    </row>
    <row r="197" spans="1:11" x14ac:dyDescent="0.25">
      <c r="A197" vm="389">
        <f ca="1"/>
        <v>45575</v>
      </c>
      <c r="B197" vm="390">
        <f ca="1"/>
        <v>233.02</v>
      </c>
      <c r="C197">
        <f t="shared" ca="1" si="21"/>
        <v>-1.2800000000000011</v>
      </c>
      <c r="D197">
        <f t="shared" ca="1" si="22"/>
        <v>0</v>
      </c>
      <c r="E197">
        <f t="shared" ca="1" si="23"/>
        <v>1.2800000000000011</v>
      </c>
      <c r="F197">
        <f t="shared" ca="1" si="19"/>
        <v>1.593255485770225</v>
      </c>
      <c r="G197">
        <f t="shared" ca="1" si="20"/>
        <v>0.44159046336257807</v>
      </c>
      <c r="H197">
        <f t="shared" ca="1" si="17"/>
        <v>3.6079934191469296</v>
      </c>
      <c r="I197">
        <f t="shared" ca="1" si="18"/>
        <v>78.298580118520903</v>
      </c>
      <c r="J197">
        <v>30</v>
      </c>
      <c r="K197">
        <v>70</v>
      </c>
    </row>
    <row r="198" spans="1:11" x14ac:dyDescent="0.25">
      <c r="A198" vm="391">
        <f ca="1"/>
        <v>45576</v>
      </c>
      <c r="B198" vm="392">
        <f ca="1"/>
        <v>233.26</v>
      </c>
      <c r="C198">
        <f t="shared" ca="1" si="21"/>
        <v>0.23999999999998067</v>
      </c>
      <c r="D198">
        <f t="shared" ca="1" si="22"/>
        <v>0.23999999999998067</v>
      </c>
      <c r="E198">
        <f t="shared" ca="1" si="23"/>
        <v>0</v>
      </c>
      <c r="F198">
        <f t="shared" ca="1" si="19"/>
        <v>1.4965943796437791</v>
      </c>
      <c r="G198">
        <f t="shared" ca="1" si="20"/>
        <v>0.41004828740810823</v>
      </c>
      <c r="H198">
        <f t="shared" ca="1" si="17"/>
        <v>3.6498003420613374</v>
      </c>
      <c r="I198">
        <f t="shared" ca="1" si="18"/>
        <v>78.493700235810934</v>
      </c>
      <c r="J198">
        <v>30</v>
      </c>
      <c r="K198">
        <v>70</v>
      </c>
    </row>
    <row r="199" spans="1:11" x14ac:dyDescent="0.25">
      <c r="A199" vm="393">
        <f ca="1"/>
        <v>45579</v>
      </c>
      <c r="B199" vm="394">
        <f ca="1"/>
        <v>235.26</v>
      </c>
      <c r="C199">
        <f t="shared" ca="1" si="21"/>
        <v>2</v>
      </c>
      <c r="D199">
        <f t="shared" ca="1" si="22"/>
        <v>2</v>
      </c>
      <c r="E199">
        <f t="shared" ca="1" si="23"/>
        <v>0</v>
      </c>
      <c r="F199">
        <f t="shared" ca="1" si="19"/>
        <v>1.5325519239549377</v>
      </c>
      <c r="G199">
        <f t="shared" ca="1" si="20"/>
        <v>0.38075912402181478</v>
      </c>
      <c r="H199">
        <f t="shared" ca="1" si="17"/>
        <v>4.0249906759086187</v>
      </c>
      <c r="I199">
        <f t="shared" ca="1" si="18"/>
        <v>80.09946556131311</v>
      </c>
      <c r="J199">
        <v>30</v>
      </c>
      <c r="K199">
        <v>70</v>
      </c>
    </row>
    <row r="200" spans="1:11" x14ac:dyDescent="0.25">
      <c r="A200" vm="395">
        <f ca="1"/>
        <v>45580</v>
      </c>
      <c r="B200" vm="396">
        <f ca="1"/>
        <v>232.96</v>
      </c>
      <c r="C200">
        <f t="shared" ca="1" si="21"/>
        <v>-2.2999999999999829</v>
      </c>
      <c r="D200">
        <f t="shared" ca="1" si="22"/>
        <v>0</v>
      </c>
      <c r="E200">
        <f t="shared" ca="1" si="23"/>
        <v>2.2999999999999829</v>
      </c>
      <c r="F200">
        <f t="shared" ca="1" si="19"/>
        <v>1.4230839293867279</v>
      </c>
      <c r="G200">
        <f t="shared" ca="1" si="20"/>
        <v>0.5178477580202554</v>
      </c>
      <c r="H200">
        <f t="shared" ca="1" si="17"/>
        <v>2.7480739413205386</v>
      </c>
      <c r="I200">
        <f t="shared" ca="1" si="18"/>
        <v>73.319629877747943</v>
      </c>
      <c r="J200">
        <v>30</v>
      </c>
      <c r="K200">
        <v>70</v>
      </c>
    </row>
    <row r="201" spans="1:11" x14ac:dyDescent="0.25">
      <c r="A201" vm="397">
        <f ca="1"/>
        <v>45581</v>
      </c>
      <c r="B201" vm="398">
        <f ca="1"/>
        <v>233.67</v>
      </c>
      <c r="C201">
        <f t="shared" ca="1" si="21"/>
        <v>0.70999999999997954</v>
      </c>
      <c r="D201">
        <f t="shared" ca="1" si="22"/>
        <v>0.70999999999997954</v>
      </c>
      <c r="E201">
        <f t="shared" ca="1" si="23"/>
        <v>0</v>
      </c>
      <c r="F201">
        <f t="shared" ca="1" si="19"/>
        <v>1.3721493630019601</v>
      </c>
      <c r="G201">
        <f t="shared" ca="1" si="20"/>
        <v>0.48085863244737997</v>
      </c>
      <c r="H201">
        <f t="shared" ca="1" si="17"/>
        <v>2.8535400436054634</v>
      </c>
      <c r="I201">
        <f t="shared" ca="1" si="18"/>
        <v>74.049834991091046</v>
      </c>
      <c r="J201">
        <v>30</v>
      </c>
      <c r="K201">
        <v>70</v>
      </c>
    </row>
    <row r="202" spans="1:11" x14ac:dyDescent="0.25">
      <c r="A202" vm="399">
        <f ca="1"/>
        <v>45582</v>
      </c>
      <c r="B202" vm="400">
        <f ca="1"/>
        <v>232.88</v>
      </c>
      <c r="C202">
        <f t="shared" ca="1" si="21"/>
        <v>-0.78999999999999204</v>
      </c>
      <c r="D202">
        <f t="shared" ca="1" si="22"/>
        <v>0</v>
      </c>
      <c r="E202">
        <f t="shared" ca="1" si="23"/>
        <v>0.78999999999999204</v>
      </c>
      <c r="F202">
        <f t="shared" ca="1" si="19"/>
        <v>1.2741386942161057</v>
      </c>
      <c r="G202">
        <f t="shared" ca="1" si="20"/>
        <v>0.50294015870113795</v>
      </c>
      <c r="H202">
        <f t="shared" ca="1" si="17"/>
        <v>2.5333803081197916</v>
      </c>
      <c r="I202">
        <f t="shared" ca="1" si="18"/>
        <v>71.698489469079334</v>
      </c>
      <c r="J202">
        <v>30</v>
      </c>
      <c r="K202">
        <v>70</v>
      </c>
    </row>
    <row r="203" spans="1:11" x14ac:dyDescent="0.25">
      <c r="A203" vm="401">
        <f ca="1"/>
        <v>45583</v>
      </c>
      <c r="B203" vm="402">
        <f ca="1"/>
        <v>232.2</v>
      </c>
      <c r="C203">
        <f t="shared" ca="1" si="21"/>
        <v>-0.68000000000000682</v>
      </c>
      <c r="D203">
        <f t="shared" ca="1" si="22"/>
        <v>0</v>
      </c>
      <c r="E203">
        <f t="shared" ca="1" si="23"/>
        <v>0.68000000000000682</v>
      </c>
      <c r="F203">
        <f t="shared" ca="1" si="19"/>
        <v>1.1831287874863838</v>
      </c>
      <c r="G203">
        <f t="shared" ca="1" si="20"/>
        <v>0.51558729022248573</v>
      </c>
      <c r="H203">
        <f t="shared" ca="1" si="17"/>
        <v>2.2947206223331094</v>
      </c>
      <c r="I203">
        <f t="shared" ca="1" si="18"/>
        <v>69.648412881458086</v>
      </c>
      <c r="J203">
        <v>30</v>
      </c>
      <c r="K203">
        <v>70</v>
      </c>
    </row>
    <row r="204" spans="1:11" x14ac:dyDescent="0.25">
      <c r="A204" vm="403">
        <f ca="1"/>
        <v>45586</v>
      </c>
      <c r="B204" vm="404">
        <f ca="1"/>
        <v>231.75</v>
      </c>
      <c r="C204">
        <f t="shared" ca="1" si="21"/>
        <v>-0.44999999999998863</v>
      </c>
      <c r="D204">
        <f t="shared" ca="1" si="22"/>
        <v>0</v>
      </c>
      <c r="E204">
        <f t="shared" ca="1" si="23"/>
        <v>0.44999999999998863</v>
      </c>
      <c r="F204">
        <f t="shared" ca="1" si="19"/>
        <v>1.0986195883802137</v>
      </c>
      <c r="G204">
        <f t="shared" ca="1" si="20"/>
        <v>0.51090248377802161</v>
      </c>
      <c r="H204">
        <f t="shared" ca="1" si="17"/>
        <v>2.1503508463222603</v>
      </c>
      <c r="I204">
        <f t="shared" ca="1" si="18"/>
        <v>68.257503726373642</v>
      </c>
      <c r="J204">
        <v>30</v>
      </c>
      <c r="K204">
        <v>70</v>
      </c>
    </row>
    <row r="205" spans="1:11" x14ac:dyDescent="0.25">
      <c r="A205" vm="405">
        <f ca="1"/>
        <v>45587</v>
      </c>
      <c r="B205" vm="406">
        <f ca="1"/>
        <v>232.25</v>
      </c>
      <c r="C205">
        <f t="shared" ca="1" si="21"/>
        <v>0.5</v>
      </c>
      <c r="D205">
        <f t="shared" ca="1" si="22"/>
        <v>0.5</v>
      </c>
      <c r="E205">
        <f t="shared" ca="1" si="23"/>
        <v>0</v>
      </c>
      <c r="F205">
        <f t="shared" ca="1" si="19"/>
        <v>1.0558610463530556</v>
      </c>
      <c r="G205">
        <f t="shared" ca="1" si="20"/>
        <v>0.47440944922244865</v>
      </c>
      <c r="H205">
        <f t="shared" ca="1" si="17"/>
        <v>2.2256324111663437</v>
      </c>
      <c r="I205">
        <f t="shared" ca="1" si="18"/>
        <v>68.998327381066531</v>
      </c>
      <c r="J205">
        <v>30</v>
      </c>
      <c r="K205">
        <v>70</v>
      </c>
    </row>
    <row r="206" spans="1:11" x14ac:dyDescent="0.25">
      <c r="A206" vm="407">
        <f ca="1"/>
        <v>45588</v>
      </c>
      <c r="B206" vm="408">
        <f ca="1"/>
        <v>232.75</v>
      </c>
      <c r="C206">
        <f t="shared" ca="1" si="21"/>
        <v>0.5</v>
      </c>
      <c r="D206">
        <f t="shared" ca="1" si="22"/>
        <v>0.5</v>
      </c>
      <c r="E206">
        <f t="shared" ca="1" si="23"/>
        <v>0</v>
      </c>
      <c r="F206">
        <f t="shared" ca="1" si="19"/>
        <v>1.0161566858992659</v>
      </c>
      <c r="G206">
        <f t="shared" ca="1" si="20"/>
        <v>0.44052305999227376</v>
      </c>
      <c r="H206">
        <f t="shared" ca="1" si="17"/>
        <v>2.3067048656138183</v>
      </c>
      <c r="I206">
        <f t="shared" ca="1" si="18"/>
        <v>69.758413869984992</v>
      </c>
      <c r="J206">
        <v>30</v>
      </c>
      <c r="K206">
        <v>70</v>
      </c>
    </row>
    <row r="207" spans="1:11" x14ac:dyDescent="0.25">
      <c r="A207" vm="409">
        <f ca="1"/>
        <v>45589</v>
      </c>
      <c r="B207" vm="410">
        <f ca="1"/>
        <v>218.39</v>
      </c>
      <c r="C207">
        <f t="shared" ca="1" si="21"/>
        <v>-14.360000000000014</v>
      </c>
      <c r="D207">
        <f t="shared" ca="1" si="22"/>
        <v>0</v>
      </c>
      <c r="E207">
        <f t="shared" ca="1" si="23"/>
        <v>14.360000000000014</v>
      </c>
      <c r="F207">
        <f t="shared" ca="1" si="19"/>
        <v>0.94357406547788969</v>
      </c>
      <c r="G207">
        <f t="shared" ca="1" si="20"/>
        <v>1.4347714128499693</v>
      </c>
      <c r="H207">
        <f t="shared" ca="1" si="17"/>
        <v>0.65764766221792359</v>
      </c>
      <c r="I207">
        <f t="shared" ca="1" si="18"/>
        <v>39.673549283566963</v>
      </c>
      <c r="J207">
        <v>30</v>
      </c>
      <c r="K207">
        <v>70</v>
      </c>
    </row>
    <row r="208" spans="1:11" x14ac:dyDescent="0.25">
      <c r="A208" vm="411">
        <f ca="1"/>
        <v>45590</v>
      </c>
      <c r="B208" vm="412">
        <f ca="1"/>
        <v>214.67</v>
      </c>
      <c r="C208">
        <f t="shared" ca="1" si="21"/>
        <v>-3.7199999999999989</v>
      </c>
      <c r="D208">
        <f t="shared" ca="1" si="22"/>
        <v>0</v>
      </c>
      <c r="E208">
        <f t="shared" ca="1" si="23"/>
        <v>3.7199999999999989</v>
      </c>
      <c r="F208">
        <f t="shared" ca="1" si="19"/>
        <v>0.87617591794375471</v>
      </c>
      <c r="G208">
        <f t="shared" ca="1" si="20"/>
        <v>1.5980020262178287</v>
      </c>
      <c r="H208">
        <f t="shared" ca="1" si="17"/>
        <v>0.54829462264043483</v>
      </c>
      <c r="I208">
        <f t="shared" ca="1" si="18"/>
        <v>35.412809333754751</v>
      </c>
      <c r="J208">
        <v>30</v>
      </c>
      <c r="K208">
        <v>70</v>
      </c>
    </row>
    <row r="209" spans="1:11" x14ac:dyDescent="0.25">
      <c r="A209" vm="413">
        <f ca="1"/>
        <v>45593</v>
      </c>
      <c r="B209" vm="414">
        <f ca="1"/>
        <v>212.91</v>
      </c>
      <c r="C209">
        <f t="shared" ca="1" si="21"/>
        <v>-1.7599999999999909</v>
      </c>
      <c r="D209">
        <f t="shared" ca="1" si="22"/>
        <v>0</v>
      </c>
      <c r="E209">
        <f t="shared" ca="1" si="23"/>
        <v>1.7599999999999909</v>
      </c>
      <c r="F209">
        <f t="shared" ca="1" si="19"/>
        <v>0.81359192380491507</v>
      </c>
      <c r="G209">
        <f t="shared" ca="1" si="20"/>
        <v>1.6095733100594118</v>
      </c>
      <c r="H209">
        <f t="shared" ref="H209:H272" ca="1" si="24">IF(G209=0,NA(),F209/G209)</f>
        <v>0.5054705608748471</v>
      </c>
      <c r="I209">
        <f t="shared" ref="I209:I272" ca="1" si="25">IF(H209=0,100,100-(100/(1+H209)))</f>
        <v>33.57558586739232</v>
      </c>
      <c r="J209">
        <v>30</v>
      </c>
      <c r="K209">
        <v>70</v>
      </c>
    </row>
    <row r="210" spans="1:11" x14ac:dyDescent="0.25">
      <c r="A210" vm="415">
        <f ca="1"/>
        <v>45594</v>
      </c>
      <c r="B210" vm="416">
        <f ca="1"/>
        <v>210.43</v>
      </c>
      <c r="C210">
        <f t="shared" ca="1" si="21"/>
        <v>-2.4799999999999898</v>
      </c>
      <c r="D210">
        <f t="shared" ca="1" si="22"/>
        <v>0</v>
      </c>
      <c r="E210">
        <f t="shared" ca="1" si="23"/>
        <v>2.4799999999999898</v>
      </c>
      <c r="F210">
        <f t="shared" ref="F210:F273" ca="1" si="26">(F209*($E$1-1)+D210)/$E$1</f>
        <v>0.75547821496170686</v>
      </c>
      <c r="G210">
        <f t="shared" ref="G210:G273" ca="1" si="27">(G209*($E$1-1)+E210)/$E$1</f>
        <v>1.6717466450551675</v>
      </c>
      <c r="H210">
        <f t="shared" ca="1" si="24"/>
        <v>0.45190951463627799</v>
      </c>
      <c r="I210">
        <f t="shared" ca="1" si="25"/>
        <v>31.125184460926079</v>
      </c>
      <c r="J210">
        <v>30</v>
      </c>
      <c r="K210">
        <v>70</v>
      </c>
    </row>
    <row r="211" spans="1:11" x14ac:dyDescent="0.25">
      <c r="A211" vm="417">
        <f ca="1"/>
        <v>45595</v>
      </c>
      <c r="B211" vm="418">
        <f ca="1"/>
        <v>204.9</v>
      </c>
      <c r="C211">
        <f t="shared" ca="1" si="21"/>
        <v>-5.5300000000000011</v>
      </c>
      <c r="D211">
        <f t="shared" ca="1" si="22"/>
        <v>0</v>
      </c>
      <c r="E211">
        <f t="shared" ca="1" si="23"/>
        <v>5.5300000000000011</v>
      </c>
      <c r="F211">
        <f t="shared" ca="1" si="26"/>
        <v>0.70151548532158503</v>
      </c>
      <c r="G211">
        <f t="shared" ca="1" si="27"/>
        <v>1.9473361704083698</v>
      </c>
      <c r="H211">
        <f t="shared" ca="1" si="24"/>
        <v>0.36024364769770201</v>
      </c>
      <c r="I211">
        <f t="shared" ca="1" si="25"/>
        <v>26.483758869775798</v>
      </c>
      <c r="J211">
        <v>30</v>
      </c>
      <c r="K211">
        <v>70</v>
      </c>
    </row>
    <row r="212" spans="1:11" x14ac:dyDescent="0.25">
      <c r="A212" vm="419">
        <f ca="1"/>
        <v>45596</v>
      </c>
      <c r="B212" vm="420">
        <f ca="1"/>
        <v>206.72</v>
      </c>
      <c r="C212">
        <f t="shared" ca="1" si="21"/>
        <v>1.8199999999999932</v>
      </c>
      <c r="D212">
        <f t="shared" ca="1" si="22"/>
        <v>1.8199999999999932</v>
      </c>
      <c r="E212">
        <f t="shared" ca="1" si="23"/>
        <v>0</v>
      </c>
      <c r="F212">
        <f t="shared" ca="1" si="26"/>
        <v>0.78140723637004272</v>
      </c>
      <c r="G212">
        <f t="shared" ca="1" si="27"/>
        <v>1.8082407296649148</v>
      </c>
      <c r="H212">
        <f t="shared" ca="1" si="24"/>
        <v>0.43213673022111682</v>
      </c>
      <c r="I212">
        <f t="shared" ca="1" si="25"/>
        <v>30.174264866064604</v>
      </c>
      <c r="J212">
        <v>30</v>
      </c>
      <c r="K212">
        <v>70</v>
      </c>
    </row>
    <row r="213" spans="1:11" x14ac:dyDescent="0.25">
      <c r="A213" vm="421">
        <f ca="1"/>
        <v>45597</v>
      </c>
      <c r="B213" vm="422">
        <f ca="1"/>
        <v>208.25</v>
      </c>
      <c r="C213">
        <f t="shared" ca="1" si="21"/>
        <v>1.5300000000000011</v>
      </c>
      <c r="D213">
        <f t="shared" ca="1" si="22"/>
        <v>1.5300000000000011</v>
      </c>
      <c r="E213">
        <f t="shared" ca="1" si="23"/>
        <v>0</v>
      </c>
      <c r="F213">
        <f t="shared" ca="1" si="26"/>
        <v>0.83487814805789695</v>
      </c>
      <c r="G213">
        <f t="shared" ca="1" si="27"/>
        <v>1.6790806775459923</v>
      </c>
      <c r="H213">
        <f t="shared" ca="1" si="24"/>
        <v>0.49722336706184178</v>
      </c>
      <c r="I213">
        <f t="shared" ca="1" si="25"/>
        <v>33.20969856605933</v>
      </c>
      <c r="J213">
        <v>30</v>
      </c>
      <c r="K213">
        <v>70</v>
      </c>
    </row>
    <row r="214" spans="1:11" x14ac:dyDescent="0.25">
      <c r="A214" vm="423">
        <f ca="1"/>
        <v>45600</v>
      </c>
      <c r="B214" vm="424">
        <f ca="1"/>
        <v>206.32</v>
      </c>
      <c r="C214">
        <f t="shared" ca="1" si="21"/>
        <v>-1.9300000000000068</v>
      </c>
      <c r="D214">
        <f t="shared" ca="1" si="22"/>
        <v>0</v>
      </c>
      <c r="E214">
        <f t="shared" ca="1" si="23"/>
        <v>1.9300000000000068</v>
      </c>
      <c r="F214">
        <f t="shared" ca="1" si="26"/>
        <v>0.77524399462519</v>
      </c>
      <c r="G214">
        <f t="shared" ca="1" si="27"/>
        <v>1.6970034862927077</v>
      </c>
      <c r="H214">
        <f t="shared" ca="1" si="24"/>
        <v>0.4568311148958194</v>
      </c>
      <c r="I214">
        <f t="shared" ca="1" si="25"/>
        <v>31.357863668946152</v>
      </c>
      <c r="J214">
        <v>30</v>
      </c>
      <c r="K214">
        <v>70</v>
      </c>
    </row>
    <row r="215" spans="1:11" x14ac:dyDescent="0.25">
      <c r="A215" vm="425">
        <f ca="1"/>
        <v>45601</v>
      </c>
      <c r="B215" vm="426">
        <f ca="1"/>
        <v>207.57</v>
      </c>
      <c r="C215">
        <f t="shared" ca="1" si="21"/>
        <v>1.25</v>
      </c>
      <c r="D215">
        <f t="shared" ca="1" si="22"/>
        <v>1.25</v>
      </c>
      <c r="E215">
        <f t="shared" ca="1" si="23"/>
        <v>0</v>
      </c>
      <c r="F215">
        <f t="shared" ca="1" si="26"/>
        <v>0.80915513786624782</v>
      </c>
      <c r="G215">
        <f t="shared" ca="1" si="27"/>
        <v>1.5757889515575143</v>
      </c>
      <c r="H215">
        <f t="shared" ca="1" si="24"/>
        <v>0.51349207459950563</v>
      </c>
      <c r="I215">
        <f t="shared" ca="1" si="25"/>
        <v>33.927635513742871</v>
      </c>
      <c r="J215">
        <v>30</v>
      </c>
      <c r="K215">
        <v>70</v>
      </c>
    </row>
    <row r="216" spans="1:11" x14ac:dyDescent="0.25">
      <c r="A216" vm="427">
        <f ca="1"/>
        <v>45602</v>
      </c>
      <c r="B216" vm="428">
        <f ca="1"/>
        <v>213.6</v>
      </c>
      <c r="C216">
        <f t="shared" ca="1" si="21"/>
        <v>6.0300000000000011</v>
      </c>
      <c r="D216">
        <f t="shared" ca="1" si="22"/>
        <v>6.0300000000000011</v>
      </c>
      <c r="E216">
        <f t="shared" ca="1" si="23"/>
        <v>0</v>
      </c>
      <c r="F216">
        <f t="shared" ca="1" si="26"/>
        <v>1.1820726280186589</v>
      </c>
      <c r="G216">
        <f t="shared" ca="1" si="27"/>
        <v>1.4632325978748348</v>
      </c>
      <c r="H216">
        <f t="shared" ca="1" si="24"/>
        <v>0.80785011879551738</v>
      </c>
      <c r="I216">
        <f t="shared" ca="1" si="25"/>
        <v>44.685679990648154</v>
      </c>
      <c r="J216">
        <v>30</v>
      </c>
      <c r="K216">
        <v>70</v>
      </c>
    </row>
    <row r="217" spans="1:11" x14ac:dyDescent="0.25">
      <c r="A217" vm="429">
        <f ca="1"/>
        <v>45603</v>
      </c>
      <c r="B217" vm="430">
        <f ca="1"/>
        <v>213.69</v>
      </c>
      <c r="C217">
        <f t="shared" ca="1" si="21"/>
        <v>9.0000000000003411E-2</v>
      </c>
      <c r="D217">
        <f t="shared" ca="1" si="22"/>
        <v>9.0000000000003411E-2</v>
      </c>
      <c r="E217">
        <f t="shared" ca="1" si="23"/>
        <v>0</v>
      </c>
      <c r="F217">
        <f t="shared" ca="1" si="26"/>
        <v>1.1040674403030406</v>
      </c>
      <c r="G217">
        <f t="shared" ca="1" si="27"/>
        <v>1.3587159837409182</v>
      </c>
      <c r="H217">
        <f t="shared" ca="1" si="24"/>
        <v>0.81258147656675073</v>
      </c>
      <c r="I217">
        <f t="shared" ca="1" si="25"/>
        <v>44.830066238229392</v>
      </c>
      <c r="J217">
        <v>30</v>
      </c>
      <c r="K217">
        <v>70</v>
      </c>
    </row>
    <row r="218" spans="1:11" x14ac:dyDescent="0.25">
      <c r="A218" vm="431">
        <f ca="1"/>
        <v>45604</v>
      </c>
      <c r="B218" vm="432">
        <f ca="1"/>
        <v>213.72</v>
      </c>
      <c r="C218">
        <f t="shared" ca="1" si="21"/>
        <v>3.0000000000001137E-2</v>
      </c>
      <c r="D218">
        <f t="shared" ca="1" si="22"/>
        <v>3.0000000000001137E-2</v>
      </c>
      <c r="E218">
        <f t="shared" ca="1" si="23"/>
        <v>0</v>
      </c>
      <c r="F218">
        <f t="shared" ca="1" si="26"/>
        <v>1.027348337424252</v>
      </c>
      <c r="G218">
        <f t="shared" ca="1" si="27"/>
        <v>1.2616648420451384</v>
      </c>
      <c r="H218">
        <f t="shared" ca="1" si="24"/>
        <v>0.81427991268975752</v>
      </c>
      <c r="I218">
        <f t="shared" ca="1" si="25"/>
        <v>44.881713510378248</v>
      </c>
      <c r="J218">
        <v>30</v>
      </c>
      <c r="K218">
        <v>70</v>
      </c>
    </row>
    <row r="219" spans="1:11" x14ac:dyDescent="0.25">
      <c r="A219" vm="433">
        <f ca="1"/>
        <v>45607</v>
      </c>
      <c r="B219" vm="434">
        <f ca="1"/>
        <v>213.57</v>
      </c>
      <c r="C219">
        <f t="shared" ca="1" si="21"/>
        <v>-0.15000000000000568</v>
      </c>
      <c r="D219">
        <f t="shared" ca="1" si="22"/>
        <v>0</v>
      </c>
      <c r="E219">
        <f t="shared" ca="1" si="23"/>
        <v>0.15000000000000568</v>
      </c>
      <c r="F219">
        <f t="shared" ca="1" si="26"/>
        <v>0.95396631332251969</v>
      </c>
      <c r="G219">
        <f t="shared" ca="1" si="27"/>
        <v>1.1822602104704862</v>
      </c>
      <c r="H219">
        <f t="shared" ca="1" si="24"/>
        <v>0.80690046478252375</v>
      </c>
      <c r="I219">
        <f t="shared" ca="1" si="25"/>
        <v>44.656608402590749</v>
      </c>
      <c r="J219">
        <v>30</v>
      </c>
      <c r="K219">
        <v>70</v>
      </c>
    </row>
    <row r="220" spans="1:11" x14ac:dyDescent="0.25">
      <c r="A220" vm="435">
        <f ca="1"/>
        <v>45608</v>
      </c>
      <c r="B220" vm="436">
        <f ca="1"/>
        <v>210.86</v>
      </c>
      <c r="C220">
        <f t="shared" ca="1" si="21"/>
        <v>-2.7099999999999795</v>
      </c>
      <c r="D220">
        <f t="shared" ca="1" si="22"/>
        <v>0</v>
      </c>
      <c r="E220">
        <f t="shared" ca="1" si="23"/>
        <v>2.7099999999999795</v>
      </c>
      <c r="F220">
        <f t="shared" ca="1" si="26"/>
        <v>0.8858258623709111</v>
      </c>
      <c r="G220">
        <f t="shared" ca="1" si="27"/>
        <v>1.2913844811511643</v>
      </c>
      <c r="H220">
        <f t="shared" ca="1" si="24"/>
        <v>0.68595052465031126</v>
      </c>
      <c r="I220">
        <f t="shared" ca="1" si="25"/>
        <v>40.686278429943052</v>
      </c>
      <c r="J220">
        <v>30</v>
      </c>
      <c r="K220">
        <v>70</v>
      </c>
    </row>
    <row r="221" spans="1:11" x14ac:dyDescent="0.25">
      <c r="A221" vm="437">
        <f ca="1"/>
        <v>45609</v>
      </c>
      <c r="B221" vm="438">
        <f ca="1"/>
        <v>210.92</v>
      </c>
      <c r="C221">
        <f t="shared" ca="1" si="21"/>
        <v>5.9999999999973852E-2</v>
      </c>
      <c r="D221">
        <f t="shared" ca="1" si="22"/>
        <v>5.9999999999973852E-2</v>
      </c>
      <c r="E221">
        <f t="shared" ca="1" si="23"/>
        <v>0</v>
      </c>
      <c r="F221">
        <f t="shared" ca="1" si="26"/>
        <v>0.82683830077298703</v>
      </c>
      <c r="G221">
        <f t="shared" ca="1" si="27"/>
        <v>1.1991427324975097</v>
      </c>
      <c r="H221">
        <f t="shared" ca="1" si="24"/>
        <v>0.68952450643710517</v>
      </c>
      <c r="I221">
        <f t="shared" ca="1" si="25"/>
        <v>40.81174933006357</v>
      </c>
      <c r="J221">
        <v>30</v>
      </c>
      <c r="K221">
        <v>70</v>
      </c>
    </row>
    <row r="222" spans="1:11" x14ac:dyDescent="0.25">
      <c r="A222" vm="439">
        <f ca="1"/>
        <v>45610</v>
      </c>
      <c r="B222" vm="440">
        <f ca="1"/>
        <v>208.99</v>
      </c>
      <c r="C222">
        <f t="shared" ca="1" si="21"/>
        <v>-1.9299999999999784</v>
      </c>
      <c r="D222">
        <f t="shared" ca="1" si="22"/>
        <v>0</v>
      </c>
      <c r="E222">
        <f t="shared" ca="1" si="23"/>
        <v>1.9299999999999784</v>
      </c>
      <c r="F222">
        <f t="shared" ca="1" si="26"/>
        <v>0.76777842214634517</v>
      </c>
      <c r="G222">
        <f t="shared" ca="1" si="27"/>
        <v>1.2513468230334002</v>
      </c>
      <c r="H222">
        <f t="shared" ca="1" si="24"/>
        <v>0.61356165054638268</v>
      </c>
      <c r="I222">
        <f t="shared" ca="1" si="25"/>
        <v>38.025299519148781</v>
      </c>
      <c r="J222">
        <v>30</v>
      </c>
      <c r="K222">
        <v>70</v>
      </c>
    </row>
    <row r="223" spans="1:11" x14ac:dyDescent="0.25">
      <c r="A223" vm="441">
        <f ca="1"/>
        <v>45611</v>
      </c>
      <c r="B223" vm="442">
        <f ca="1"/>
        <v>204.99</v>
      </c>
      <c r="C223">
        <f t="shared" ca="1" si="21"/>
        <v>-4</v>
      </c>
      <c r="D223">
        <f t="shared" ca="1" si="22"/>
        <v>0</v>
      </c>
      <c r="E223">
        <f t="shared" ca="1" si="23"/>
        <v>4</v>
      </c>
      <c r="F223">
        <f t="shared" ca="1" si="26"/>
        <v>0.71293710627874918</v>
      </c>
      <c r="G223">
        <f t="shared" ca="1" si="27"/>
        <v>1.4476791928167287</v>
      </c>
      <c r="H223">
        <f t="shared" ca="1" si="24"/>
        <v>0.49246898747753476</v>
      </c>
      <c r="I223">
        <f t="shared" ca="1" si="25"/>
        <v>32.996932707450824</v>
      </c>
      <c r="J223">
        <v>30</v>
      </c>
      <c r="K223">
        <v>70</v>
      </c>
    </row>
    <row r="224" spans="1:11" x14ac:dyDescent="0.25">
      <c r="A224" vm="443">
        <f ca="1"/>
        <v>45614</v>
      </c>
      <c r="B224" vm="444">
        <f ca="1"/>
        <v>208.09</v>
      </c>
      <c r="C224">
        <f t="shared" ca="1" si="21"/>
        <v>3.0999999999999943</v>
      </c>
      <c r="D224">
        <f t="shared" ca="1" si="22"/>
        <v>3.0999999999999943</v>
      </c>
      <c r="E224">
        <f t="shared" ca="1" si="23"/>
        <v>0</v>
      </c>
      <c r="F224">
        <f t="shared" ca="1" si="26"/>
        <v>0.88344159868740957</v>
      </c>
      <c r="G224">
        <f t="shared" ca="1" si="27"/>
        <v>1.3442735361869624</v>
      </c>
      <c r="H224">
        <f t="shared" ca="1" si="24"/>
        <v>0.65718886439830948</v>
      </c>
      <c r="I224">
        <f t="shared" ca="1" si="25"/>
        <v>39.656847720668274</v>
      </c>
      <c r="J224">
        <v>30</v>
      </c>
      <c r="K224">
        <v>70</v>
      </c>
    </row>
    <row r="225" spans="1:11" x14ac:dyDescent="0.25">
      <c r="A225" vm="445">
        <f ca="1"/>
        <v>45615</v>
      </c>
      <c r="B225" vm="446">
        <f ca="1"/>
        <v>210.25</v>
      </c>
      <c r="C225">
        <f t="shared" ca="1" si="21"/>
        <v>2.1599999999999966</v>
      </c>
      <c r="D225">
        <f t="shared" ca="1" si="22"/>
        <v>2.1599999999999966</v>
      </c>
      <c r="E225">
        <f t="shared" ca="1" si="23"/>
        <v>0</v>
      </c>
      <c r="F225">
        <f t="shared" ca="1" si="26"/>
        <v>0.97462434163830858</v>
      </c>
      <c r="G225">
        <f t="shared" ca="1" si="27"/>
        <v>1.2482539978878937</v>
      </c>
      <c r="H225">
        <f t="shared" ca="1" si="24"/>
        <v>0.78079008221677659</v>
      </c>
      <c r="I225">
        <f t="shared" ca="1" si="25"/>
        <v>43.845149971007679</v>
      </c>
      <c r="J225">
        <v>30</v>
      </c>
      <c r="K225">
        <v>70</v>
      </c>
    </row>
    <row r="226" spans="1:11" x14ac:dyDescent="0.25">
      <c r="A226" vm="447">
        <f ca="1"/>
        <v>45616</v>
      </c>
      <c r="B226" vm="448">
        <f ca="1"/>
        <v>214.6</v>
      </c>
      <c r="C226">
        <f t="shared" ca="1" si="21"/>
        <v>4.3499999999999943</v>
      </c>
      <c r="D226">
        <f t="shared" ca="1" si="22"/>
        <v>4.3499999999999943</v>
      </c>
      <c r="E226">
        <f t="shared" ca="1" si="23"/>
        <v>0</v>
      </c>
      <c r="F226">
        <f t="shared" ca="1" si="26"/>
        <v>1.2157226029498578</v>
      </c>
      <c r="G226">
        <f t="shared" ca="1" si="27"/>
        <v>1.1590929980387585</v>
      </c>
      <c r="H226">
        <f t="shared" ca="1" si="24"/>
        <v>1.0488568259897344</v>
      </c>
      <c r="I226">
        <f t="shared" ca="1" si="25"/>
        <v>51.192294780435255</v>
      </c>
      <c r="J226">
        <v>30</v>
      </c>
      <c r="K226">
        <v>70</v>
      </c>
    </row>
    <row r="227" spans="1:11" x14ac:dyDescent="0.25">
      <c r="A227" vm="449">
        <f ca="1"/>
        <v>45617</v>
      </c>
      <c r="B227" vm="450">
        <f ca="1"/>
        <v>222.4</v>
      </c>
      <c r="C227">
        <f t="shared" ca="1" si="21"/>
        <v>7.8000000000000114</v>
      </c>
      <c r="D227">
        <f t="shared" ca="1" si="22"/>
        <v>7.8000000000000114</v>
      </c>
      <c r="E227">
        <f t="shared" ca="1" si="23"/>
        <v>0</v>
      </c>
      <c r="F227">
        <f t="shared" ca="1" si="26"/>
        <v>1.6860281313105829</v>
      </c>
      <c r="G227">
        <f t="shared" ca="1" si="27"/>
        <v>1.0763006410359901</v>
      </c>
      <c r="H227">
        <f t="shared" ca="1" si="24"/>
        <v>1.5665029518961369</v>
      </c>
      <c r="I227">
        <f t="shared" ca="1" si="25"/>
        <v>61.036475751520243</v>
      </c>
      <c r="J227">
        <v>30</v>
      </c>
      <c r="K227">
        <v>70</v>
      </c>
    </row>
    <row r="228" spans="1:11" x14ac:dyDescent="0.25">
      <c r="A228" vm="451">
        <f ca="1"/>
        <v>45618</v>
      </c>
      <c r="B228" vm="452">
        <f ca="1"/>
        <v>222.97</v>
      </c>
      <c r="C228">
        <f t="shared" ca="1" si="21"/>
        <v>0.56999999999999318</v>
      </c>
      <c r="D228">
        <f t="shared" ca="1" si="22"/>
        <v>0.56999999999999318</v>
      </c>
      <c r="E228">
        <f t="shared" ca="1" si="23"/>
        <v>0</v>
      </c>
      <c r="F228">
        <f t="shared" ca="1" si="26"/>
        <v>1.6063118362169693</v>
      </c>
      <c r="G228">
        <f t="shared" ca="1" si="27"/>
        <v>0.99942202381913359</v>
      </c>
      <c r="H228">
        <f t="shared" ca="1" si="24"/>
        <v>1.6072407831065219</v>
      </c>
      <c r="I228">
        <f t="shared" ca="1" si="25"/>
        <v>61.64527624454761</v>
      </c>
      <c r="J228">
        <v>30</v>
      </c>
      <c r="K228">
        <v>70</v>
      </c>
    </row>
    <row r="229" spans="1:11" x14ac:dyDescent="0.25">
      <c r="A229" vm="453">
        <f ca="1"/>
        <v>45621</v>
      </c>
      <c r="B229" vm="454">
        <f ca="1"/>
        <v>226.13</v>
      </c>
      <c r="C229">
        <f t="shared" ca="1" si="21"/>
        <v>3.1599999999999966</v>
      </c>
      <c r="D229">
        <f t="shared" ca="1" si="22"/>
        <v>3.1599999999999966</v>
      </c>
      <c r="E229">
        <f t="shared" ca="1" si="23"/>
        <v>0</v>
      </c>
      <c r="F229">
        <f t="shared" ca="1" si="26"/>
        <v>1.717289562201471</v>
      </c>
      <c r="G229">
        <f t="shared" ca="1" si="27"/>
        <v>0.92803473640348122</v>
      </c>
      <c r="H229">
        <f t="shared" ca="1" si="24"/>
        <v>1.8504582801034786</v>
      </c>
      <c r="I229">
        <f t="shared" ca="1" si="25"/>
        <v>64.917921901186446</v>
      </c>
      <c r="J229">
        <v>30</v>
      </c>
      <c r="K229">
        <v>70</v>
      </c>
    </row>
    <row r="230" spans="1:11" x14ac:dyDescent="0.25">
      <c r="A230" vm="455">
        <f ca="1"/>
        <v>45622</v>
      </c>
      <c r="B230" vm="456">
        <f ca="1"/>
        <v>228.83</v>
      </c>
      <c r="C230">
        <f t="shared" ca="1" si="21"/>
        <v>2.7000000000000171</v>
      </c>
      <c r="D230">
        <f t="shared" ca="1" si="22"/>
        <v>2.7000000000000171</v>
      </c>
      <c r="E230">
        <f t="shared" ca="1" si="23"/>
        <v>0</v>
      </c>
      <c r="F230">
        <f t="shared" ca="1" si="26"/>
        <v>1.7874831649013672</v>
      </c>
      <c r="G230">
        <f t="shared" ca="1" si="27"/>
        <v>0.86174654094608971</v>
      </c>
      <c r="H230">
        <f t="shared" ca="1" si="24"/>
        <v>2.0742562690636794</v>
      </c>
      <c r="I230">
        <f t="shared" ca="1" si="25"/>
        <v>67.471807407110916</v>
      </c>
      <c r="J230">
        <v>30</v>
      </c>
      <c r="K230">
        <v>70</v>
      </c>
    </row>
    <row r="231" spans="1:11" x14ac:dyDescent="0.25">
      <c r="A231" vm="457">
        <f ca="1"/>
        <v>45623</v>
      </c>
      <c r="B231" vm="458">
        <f ca="1"/>
        <v>226.92</v>
      </c>
      <c r="C231">
        <f t="shared" ca="1" si="21"/>
        <v>-1.910000000000025</v>
      </c>
      <c r="D231">
        <f t="shared" ca="1" si="22"/>
        <v>0</v>
      </c>
      <c r="E231">
        <f t="shared" ca="1" si="23"/>
        <v>1.910000000000025</v>
      </c>
      <c r="F231">
        <f t="shared" ca="1" si="26"/>
        <v>1.6598057959798409</v>
      </c>
      <c r="G231">
        <f t="shared" ca="1" si="27"/>
        <v>0.93662178802137075</v>
      </c>
      <c r="H231">
        <f t="shared" ca="1" si="24"/>
        <v>1.7721195654504349</v>
      </c>
      <c r="I231">
        <f t="shared" ca="1" si="25"/>
        <v>63.926519892459531</v>
      </c>
      <c r="J231">
        <v>30</v>
      </c>
      <c r="K231">
        <v>70</v>
      </c>
    </row>
    <row r="232" spans="1:11" x14ac:dyDescent="0.25">
      <c r="A232" vm="459">
        <f ca="1"/>
        <v>45625</v>
      </c>
      <c r="B232" vm="460">
        <f ca="1"/>
        <v>227.41</v>
      </c>
      <c r="C232">
        <f t="shared" ca="1" si="21"/>
        <v>0.49000000000000909</v>
      </c>
      <c r="D232">
        <f t="shared" ca="1" si="22"/>
        <v>0.49000000000000909</v>
      </c>
      <c r="E232">
        <f t="shared" ca="1" si="23"/>
        <v>0</v>
      </c>
      <c r="F232">
        <f t="shared" ca="1" si="26"/>
        <v>1.5762482391241386</v>
      </c>
      <c r="G232">
        <f t="shared" ca="1" si="27"/>
        <v>0.86972023173412993</v>
      </c>
      <c r="H232">
        <f t="shared" ca="1" si="24"/>
        <v>1.8123623915029166</v>
      </c>
      <c r="I232">
        <f t="shared" ca="1" si="25"/>
        <v>64.442704716101559</v>
      </c>
      <c r="J232">
        <v>30</v>
      </c>
      <c r="K232">
        <v>70</v>
      </c>
    </row>
    <row r="233" spans="1:11" x14ac:dyDescent="0.25">
      <c r="A233" vm="461">
        <f ca="1"/>
        <v>45628</v>
      </c>
      <c r="B233" vm="462">
        <f ca="1"/>
        <v>227.39</v>
      </c>
      <c r="C233">
        <f t="shared" ca="1" si="21"/>
        <v>-2.0000000000010232E-2</v>
      </c>
      <c r="D233">
        <f t="shared" ca="1" si="22"/>
        <v>0</v>
      </c>
      <c r="E233">
        <f t="shared" ca="1" si="23"/>
        <v>2.0000000000010232E-2</v>
      </c>
      <c r="F233">
        <f t="shared" ca="1" si="26"/>
        <v>1.4636590791867001</v>
      </c>
      <c r="G233">
        <f t="shared" ca="1" si="27"/>
        <v>0.80902592946740715</v>
      </c>
      <c r="H233">
        <f t="shared" ca="1" si="24"/>
        <v>1.8091621366823767</v>
      </c>
      <c r="I233">
        <f t="shared" ca="1" si="25"/>
        <v>64.402197119850086</v>
      </c>
      <c r="J233">
        <v>30</v>
      </c>
      <c r="K233">
        <v>70</v>
      </c>
    </row>
    <row r="234" spans="1:11" x14ac:dyDescent="0.25">
      <c r="A234" vm="463">
        <f ca="1"/>
        <v>45629</v>
      </c>
      <c r="B234" vm="464">
        <f ca="1"/>
        <v>229</v>
      </c>
      <c r="C234">
        <f t="shared" ca="1" si="21"/>
        <v>1.6100000000000136</v>
      </c>
      <c r="D234">
        <f t="shared" ca="1" si="22"/>
        <v>1.6100000000000136</v>
      </c>
      <c r="E234">
        <f t="shared" ca="1" si="23"/>
        <v>0</v>
      </c>
      <c r="F234">
        <f t="shared" ca="1" si="26"/>
        <v>1.4741120021019367</v>
      </c>
      <c r="G234">
        <f t="shared" ca="1" si="27"/>
        <v>0.75123836307687797</v>
      </c>
      <c r="H234">
        <f t="shared" ca="1" si="24"/>
        <v>1.962242710907834</v>
      </c>
      <c r="I234">
        <f t="shared" ca="1" si="25"/>
        <v>66.241793884150312</v>
      </c>
      <c r="J234">
        <v>30</v>
      </c>
      <c r="K234">
        <v>70</v>
      </c>
    </row>
    <row r="235" spans="1:11" x14ac:dyDescent="0.25">
      <c r="A235" vm="465">
        <f ca="1"/>
        <v>45630</v>
      </c>
      <c r="B235" vm="466">
        <f ca="1"/>
        <v>233.49</v>
      </c>
      <c r="C235">
        <f t="shared" ca="1" si="21"/>
        <v>4.4900000000000091</v>
      </c>
      <c r="D235">
        <f t="shared" ca="1" si="22"/>
        <v>4.4900000000000091</v>
      </c>
      <c r="E235">
        <f t="shared" ca="1" si="23"/>
        <v>0</v>
      </c>
      <c r="F235">
        <f t="shared" ca="1" si="26"/>
        <v>1.6895325733803706</v>
      </c>
      <c r="G235">
        <f t="shared" ca="1" si="27"/>
        <v>0.69757847999995815</v>
      </c>
      <c r="H235">
        <f t="shared" ca="1" si="24"/>
        <v>2.4219964087488361</v>
      </c>
      <c r="I235">
        <f t="shared" ca="1" si="25"/>
        <v>70.77729253475097</v>
      </c>
      <c r="J235">
        <v>30</v>
      </c>
      <c r="K235">
        <v>70</v>
      </c>
    </row>
    <row r="236" spans="1:11" x14ac:dyDescent="0.25">
      <c r="A236" vm="467">
        <f ca="1"/>
        <v>45631</v>
      </c>
      <c r="B236" vm="468">
        <f ca="1"/>
        <v>234.75</v>
      </c>
      <c r="C236">
        <f t="shared" ca="1" si="21"/>
        <v>1.2599999999999909</v>
      </c>
      <c r="D236">
        <f t="shared" ca="1" si="22"/>
        <v>1.2599999999999909</v>
      </c>
      <c r="E236">
        <f t="shared" ca="1" si="23"/>
        <v>0</v>
      </c>
      <c r="F236">
        <f t="shared" ca="1" si="26"/>
        <v>1.6588516752817719</v>
      </c>
      <c r="G236">
        <f t="shared" ca="1" si="27"/>
        <v>0.64775144571424692</v>
      </c>
      <c r="H236">
        <f t="shared" ca="1" si="24"/>
        <v>2.5609385918894083</v>
      </c>
      <c r="I236">
        <f t="shared" ca="1" si="25"/>
        <v>71.917516289731708</v>
      </c>
      <c r="J236">
        <v>30</v>
      </c>
      <c r="K236">
        <v>70</v>
      </c>
    </row>
    <row r="237" spans="1:11" x14ac:dyDescent="0.25">
      <c r="A237" vm="469">
        <f ca="1"/>
        <v>45632</v>
      </c>
      <c r="B237" vm="470">
        <f ca="1"/>
        <v>238.04</v>
      </c>
      <c r="C237">
        <f t="shared" ca="1" si="21"/>
        <v>3.289999999999992</v>
      </c>
      <c r="D237">
        <f t="shared" ca="1" si="22"/>
        <v>3.289999999999992</v>
      </c>
      <c r="E237">
        <f t="shared" ca="1" si="23"/>
        <v>0</v>
      </c>
      <c r="F237">
        <f t="shared" ca="1" si="26"/>
        <v>1.775362269904502</v>
      </c>
      <c r="G237">
        <f t="shared" ca="1" si="27"/>
        <v>0.60148348530608653</v>
      </c>
      <c r="H237">
        <f t="shared" ca="1" si="24"/>
        <v>2.9516392607205915</v>
      </c>
      <c r="I237">
        <f t="shared" ca="1" si="25"/>
        <v>74.694046343247251</v>
      </c>
      <c r="J237">
        <v>30</v>
      </c>
      <c r="K237">
        <v>70</v>
      </c>
    </row>
    <row r="238" spans="1:11" x14ac:dyDescent="0.25">
      <c r="A238" vm="471">
        <f ca="1"/>
        <v>45635</v>
      </c>
      <c r="B238" vm="472">
        <f ca="1"/>
        <v>230</v>
      </c>
      <c r="C238">
        <f t="shared" ca="1" si="21"/>
        <v>-8.039999999999992</v>
      </c>
      <c r="D238">
        <f t="shared" ca="1" si="22"/>
        <v>0</v>
      </c>
      <c r="E238">
        <f t="shared" ca="1" si="23"/>
        <v>8.039999999999992</v>
      </c>
      <c r="F238">
        <f t="shared" ca="1" si="26"/>
        <v>1.6485506791970377</v>
      </c>
      <c r="G238">
        <f t="shared" ca="1" si="27"/>
        <v>1.1328060934985085</v>
      </c>
      <c r="H238">
        <f t="shared" ca="1" si="24"/>
        <v>1.4552805538904954</v>
      </c>
      <c r="I238">
        <f t="shared" ca="1" si="25"/>
        <v>59.271456843680944</v>
      </c>
      <c r="J238">
        <v>30</v>
      </c>
      <c r="K238">
        <v>70</v>
      </c>
    </row>
    <row r="239" spans="1:11" x14ac:dyDescent="0.25">
      <c r="A239" vm="473">
        <f ca="1"/>
        <v>45636</v>
      </c>
      <c r="B239" vm="474">
        <f ca="1"/>
        <v>231.72</v>
      </c>
      <c r="C239">
        <f t="shared" ca="1" si="21"/>
        <v>1.7199999999999989</v>
      </c>
      <c r="D239">
        <f t="shared" ca="1" si="22"/>
        <v>1.7199999999999989</v>
      </c>
      <c r="E239">
        <f t="shared" ca="1" si="23"/>
        <v>0</v>
      </c>
      <c r="F239">
        <f t="shared" ca="1" si="26"/>
        <v>1.6536542021115348</v>
      </c>
      <c r="G239">
        <f t="shared" ca="1" si="27"/>
        <v>1.0518913725343293</v>
      </c>
      <c r="H239">
        <f t="shared" ca="1" si="24"/>
        <v>1.5720769703884672</v>
      </c>
      <c r="I239">
        <f t="shared" ca="1" si="25"/>
        <v>61.120914672745293</v>
      </c>
      <c r="J239">
        <v>30</v>
      </c>
      <c r="K239">
        <v>70</v>
      </c>
    </row>
    <row r="240" spans="1:11" x14ac:dyDescent="0.25">
      <c r="A240" vm="475">
        <f ca="1"/>
        <v>45637</v>
      </c>
      <c r="B240" vm="476">
        <f ca="1"/>
        <v>230.12</v>
      </c>
      <c r="C240">
        <f t="shared" ca="1" si="21"/>
        <v>-1.5999999999999943</v>
      </c>
      <c r="D240">
        <f t="shared" ca="1" si="22"/>
        <v>0</v>
      </c>
      <c r="E240">
        <f t="shared" ca="1" si="23"/>
        <v>1.5999999999999943</v>
      </c>
      <c r="F240">
        <f t="shared" ca="1" si="26"/>
        <v>1.5355360448178537</v>
      </c>
      <c r="G240">
        <f t="shared" ca="1" si="27"/>
        <v>1.0910419887818767</v>
      </c>
      <c r="H240">
        <f t="shared" ca="1" si="24"/>
        <v>1.407403253592691</v>
      </c>
      <c r="I240">
        <f t="shared" ca="1" si="25"/>
        <v>58.461466789676855</v>
      </c>
      <c r="J240">
        <v>30</v>
      </c>
      <c r="K240">
        <v>70</v>
      </c>
    </row>
    <row r="241" spans="1:11" x14ac:dyDescent="0.25">
      <c r="A241" vm="477">
        <f ca="1"/>
        <v>45638</v>
      </c>
      <c r="B241" vm="478">
        <f ca="1"/>
        <v>232.26</v>
      </c>
      <c r="C241">
        <f t="shared" ca="1" si="21"/>
        <v>2.1399999999999864</v>
      </c>
      <c r="D241">
        <f t="shared" ca="1" si="22"/>
        <v>2.1399999999999864</v>
      </c>
      <c r="E241">
        <f t="shared" ca="1" si="23"/>
        <v>0</v>
      </c>
      <c r="F241">
        <f t="shared" ca="1" si="26"/>
        <v>1.5787120416165774</v>
      </c>
      <c r="G241">
        <f t="shared" ca="1" si="27"/>
        <v>1.0131104181545998</v>
      </c>
      <c r="H241">
        <f t="shared" ca="1" si="24"/>
        <v>1.5582823089434139</v>
      </c>
      <c r="I241">
        <f t="shared" ca="1" si="25"/>
        <v>60.911272516557958</v>
      </c>
      <c r="J241">
        <v>30</v>
      </c>
      <c r="K241">
        <v>70</v>
      </c>
    </row>
    <row r="242" spans="1:11" x14ac:dyDescent="0.25">
      <c r="A242" vm="479">
        <f ca="1"/>
        <v>45639</v>
      </c>
      <c r="B242" vm="480">
        <f ca="1"/>
        <v>230.82</v>
      </c>
      <c r="C242">
        <f t="shared" ca="1" si="21"/>
        <v>-1.4399999999999977</v>
      </c>
      <c r="D242">
        <f t="shared" ca="1" si="22"/>
        <v>0</v>
      </c>
      <c r="E242">
        <f t="shared" ca="1" si="23"/>
        <v>1.4399999999999977</v>
      </c>
      <c r="F242">
        <f t="shared" ca="1" si="26"/>
        <v>1.4659468957868218</v>
      </c>
      <c r="G242">
        <f t="shared" ca="1" si="27"/>
        <v>1.0436025311435568</v>
      </c>
      <c r="H242">
        <f t="shared" ca="1" si="24"/>
        <v>1.4046984862910108</v>
      </c>
      <c r="I242">
        <f t="shared" ca="1" si="25"/>
        <v>58.414744896255471</v>
      </c>
      <c r="J242">
        <v>30</v>
      </c>
      <c r="K242">
        <v>70</v>
      </c>
    </row>
    <row r="243" spans="1:11" x14ac:dyDescent="0.25">
      <c r="A243" vm="481">
        <f ca="1"/>
        <v>45642</v>
      </c>
      <c r="B243" vm="482">
        <f ca="1"/>
        <v>229.33</v>
      </c>
      <c r="C243">
        <f t="shared" ca="1" si="21"/>
        <v>-1.4899999999999807</v>
      </c>
      <c r="D243">
        <f t="shared" ca="1" si="22"/>
        <v>0</v>
      </c>
      <c r="E243">
        <f t="shared" ca="1" si="23"/>
        <v>1.4899999999999807</v>
      </c>
      <c r="F243">
        <f t="shared" ca="1" si="26"/>
        <v>1.3612364032306203</v>
      </c>
      <c r="G243">
        <f t="shared" ca="1" si="27"/>
        <v>1.0754880646333014</v>
      </c>
      <c r="H243">
        <f t="shared" ca="1" si="24"/>
        <v>1.2656917803125485</v>
      </c>
      <c r="I243">
        <f t="shared" ca="1" si="25"/>
        <v>55.863369912475399</v>
      </c>
      <c r="J243">
        <v>30</v>
      </c>
      <c r="K243">
        <v>70</v>
      </c>
    </row>
    <row r="244" spans="1:11" x14ac:dyDescent="0.25">
      <c r="A244" vm="483">
        <f ca="1"/>
        <v>45643</v>
      </c>
      <c r="B244" vm="484">
        <f ca="1"/>
        <v>228.97</v>
      </c>
      <c r="C244">
        <f t="shared" ca="1" si="21"/>
        <v>-0.36000000000001364</v>
      </c>
      <c r="D244">
        <f t="shared" ca="1" si="22"/>
        <v>0</v>
      </c>
      <c r="E244">
        <f t="shared" ca="1" si="23"/>
        <v>0.36000000000001364</v>
      </c>
      <c r="F244">
        <f t="shared" ca="1" si="26"/>
        <v>1.2640052315712904</v>
      </c>
      <c r="G244">
        <f t="shared" ca="1" si="27"/>
        <v>1.0243817743023522</v>
      </c>
      <c r="H244">
        <f t="shared" ca="1" si="24"/>
        <v>1.2339200708955722</v>
      </c>
      <c r="I244">
        <f t="shared" ca="1" si="25"/>
        <v>55.235641013820931</v>
      </c>
      <c r="J244">
        <v>30</v>
      </c>
      <c r="K244">
        <v>70</v>
      </c>
    </row>
    <row r="245" spans="1:11" x14ac:dyDescent="0.25">
      <c r="A245" vm="485">
        <f ca="1"/>
        <v>45644</v>
      </c>
      <c r="B245" vm="486">
        <f ca="1"/>
        <v>220.17</v>
      </c>
      <c r="C245">
        <f t="shared" ca="1" si="21"/>
        <v>-8.8000000000000114</v>
      </c>
      <c r="D245">
        <f t="shared" ca="1" si="22"/>
        <v>0</v>
      </c>
      <c r="E245">
        <f t="shared" ca="1" si="23"/>
        <v>8.8000000000000114</v>
      </c>
      <c r="F245">
        <f t="shared" ca="1" si="26"/>
        <v>1.1737191436019125</v>
      </c>
      <c r="G245">
        <f t="shared" ca="1" si="27"/>
        <v>1.5797830761378993</v>
      </c>
      <c r="H245">
        <f t="shared" ca="1" si="24"/>
        <v>0.74296222141542845</v>
      </c>
      <c r="I245">
        <f t="shared" ca="1" si="25"/>
        <v>42.626409929417875</v>
      </c>
      <c r="J245">
        <v>30</v>
      </c>
      <c r="K245">
        <v>70</v>
      </c>
    </row>
    <row r="246" spans="1:11" x14ac:dyDescent="0.25">
      <c r="A246" vm="487">
        <f ca="1"/>
        <v>45645</v>
      </c>
      <c r="B246" vm="488">
        <f ca="1"/>
        <v>223.92</v>
      </c>
      <c r="C246">
        <f t="shared" ca="1" si="21"/>
        <v>3.75</v>
      </c>
      <c r="D246">
        <f t="shared" ca="1" si="22"/>
        <v>3.75</v>
      </c>
      <c r="E246">
        <f t="shared" ca="1" si="23"/>
        <v>0</v>
      </c>
      <c r="F246">
        <f t="shared" ca="1" si="26"/>
        <v>1.3577392047732044</v>
      </c>
      <c r="G246">
        <f t="shared" ca="1" si="27"/>
        <v>1.4669414278423349</v>
      </c>
      <c r="H246">
        <f t="shared" ca="1" si="24"/>
        <v>0.92555788459137622</v>
      </c>
      <c r="I246">
        <f t="shared" ca="1" si="25"/>
        <v>48.066998764245895</v>
      </c>
      <c r="J246">
        <v>30</v>
      </c>
      <c r="K246">
        <v>70</v>
      </c>
    </row>
    <row r="247" spans="1:11" x14ac:dyDescent="0.25">
      <c r="A247" vm="489">
        <f ca="1"/>
        <v>45646</v>
      </c>
      <c r="B247" vm="490">
        <f ca="1"/>
        <v>223.36</v>
      </c>
      <c r="C247">
        <f t="shared" ca="1" si="21"/>
        <v>-0.55999999999997385</v>
      </c>
      <c r="D247">
        <f t="shared" ca="1" si="22"/>
        <v>0</v>
      </c>
      <c r="E247">
        <f t="shared" ca="1" si="23"/>
        <v>0.55999999999997385</v>
      </c>
      <c r="F247">
        <f t="shared" ca="1" si="26"/>
        <v>1.2607578330036897</v>
      </c>
      <c r="G247">
        <f t="shared" ca="1" si="27"/>
        <v>1.4021598972821663</v>
      </c>
      <c r="H247">
        <f t="shared" ca="1" si="24"/>
        <v>0.89915410891970382</v>
      </c>
      <c r="I247">
        <f t="shared" ca="1" si="25"/>
        <v>47.344978730092095</v>
      </c>
      <c r="J247">
        <v>30</v>
      </c>
      <c r="K247">
        <v>70</v>
      </c>
    </row>
    <row r="248" spans="1:11" x14ac:dyDescent="0.25">
      <c r="A248" vm="491">
        <f ca="1"/>
        <v>45649</v>
      </c>
      <c r="B248" vm="492">
        <f ca="1"/>
        <v>221.93</v>
      </c>
      <c r="C248">
        <f t="shared" ca="1" si="21"/>
        <v>-1.4300000000000068</v>
      </c>
      <c r="D248">
        <f t="shared" ca="1" si="22"/>
        <v>0</v>
      </c>
      <c r="E248">
        <f t="shared" ca="1" si="23"/>
        <v>1.4300000000000068</v>
      </c>
      <c r="F248">
        <f t="shared" ca="1" si="26"/>
        <v>1.1707037020748547</v>
      </c>
      <c r="G248">
        <f t="shared" ca="1" si="27"/>
        <v>1.4041484760477263</v>
      </c>
      <c r="H248">
        <f t="shared" ca="1" si="24"/>
        <v>0.83374637514833805</v>
      </c>
      <c r="I248">
        <f t="shared" ca="1" si="25"/>
        <v>45.466831533935192</v>
      </c>
      <c r="J248">
        <v>30</v>
      </c>
      <c r="K248">
        <v>70</v>
      </c>
    </row>
    <row r="249" spans="1:11" x14ac:dyDescent="0.25">
      <c r="A249" vm="493">
        <f ca="1"/>
        <v>45650</v>
      </c>
      <c r="B249" vm="494">
        <f ca="1"/>
        <v>224.41</v>
      </c>
      <c r="C249">
        <f t="shared" ca="1" si="21"/>
        <v>2.4799999999999898</v>
      </c>
      <c r="D249">
        <f t="shared" ca="1" si="22"/>
        <v>2.4799999999999898</v>
      </c>
      <c r="E249">
        <f t="shared" ca="1" si="23"/>
        <v>0</v>
      </c>
      <c r="F249">
        <f t="shared" ca="1" si="26"/>
        <v>1.2642248662123643</v>
      </c>
      <c r="G249">
        <f t="shared" ca="1" si="27"/>
        <v>1.3038521563300314</v>
      </c>
      <c r="H249">
        <f t="shared" ca="1" si="24"/>
        <v>0.96960752802740569</v>
      </c>
      <c r="I249">
        <f t="shared" ca="1" si="25"/>
        <v>49.22846375381615</v>
      </c>
      <c r="J249">
        <v>30</v>
      </c>
      <c r="K249">
        <v>70</v>
      </c>
    </row>
    <row r="250" spans="1:11" x14ac:dyDescent="0.25">
      <c r="A250" vm="495">
        <f ca="1"/>
        <v>45652</v>
      </c>
      <c r="B250" vm="496">
        <f ca="1"/>
        <v>224.89</v>
      </c>
      <c r="C250">
        <f t="shared" ca="1" si="21"/>
        <v>0.47999999999998977</v>
      </c>
      <c r="D250">
        <f t="shared" ca="1" si="22"/>
        <v>0.47999999999998977</v>
      </c>
      <c r="E250">
        <f t="shared" ca="1" si="23"/>
        <v>0</v>
      </c>
      <c r="F250">
        <f t="shared" ca="1" si="26"/>
        <v>1.2082088043400518</v>
      </c>
      <c r="G250">
        <f t="shared" ca="1" si="27"/>
        <v>1.2107198594493147</v>
      </c>
      <c r="H250">
        <f t="shared" ca="1" si="24"/>
        <v>0.99792598172924574</v>
      </c>
      <c r="I250">
        <f t="shared" ca="1" si="25"/>
        <v>49.948095718016567</v>
      </c>
      <c r="J250">
        <v>30</v>
      </c>
      <c r="K250">
        <v>70</v>
      </c>
    </row>
    <row r="251" spans="1:11" x14ac:dyDescent="0.25">
      <c r="A251" vm="497">
        <f ca="1"/>
        <v>45653</v>
      </c>
      <c r="B251" vm="498">
        <f ca="1"/>
        <v>222.78</v>
      </c>
      <c r="C251">
        <f t="shared" ca="1" si="21"/>
        <v>-2.1099999999999852</v>
      </c>
      <c r="D251">
        <f t="shared" ca="1" si="22"/>
        <v>0</v>
      </c>
      <c r="E251">
        <f t="shared" ca="1" si="23"/>
        <v>2.1099999999999852</v>
      </c>
      <c r="F251">
        <f t="shared" ca="1" si="26"/>
        <v>1.1219081754586195</v>
      </c>
      <c r="G251">
        <f t="shared" ca="1" si="27"/>
        <v>1.2749541552029342</v>
      </c>
      <c r="H251">
        <f t="shared" ca="1" si="24"/>
        <v>0.87995962119912119</v>
      </c>
      <c r="I251">
        <f t="shared" ca="1" si="25"/>
        <v>46.807368162399364</v>
      </c>
      <c r="J251">
        <v>30</v>
      </c>
      <c r="K251">
        <v>70</v>
      </c>
    </row>
    <row r="252" spans="1:11" x14ac:dyDescent="0.25">
      <c r="A252" vm="499">
        <f ca="1"/>
        <v>45656</v>
      </c>
      <c r="B252" vm="500">
        <f ca="1"/>
        <v>220.25</v>
      </c>
      <c r="C252">
        <f t="shared" ca="1" si="21"/>
        <v>-2.5300000000000011</v>
      </c>
      <c r="D252">
        <f t="shared" ca="1" si="22"/>
        <v>0</v>
      </c>
      <c r="E252">
        <f t="shared" ca="1" si="23"/>
        <v>2.5300000000000011</v>
      </c>
      <c r="F252">
        <f t="shared" ca="1" si="26"/>
        <v>1.0417718772115754</v>
      </c>
      <c r="G252">
        <f t="shared" ca="1" si="27"/>
        <v>1.3646002869741534</v>
      </c>
      <c r="H252">
        <f t="shared" ca="1" si="24"/>
        <v>0.76342639464160345</v>
      </c>
      <c r="I252">
        <f t="shared" ca="1" si="25"/>
        <v>43.292217750702385</v>
      </c>
      <c r="J252">
        <v>30</v>
      </c>
      <c r="K252">
        <v>70</v>
      </c>
    </row>
    <row r="253" spans="1:11" x14ac:dyDescent="0.25">
      <c r="A253" vm="501">
        <f ca="1"/>
        <v>45657</v>
      </c>
      <c r="B253" vm="502">
        <f ca="1"/>
        <v>219.83</v>
      </c>
      <c r="C253">
        <f t="shared" ca="1" si="21"/>
        <v>-0.41999999999998749</v>
      </c>
      <c r="D253">
        <f t="shared" ca="1" si="22"/>
        <v>0</v>
      </c>
      <c r="E253">
        <f t="shared" ca="1" si="23"/>
        <v>0.41999999999998749</v>
      </c>
      <c r="F253">
        <f t="shared" ca="1" si="26"/>
        <v>0.96735960026789147</v>
      </c>
      <c r="G253">
        <f t="shared" ca="1" si="27"/>
        <v>1.29712883790457</v>
      </c>
      <c r="H253">
        <f t="shared" ca="1" si="24"/>
        <v>0.74576986649267629</v>
      </c>
      <c r="I253">
        <f t="shared" ca="1" si="25"/>
        <v>42.718681356951059</v>
      </c>
      <c r="J253">
        <v>30</v>
      </c>
      <c r="K253">
        <v>70</v>
      </c>
    </row>
    <row r="254" spans="1:11" x14ac:dyDescent="0.25">
      <c r="A254" vm="503">
        <f ca="1"/>
        <v>45659</v>
      </c>
      <c r="B254" vm="504">
        <f ca="1"/>
        <v>219.94</v>
      </c>
      <c r="C254">
        <f t="shared" ca="1" si="21"/>
        <v>0.10999999999998522</v>
      </c>
      <c r="D254">
        <f t="shared" ca="1" si="22"/>
        <v>0.10999999999998522</v>
      </c>
      <c r="E254">
        <f t="shared" ca="1" si="23"/>
        <v>0</v>
      </c>
      <c r="F254">
        <f t="shared" ca="1" si="26"/>
        <v>0.90611962882018382</v>
      </c>
      <c r="G254">
        <f t="shared" ca="1" si="27"/>
        <v>1.2044767780542436</v>
      </c>
      <c r="H254">
        <f t="shared" ca="1" si="24"/>
        <v>0.75229314946525006</v>
      </c>
      <c r="I254">
        <f t="shared" ca="1" si="25"/>
        <v>42.931923217004446</v>
      </c>
      <c r="J254">
        <v>30</v>
      </c>
      <c r="K254">
        <v>70</v>
      </c>
    </row>
    <row r="255" spans="1:11" x14ac:dyDescent="0.25">
      <c r="A255" vm="505">
        <f ca="1"/>
        <v>45660</v>
      </c>
      <c r="B255" vm="506">
        <f ca="1"/>
        <v>222.65</v>
      </c>
      <c r="C255">
        <f t="shared" ca="1" si="21"/>
        <v>2.710000000000008</v>
      </c>
      <c r="D255">
        <f t="shared" ca="1" si="22"/>
        <v>2.710000000000008</v>
      </c>
      <c r="E255">
        <f t="shared" ca="1" si="23"/>
        <v>0</v>
      </c>
      <c r="F255">
        <f t="shared" ca="1" si="26"/>
        <v>1.0349682267615998</v>
      </c>
      <c r="G255">
        <f t="shared" ca="1" si="27"/>
        <v>1.1184427224789404</v>
      </c>
      <c r="H255">
        <f t="shared" ca="1" si="24"/>
        <v>0.92536542637398012</v>
      </c>
      <c r="I255">
        <f t="shared" ca="1" si="25"/>
        <v>48.061807576793917</v>
      </c>
      <c r="J255">
        <v>30</v>
      </c>
      <c r="K255">
        <v>70</v>
      </c>
    </row>
    <row r="256" spans="1:11" x14ac:dyDescent="0.25">
      <c r="A256" vm="507">
        <f ca="1"/>
        <v>45663</v>
      </c>
      <c r="B256" vm="508">
        <f ca="1"/>
        <v>222.67</v>
      </c>
      <c r="C256">
        <f t="shared" ca="1" si="21"/>
        <v>1.999999999998181E-2</v>
      </c>
      <c r="D256">
        <f t="shared" ca="1" si="22"/>
        <v>1.999999999998181E-2</v>
      </c>
      <c r="E256">
        <f t="shared" ca="1" si="23"/>
        <v>0</v>
      </c>
      <c r="F256">
        <f t="shared" ca="1" si="26"/>
        <v>0.96247049627862702</v>
      </c>
      <c r="G256">
        <f t="shared" ca="1" si="27"/>
        <v>1.0385539565875874</v>
      </c>
      <c r="H256">
        <f t="shared" ca="1" si="24"/>
        <v>0.9267409653332308</v>
      </c>
      <c r="I256">
        <f t="shared" ca="1" si="25"/>
        <v>48.098887292457107</v>
      </c>
      <c r="J256">
        <v>30</v>
      </c>
      <c r="K256">
        <v>70</v>
      </c>
    </row>
    <row r="257" spans="1:11" x14ac:dyDescent="0.25">
      <c r="A257" vm="509">
        <f ca="1"/>
        <v>45664</v>
      </c>
      <c r="B257" vm="510">
        <f ca="1"/>
        <v>223.96</v>
      </c>
      <c r="C257">
        <f t="shared" ca="1" si="21"/>
        <v>1.2900000000000205</v>
      </c>
      <c r="D257">
        <f t="shared" ca="1" si="22"/>
        <v>1.2900000000000205</v>
      </c>
      <c r="E257">
        <f t="shared" ca="1" si="23"/>
        <v>0</v>
      </c>
      <c r="F257">
        <f t="shared" ca="1" si="26"/>
        <v>0.98586546083015514</v>
      </c>
      <c r="G257">
        <f t="shared" ca="1" si="27"/>
        <v>0.96437153111704543</v>
      </c>
      <c r="H257">
        <f t="shared" ca="1" si="24"/>
        <v>1.0222880176566524</v>
      </c>
      <c r="I257">
        <f t="shared" ca="1" si="25"/>
        <v>50.551059430260558</v>
      </c>
      <c r="J257">
        <v>30</v>
      </c>
      <c r="K257">
        <v>70</v>
      </c>
    </row>
    <row r="258" spans="1:11" x14ac:dyDescent="0.25">
      <c r="A258" vm="511">
        <f ca="1"/>
        <v>45665</v>
      </c>
      <c r="B258" vm="512">
        <f ca="1"/>
        <v>223.18</v>
      </c>
      <c r="C258">
        <f t="shared" ca="1" si="21"/>
        <v>-0.78000000000000114</v>
      </c>
      <c r="D258">
        <f t="shared" ca="1" si="22"/>
        <v>0</v>
      </c>
      <c r="E258">
        <f t="shared" ca="1" si="23"/>
        <v>0.78000000000000114</v>
      </c>
      <c r="F258">
        <f t="shared" ca="1" si="26"/>
        <v>0.91544649934228695</v>
      </c>
      <c r="G258">
        <f t="shared" ca="1" si="27"/>
        <v>0.95120213603725656</v>
      </c>
      <c r="H258">
        <f t="shared" ca="1" si="24"/>
        <v>0.96241005424574744</v>
      </c>
      <c r="I258">
        <f t="shared" ca="1" si="25"/>
        <v>49.042250479890143</v>
      </c>
      <c r="J258">
        <v>30</v>
      </c>
      <c r="K258">
        <v>70</v>
      </c>
    </row>
    <row r="259" spans="1:11" x14ac:dyDescent="0.25">
      <c r="A259" vm="513">
        <f ca="1"/>
        <v>45667</v>
      </c>
      <c r="B259" vm="514">
        <f ca="1"/>
        <v>219.75</v>
      </c>
      <c r="C259">
        <f t="shared" ca="1" si="21"/>
        <v>-3.4300000000000068</v>
      </c>
      <c r="D259">
        <f t="shared" ca="1" si="22"/>
        <v>0</v>
      </c>
      <c r="E259">
        <f t="shared" ca="1" si="23"/>
        <v>3.4300000000000068</v>
      </c>
      <c r="F259">
        <f t="shared" ca="1" si="26"/>
        <v>0.8500574636749807</v>
      </c>
      <c r="G259">
        <f t="shared" ca="1" si="27"/>
        <v>1.1282591263203101</v>
      </c>
      <c r="H259">
        <f t="shared" ca="1" si="24"/>
        <v>0.75342396426904801</v>
      </c>
      <c r="I259">
        <f t="shared" ca="1" si="25"/>
        <v>42.968727451100435</v>
      </c>
      <c r="J259">
        <v>30</v>
      </c>
      <c r="K259">
        <v>70</v>
      </c>
    </row>
    <row r="260" spans="1:11" x14ac:dyDescent="0.25">
      <c r="A260" vm="515">
        <f ca="1"/>
        <v>45670</v>
      </c>
      <c r="B260" vm="516">
        <f ca="1"/>
        <v>217.4</v>
      </c>
      <c r="C260">
        <f t="shared" ref="C260:C323" ca="1" si="28">B260-B259</f>
        <v>-2.3499999999999943</v>
      </c>
      <c r="D260">
        <f t="shared" ref="D260:D323" ca="1" si="29">MAX(C260,0)</f>
        <v>0</v>
      </c>
      <c r="E260">
        <f t="shared" ref="E260:E323" ca="1" si="30">MAX(-C260,0)</f>
        <v>2.3499999999999943</v>
      </c>
      <c r="F260">
        <f t="shared" ca="1" si="26"/>
        <v>0.78933907341248211</v>
      </c>
      <c r="G260">
        <f t="shared" ca="1" si="27"/>
        <v>1.2155263315831448</v>
      </c>
      <c r="H260">
        <f t="shared" ca="1" si="24"/>
        <v>0.64938048062226572</v>
      </c>
      <c r="I260">
        <f t="shared" ca="1" si="25"/>
        <v>39.371175314095659</v>
      </c>
      <c r="J260">
        <v>30</v>
      </c>
      <c r="K260">
        <v>70</v>
      </c>
    </row>
    <row r="261" spans="1:11" x14ac:dyDescent="0.25">
      <c r="A261" vm="517">
        <f ca="1"/>
        <v>45671</v>
      </c>
      <c r="B261" vm="518">
        <f ca="1"/>
        <v>217.75</v>
      </c>
      <c r="C261">
        <f t="shared" ca="1" si="28"/>
        <v>0.34999999999999432</v>
      </c>
      <c r="D261">
        <f t="shared" ca="1" si="29"/>
        <v>0.34999999999999432</v>
      </c>
      <c r="E261">
        <f t="shared" ca="1" si="30"/>
        <v>0</v>
      </c>
      <c r="F261">
        <f t="shared" ca="1" si="26"/>
        <v>0.75795771102587584</v>
      </c>
      <c r="G261">
        <f t="shared" ca="1" si="27"/>
        <v>1.1287030221843488</v>
      </c>
      <c r="H261">
        <f t="shared" ca="1" si="24"/>
        <v>0.67152979670331747</v>
      </c>
      <c r="I261">
        <f t="shared" ca="1" si="25"/>
        <v>40.174563326824646</v>
      </c>
      <c r="J261">
        <v>30</v>
      </c>
      <c r="K261">
        <v>70</v>
      </c>
    </row>
    <row r="262" spans="1:11" x14ac:dyDescent="0.25">
      <c r="A262" vm="519">
        <f ca="1"/>
        <v>45672</v>
      </c>
      <c r="B262" vm="520">
        <f ca="1"/>
        <v>220.03</v>
      </c>
      <c r="C262">
        <f t="shared" ca="1" si="28"/>
        <v>2.2800000000000011</v>
      </c>
      <c r="D262">
        <f t="shared" ca="1" si="29"/>
        <v>2.2800000000000011</v>
      </c>
      <c r="E262">
        <f t="shared" ca="1" si="30"/>
        <v>0</v>
      </c>
      <c r="F262">
        <f t="shared" ca="1" si="26"/>
        <v>0.86667501738117048</v>
      </c>
      <c r="G262">
        <f t="shared" ca="1" si="27"/>
        <v>1.0480813777426097</v>
      </c>
      <c r="H262">
        <f t="shared" ca="1" si="24"/>
        <v>0.82691576797962207</v>
      </c>
      <c r="I262">
        <f t="shared" ca="1" si="25"/>
        <v>45.262938909006436</v>
      </c>
      <c r="J262">
        <v>30</v>
      </c>
      <c r="K262">
        <v>70</v>
      </c>
    </row>
    <row r="263" spans="1:11" x14ac:dyDescent="0.25">
      <c r="A263" vm="521">
        <f ca="1"/>
        <v>45673</v>
      </c>
      <c r="B263" vm="522">
        <f ca="1"/>
        <v>222.66</v>
      </c>
      <c r="C263">
        <f t="shared" ca="1" si="28"/>
        <v>2.6299999999999955</v>
      </c>
      <c r="D263">
        <f t="shared" ca="1" si="29"/>
        <v>2.6299999999999955</v>
      </c>
      <c r="E263">
        <f t="shared" ca="1" si="30"/>
        <v>0</v>
      </c>
      <c r="F263">
        <f t="shared" ca="1" si="26"/>
        <v>0.9926268018539437</v>
      </c>
      <c r="G263">
        <f t="shared" ca="1" si="27"/>
        <v>0.97321842218956611</v>
      </c>
      <c r="H263">
        <f t="shared" ca="1" si="24"/>
        <v>1.019942470489525</v>
      </c>
      <c r="I263">
        <f t="shared" ca="1" si="25"/>
        <v>50.493639565999423</v>
      </c>
      <c r="J263">
        <v>30</v>
      </c>
      <c r="K263">
        <v>70</v>
      </c>
    </row>
    <row r="264" spans="1:11" x14ac:dyDescent="0.25">
      <c r="A264" vm="523">
        <f ca="1"/>
        <v>45674</v>
      </c>
      <c r="B264" vm="524">
        <f ca="1"/>
        <v>224.79</v>
      </c>
      <c r="C264">
        <f t="shared" ca="1" si="28"/>
        <v>2.1299999999999955</v>
      </c>
      <c r="D264">
        <f t="shared" ca="1" si="29"/>
        <v>2.1299999999999955</v>
      </c>
      <c r="E264">
        <f t="shared" ca="1" si="30"/>
        <v>0</v>
      </c>
      <c r="F264">
        <f t="shared" ca="1" si="26"/>
        <v>1.0738677445786617</v>
      </c>
      <c r="G264">
        <f t="shared" ca="1" si="27"/>
        <v>0.90370282060459706</v>
      </c>
      <c r="H264">
        <f t="shared" ca="1" si="24"/>
        <v>1.1882974359427367</v>
      </c>
      <c r="I264">
        <f t="shared" ca="1" si="25"/>
        <v>54.302372996694949</v>
      </c>
      <c r="J264">
        <v>30</v>
      </c>
      <c r="K264">
        <v>70</v>
      </c>
    </row>
    <row r="265" spans="1:11" x14ac:dyDescent="0.25">
      <c r="A265" vm="525">
        <f ca="1"/>
        <v>45678</v>
      </c>
      <c r="B265" vm="526">
        <f ca="1"/>
        <v>224.26</v>
      </c>
      <c r="C265">
        <f t="shared" ca="1" si="28"/>
        <v>-0.53000000000000114</v>
      </c>
      <c r="D265">
        <f t="shared" ca="1" si="29"/>
        <v>0</v>
      </c>
      <c r="E265">
        <f t="shared" ca="1" si="30"/>
        <v>0.53000000000000114</v>
      </c>
      <c r="F265">
        <f t="shared" ca="1" si="26"/>
        <v>0.99716290568018595</v>
      </c>
      <c r="G265">
        <f t="shared" ca="1" si="27"/>
        <v>0.87700976198998304</v>
      </c>
      <c r="H265">
        <f t="shared" ca="1" si="24"/>
        <v>1.1370031998475922</v>
      </c>
      <c r="I265">
        <f t="shared" ca="1" si="25"/>
        <v>53.205498238312494</v>
      </c>
      <c r="J265">
        <v>30</v>
      </c>
      <c r="K265">
        <v>70</v>
      </c>
    </row>
    <row r="266" spans="1:11" x14ac:dyDescent="0.25">
      <c r="A266" vm="527">
        <f ca="1"/>
        <v>45679</v>
      </c>
      <c r="B266" vm="528">
        <f ca="1"/>
        <v>223.26</v>
      </c>
      <c r="C266">
        <f t="shared" ca="1" si="28"/>
        <v>-1</v>
      </c>
      <c r="D266">
        <f t="shared" ca="1" si="29"/>
        <v>0</v>
      </c>
      <c r="E266">
        <f t="shared" ca="1" si="30"/>
        <v>1</v>
      </c>
      <c r="F266">
        <f t="shared" ca="1" si="26"/>
        <v>0.92593698384588696</v>
      </c>
      <c r="G266">
        <f t="shared" ca="1" si="27"/>
        <v>0.88579477899069847</v>
      </c>
      <c r="H266">
        <f t="shared" ca="1" si="24"/>
        <v>1.0453177257388306</v>
      </c>
      <c r="I266">
        <f t="shared" ca="1" si="25"/>
        <v>51.10784073223784</v>
      </c>
      <c r="J266">
        <v>30</v>
      </c>
      <c r="K266">
        <v>70</v>
      </c>
    </row>
    <row r="267" spans="1:11" x14ac:dyDescent="0.25">
      <c r="A267" vm="529">
        <f ca="1"/>
        <v>45680</v>
      </c>
      <c r="B267" vm="530">
        <f ca="1"/>
        <v>226.04</v>
      </c>
      <c r="C267">
        <f t="shared" ca="1" si="28"/>
        <v>2.7800000000000011</v>
      </c>
      <c r="D267">
        <f t="shared" ca="1" si="29"/>
        <v>2.7800000000000011</v>
      </c>
      <c r="E267">
        <f t="shared" ca="1" si="30"/>
        <v>0</v>
      </c>
      <c r="F267">
        <f t="shared" ca="1" si="26"/>
        <v>1.0583700564283236</v>
      </c>
      <c r="G267">
        <f t="shared" ca="1" si="27"/>
        <v>0.82252372334850576</v>
      </c>
      <c r="H267">
        <f t="shared" ca="1" si="24"/>
        <v>1.2867349918123747</v>
      </c>
      <c r="I267">
        <f t="shared" ca="1" si="25"/>
        <v>56.26952823215251</v>
      </c>
      <c r="J267">
        <v>30</v>
      </c>
      <c r="K267">
        <v>70</v>
      </c>
    </row>
    <row r="268" spans="1:11" x14ac:dyDescent="0.25">
      <c r="A268" vm="531">
        <f ca="1"/>
        <v>45681</v>
      </c>
      <c r="B268" vm="532">
        <f ca="1"/>
        <v>224.8</v>
      </c>
      <c r="C268">
        <f t="shared" ca="1" si="28"/>
        <v>-1.2399999999999807</v>
      </c>
      <c r="D268">
        <f t="shared" ca="1" si="29"/>
        <v>0</v>
      </c>
      <c r="E268">
        <f t="shared" ca="1" si="30"/>
        <v>1.2399999999999807</v>
      </c>
      <c r="F268">
        <f t="shared" ca="1" si="26"/>
        <v>0.98277219525487192</v>
      </c>
      <c r="G268">
        <f t="shared" ca="1" si="27"/>
        <v>0.85234345739503969</v>
      </c>
      <c r="H268">
        <f t="shared" ca="1" si="24"/>
        <v>1.1530236863182513</v>
      </c>
      <c r="I268">
        <f t="shared" ca="1" si="25"/>
        <v>53.553692588025527</v>
      </c>
      <c r="J268">
        <v>30</v>
      </c>
      <c r="K268">
        <v>70</v>
      </c>
    </row>
    <row r="269" spans="1:11" x14ac:dyDescent="0.25">
      <c r="A269" vm="533">
        <f ca="1"/>
        <v>45684</v>
      </c>
      <c r="B269" vm="534">
        <f ca="1"/>
        <v>224.13</v>
      </c>
      <c r="C269">
        <f t="shared" ca="1" si="28"/>
        <v>-0.67000000000001592</v>
      </c>
      <c r="D269">
        <f t="shared" ca="1" si="29"/>
        <v>0</v>
      </c>
      <c r="E269">
        <f t="shared" ca="1" si="30"/>
        <v>0.67000000000001592</v>
      </c>
      <c r="F269">
        <f t="shared" ca="1" si="26"/>
        <v>0.91257418130809531</v>
      </c>
      <c r="G269">
        <f t="shared" ca="1" si="27"/>
        <v>0.83931892472396652</v>
      </c>
      <c r="H269">
        <f t="shared" ca="1" si="24"/>
        <v>1.0872794052728179</v>
      </c>
      <c r="I269">
        <f t="shared" ca="1" si="25"/>
        <v>52.090745614897919</v>
      </c>
      <c r="J269">
        <v>30</v>
      </c>
      <c r="K269">
        <v>70</v>
      </c>
    </row>
    <row r="270" spans="1:11" x14ac:dyDescent="0.25">
      <c r="A270" vm="535">
        <f ca="1"/>
        <v>45685</v>
      </c>
      <c r="B270" vm="536">
        <f ca="1"/>
        <v>225.66</v>
      </c>
      <c r="C270">
        <f t="shared" ca="1" si="28"/>
        <v>1.5300000000000011</v>
      </c>
      <c r="D270">
        <f t="shared" ca="1" si="29"/>
        <v>1.5300000000000011</v>
      </c>
      <c r="E270">
        <f t="shared" ca="1" si="30"/>
        <v>0</v>
      </c>
      <c r="F270">
        <f t="shared" ca="1" si="26"/>
        <v>0.95667602550037423</v>
      </c>
      <c r="G270">
        <f t="shared" ca="1" si="27"/>
        <v>0.77936757295796888</v>
      </c>
      <c r="H270">
        <f t="shared" ca="1" si="24"/>
        <v>1.2275029892114431</v>
      </c>
      <c r="I270">
        <f t="shared" ca="1" si="25"/>
        <v>55.10668201823561</v>
      </c>
      <c r="J270">
        <v>30</v>
      </c>
      <c r="K270">
        <v>70</v>
      </c>
    </row>
    <row r="271" spans="1:11" x14ac:dyDescent="0.25">
      <c r="A271" vm="537">
        <f ca="1"/>
        <v>45686</v>
      </c>
      <c r="B271" vm="538">
        <f ca="1"/>
        <v>228.63</v>
      </c>
      <c r="C271">
        <f t="shared" ca="1" si="28"/>
        <v>2.9699999999999989</v>
      </c>
      <c r="D271">
        <f t="shared" ca="1" si="29"/>
        <v>2.9699999999999989</v>
      </c>
      <c r="E271">
        <f t="shared" ca="1" si="30"/>
        <v>0</v>
      </c>
      <c r="F271">
        <f t="shared" ca="1" si="26"/>
        <v>1.100484880821776</v>
      </c>
      <c r="G271">
        <f t="shared" ca="1" si="27"/>
        <v>0.72369846060382825</v>
      </c>
      <c r="H271">
        <f t="shared" ca="1" si="24"/>
        <v>1.5206400741872113</v>
      </c>
      <c r="I271">
        <f t="shared" ca="1" si="25"/>
        <v>60.327537031543336</v>
      </c>
      <c r="J271">
        <v>30</v>
      </c>
      <c r="K271">
        <v>70</v>
      </c>
    </row>
    <row r="272" spans="1:11" x14ac:dyDescent="0.25">
      <c r="A272" vm="539">
        <f ca="1"/>
        <v>45687</v>
      </c>
      <c r="B272" vm="540">
        <f ca="1"/>
        <v>258.27</v>
      </c>
      <c r="C272">
        <f t="shared" ca="1" si="28"/>
        <v>29.639999999999986</v>
      </c>
      <c r="D272">
        <f t="shared" ca="1" si="29"/>
        <v>29.639999999999986</v>
      </c>
      <c r="E272">
        <f t="shared" ca="1" si="30"/>
        <v>0</v>
      </c>
      <c r="F272">
        <f t="shared" ca="1" si="26"/>
        <v>3.1390216750487911</v>
      </c>
      <c r="G272">
        <f t="shared" ca="1" si="27"/>
        <v>0.67200571341784054</v>
      </c>
      <c r="H272">
        <f t="shared" ca="1" si="24"/>
        <v>4.6711234925126393</v>
      </c>
      <c r="I272">
        <f t="shared" ca="1" si="25"/>
        <v>82.366809657376351</v>
      </c>
      <c r="J272">
        <v>30</v>
      </c>
      <c r="K272">
        <v>70</v>
      </c>
    </row>
    <row r="273" spans="1:11" x14ac:dyDescent="0.25">
      <c r="A273" vm="541">
        <f ca="1"/>
        <v>45688</v>
      </c>
      <c r="B273" vm="542">
        <f ca="1"/>
        <v>255.7</v>
      </c>
      <c r="C273">
        <f t="shared" ca="1" si="28"/>
        <v>-2.5699999999999932</v>
      </c>
      <c r="D273">
        <f t="shared" ca="1" si="29"/>
        <v>0</v>
      </c>
      <c r="E273">
        <f t="shared" ca="1" si="30"/>
        <v>2.5699999999999932</v>
      </c>
      <c r="F273">
        <f t="shared" ca="1" si="26"/>
        <v>2.9148058411167348</v>
      </c>
      <c r="G273">
        <f t="shared" ca="1" si="27"/>
        <v>0.80757673388799422</v>
      </c>
      <c r="H273">
        <f t="shared" ref="H273:H336" ca="1" si="31">IF(G273=0,NA(),F273/G273)</f>
        <v>3.6093236949555307</v>
      </c>
      <c r="I273">
        <f t="shared" ref="I273:I336" ca="1" si="32">IF(H273=0,100,100-(100/(1+H273)))</f>
        <v>78.304843265956663</v>
      </c>
      <c r="J273">
        <v>30</v>
      </c>
      <c r="K273">
        <v>70</v>
      </c>
    </row>
    <row r="274" spans="1:11" x14ac:dyDescent="0.25">
      <c r="A274" vm="543">
        <f ca="1"/>
        <v>45691</v>
      </c>
      <c r="B274" vm="544">
        <f ca="1"/>
        <v>260.73</v>
      </c>
      <c r="C274">
        <f t="shared" ca="1" si="28"/>
        <v>5.0300000000000296</v>
      </c>
      <c r="D274">
        <f t="shared" ca="1" si="29"/>
        <v>5.0300000000000296</v>
      </c>
      <c r="E274">
        <f t="shared" ca="1" si="30"/>
        <v>0</v>
      </c>
      <c r="F274">
        <f t="shared" ref="F274:F337" ca="1" si="33">(F273*($E$1-1)+D274)/$E$1</f>
        <v>3.0658911381798268</v>
      </c>
      <c r="G274">
        <f t="shared" ref="G274:G337" ca="1" si="34">(G273*($E$1-1)+E274)/$E$1</f>
        <v>0.74989268146742316</v>
      </c>
      <c r="H274">
        <f t="shared" ca="1" si="31"/>
        <v>4.0884398713964716</v>
      </c>
      <c r="I274">
        <f t="shared" ca="1" si="32"/>
        <v>80.347610952007571</v>
      </c>
      <c r="J274">
        <v>30</v>
      </c>
      <c r="K274">
        <v>70</v>
      </c>
    </row>
    <row r="275" spans="1:11" x14ac:dyDescent="0.25">
      <c r="A275" vm="545">
        <f ca="1"/>
        <v>45692</v>
      </c>
      <c r="B275" vm="546">
        <f ca="1"/>
        <v>264.45999999999998</v>
      </c>
      <c r="C275">
        <f t="shared" ca="1" si="28"/>
        <v>3.7299999999999613</v>
      </c>
      <c r="D275">
        <f t="shared" ca="1" si="29"/>
        <v>3.7299999999999613</v>
      </c>
      <c r="E275">
        <f t="shared" ca="1" si="30"/>
        <v>0</v>
      </c>
      <c r="F275">
        <f t="shared" ca="1" si="33"/>
        <v>3.1133274854526936</v>
      </c>
      <c r="G275">
        <f t="shared" ca="1" si="34"/>
        <v>0.6963289185054643</v>
      </c>
      <c r="H275">
        <f t="shared" ca="1" si="31"/>
        <v>4.4710587234188841</v>
      </c>
      <c r="I275">
        <f t="shared" ca="1" si="32"/>
        <v>81.722002073940516</v>
      </c>
      <c r="J275">
        <v>30</v>
      </c>
      <c r="K275">
        <v>70</v>
      </c>
    </row>
    <row r="276" spans="1:11" x14ac:dyDescent="0.25">
      <c r="A276" vm="547">
        <f ca="1"/>
        <v>45693</v>
      </c>
      <c r="B276" vm="548">
        <f ca="1"/>
        <v>263.3</v>
      </c>
      <c r="C276">
        <f t="shared" ca="1" si="28"/>
        <v>-1.1599999999999682</v>
      </c>
      <c r="D276">
        <f t="shared" ca="1" si="29"/>
        <v>0</v>
      </c>
      <c r="E276">
        <f t="shared" ca="1" si="30"/>
        <v>1.1599999999999682</v>
      </c>
      <c r="F276">
        <f t="shared" ca="1" si="33"/>
        <v>2.8909469507775012</v>
      </c>
      <c r="G276">
        <f t="shared" ca="1" si="34"/>
        <v>0.72944828146935747</v>
      </c>
      <c r="H276">
        <f t="shared" ca="1" si="31"/>
        <v>3.9631966024433543</v>
      </c>
      <c r="I276">
        <f t="shared" ca="1" si="32"/>
        <v>79.851694782598258</v>
      </c>
      <c r="J276">
        <v>30</v>
      </c>
      <c r="K276">
        <v>70</v>
      </c>
    </row>
    <row r="277" spans="1:11" x14ac:dyDescent="0.25">
      <c r="A277" vm="549">
        <f ca="1"/>
        <v>45694</v>
      </c>
      <c r="B277" vm="550">
        <f ca="1"/>
        <v>253.44</v>
      </c>
      <c r="C277">
        <f t="shared" ca="1" si="28"/>
        <v>-9.8600000000000136</v>
      </c>
      <c r="D277">
        <f t="shared" ca="1" si="29"/>
        <v>0</v>
      </c>
      <c r="E277">
        <f t="shared" ca="1" si="30"/>
        <v>9.8600000000000136</v>
      </c>
      <c r="F277">
        <f t="shared" ca="1" si="33"/>
        <v>2.6844507400076796</v>
      </c>
      <c r="G277">
        <f t="shared" ca="1" si="34"/>
        <v>1.3816305470786898</v>
      </c>
      <c r="H277">
        <f t="shared" ca="1" si="31"/>
        <v>1.9429584455002562</v>
      </c>
      <c r="I277">
        <f t="shared" ca="1" si="32"/>
        <v>66.020587156811999</v>
      </c>
      <c r="J277">
        <v>30</v>
      </c>
      <c r="K277">
        <v>70</v>
      </c>
    </row>
    <row r="278" spans="1:11" x14ac:dyDescent="0.25">
      <c r="A278" vm="551">
        <f ca="1"/>
        <v>45695</v>
      </c>
      <c r="B278" vm="552">
        <f ca="1"/>
        <v>252.34</v>
      </c>
      <c r="C278">
        <f t="shared" ca="1" si="28"/>
        <v>-1.0999999999999943</v>
      </c>
      <c r="D278">
        <f t="shared" ca="1" si="29"/>
        <v>0</v>
      </c>
      <c r="E278">
        <f t="shared" ca="1" si="30"/>
        <v>1.0999999999999943</v>
      </c>
      <c r="F278">
        <f t="shared" ca="1" si="33"/>
        <v>2.4927042585785597</v>
      </c>
      <c r="G278">
        <f t="shared" ca="1" si="34"/>
        <v>1.3615140794302116</v>
      </c>
      <c r="H278">
        <f t="shared" ca="1" si="31"/>
        <v>1.8308325240542109</v>
      </c>
      <c r="I278">
        <f t="shared" ca="1" si="32"/>
        <v>64.67470288324094</v>
      </c>
      <c r="J278">
        <v>30</v>
      </c>
      <c r="K278">
        <v>70</v>
      </c>
    </row>
    <row r="279" spans="1:11" x14ac:dyDescent="0.25">
      <c r="A279" vm="553">
        <f ca="1"/>
        <v>45698</v>
      </c>
      <c r="B279" vm="554">
        <f ca="1"/>
        <v>249.27</v>
      </c>
      <c r="C279">
        <f t="shared" ca="1" si="28"/>
        <v>-3.0699999999999932</v>
      </c>
      <c r="D279">
        <f t="shared" ca="1" si="29"/>
        <v>0</v>
      </c>
      <c r="E279">
        <f t="shared" ca="1" si="30"/>
        <v>3.0699999999999932</v>
      </c>
      <c r="F279">
        <f t="shared" ca="1" si="33"/>
        <v>2.3146539543943767</v>
      </c>
      <c r="G279">
        <f t="shared" ca="1" si="34"/>
        <v>1.483548788042339</v>
      </c>
      <c r="H279">
        <f t="shared" ca="1" si="31"/>
        <v>1.5602142464412965</v>
      </c>
      <c r="I279">
        <f t="shared" ca="1" si="32"/>
        <v>60.940768867683545</v>
      </c>
      <c r="J279">
        <v>30</v>
      </c>
      <c r="K279">
        <v>70</v>
      </c>
    </row>
    <row r="280" spans="1:11" x14ac:dyDescent="0.25">
      <c r="A280" vm="555">
        <f ca="1"/>
        <v>45699</v>
      </c>
      <c r="B280" vm="556">
        <f ca="1"/>
        <v>254.7</v>
      </c>
      <c r="C280">
        <f t="shared" ca="1" si="28"/>
        <v>5.4299999999999784</v>
      </c>
      <c r="D280">
        <f t="shared" ca="1" si="29"/>
        <v>5.4299999999999784</v>
      </c>
      <c r="E280">
        <f t="shared" ca="1" si="30"/>
        <v>0</v>
      </c>
      <c r="F280">
        <f t="shared" ca="1" si="33"/>
        <v>2.5371786719376339</v>
      </c>
      <c r="G280">
        <f t="shared" ca="1" si="34"/>
        <v>1.3775810174678862</v>
      </c>
      <c r="H280">
        <f t="shared" ca="1" si="31"/>
        <v>1.8417636710769933</v>
      </c>
      <c r="I280">
        <f t="shared" ca="1" si="32"/>
        <v>64.810585405892937</v>
      </c>
      <c r="J280">
        <v>30</v>
      </c>
      <c r="K280">
        <v>70</v>
      </c>
    </row>
    <row r="281" spans="1:11" x14ac:dyDescent="0.25">
      <c r="A281" vm="557">
        <f ca="1"/>
        <v>45700</v>
      </c>
      <c r="B281" vm="558">
        <f ca="1"/>
        <v>255.81</v>
      </c>
      <c r="C281">
        <f t="shared" ca="1" si="28"/>
        <v>1.1100000000000136</v>
      </c>
      <c r="D281">
        <f t="shared" ca="1" si="29"/>
        <v>1.1100000000000136</v>
      </c>
      <c r="E281">
        <f t="shared" ca="1" si="30"/>
        <v>0</v>
      </c>
      <c r="F281">
        <f t="shared" ca="1" si="33"/>
        <v>2.4352373382278039</v>
      </c>
      <c r="G281">
        <f t="shared" ca="1" si="34"/>
        <v>1.2791823733630372</v>
      </c>
      <c r="H281">
        <f t="shared" ca="1" si="31"/>
        <v>1.9037452273716358</v>
      </c>
      <c r="I281">
        <f t="shared" ca="1" si="32"/>
        <v>65.561716965604333</v>
      </c>
      <c r="J281">
        <v>30</v>
      </c>
      <c r="K281">
        <v>70</v>
      </c>
    </row>
    <row r="282" spans="1:11" x14ac:dyDescent="0.25">
      <c r="A282" vm="559">
        <f ca="1"/>
        <v>45701</v>
      </c>
      <c r="B282" vm="560">
        <f ca="1"/>
        <v>259.19</v>
      </c>
      <c r="C282">
        <f t="shared" ca="1" si="28"/>
        <v>3.3799999999999955</v>
      </c>
      <c r="D282">
        <f t="shared" ca="1" si="29"/>
        <v>3.3799999999999955</v>
      </c>
      <c r="E282">
        <f t="shared" ca="1" si="30"/>
        <v>0</v>
      </c>
      <c r="F282">
        <f t="shared" ca="1" si="33"/>
        <v>2.5027203854972462</v>
      </c>
      <c r="G282">
        <f t="shared" ca="1" si="34"/>
        <v>1.187812203837106</v>
      </c>
      <c r="H282">
        <f t="shared" ca="1" si="31"/>
        <v>2.1070000606261359</v>
      </c>
      <c r="I282">
        <f t="shared" ca="1" si="32"/>
        <v>67.814612794102231</v>
      </c>
      <c r="J282">
        <v>30</v>
      </c>
      <c r="K282">
        <v>70</v>
      </c>
    </row>
    <row r="283" spans="1:11" x14ac:dyDescent="0.25">
      <c r="A283" vm="561">
        <f ca="1"/>
        <v>45702</v>
      </c>
      <c r="B283" vm="562">
        <f ca="1"/>
        <v>261.27999999999997</v>
      </c>
      <c r="C283">
        <f t="shared" ca="1" si="28"/>
        <v>2.089999999999975</v>
      </c>
      <c r="D283">
        <f t="shared" ca="1" si="29"/>
        <v>2.089999999999975</v>
      </c>
      <c r="E283">
        <f t="shared" ca="1" si="30"/>
        <v>0</v>
      </c>
      <c r="F283">
        <f t="shared" ca="1" si="33"/>
        <v>2.473240357961727</v>
      </c>
      <c r="G283">
        <f t="shared" ca="1" si="34"/>
        <v>1.1029684749915984</v>
      </c>
      <c r="H283">
        <f t="shared" ca="1" si="31"/>
        <v>2.2423490916007971</v>
      </c>
      <c r="I283">
        <f t="shared" ca="1" si="32"/>
        <v>69.158163672429083</v>
      </c>
      <c r="J283">
        <v>30</v>
      </c>
      <c r="K283">
        <v>70</v>
      </c>
    </row>
    <row r="284" spans="1:11" x14ac:dyDescent="0.25">
      <c r="A284" vm="563">
        <f ca="1"/>
        <v>45706</v>
      </c>
      <c r="B284" vm="564">
        <f ca="1"/>
        <v>263.07</v>
      </c>
      <c r="C284">
        <f t="shared" ca="1" si="28"/>
        <v>1.7900000000000205</v>
      </c>
      <c r="D284">
        <f t="shared" ca="1" si="29"/>
        <v>1.7900000000000205</v>
      </c>
      <c r="E284">
        <f t="shared" ca="1" si="30"/>
        <v>0</v>
      </c>
      <c r="F284">
        <f t="shared" ca="1" si="33"/>
        <v>2.4244374752501767</v>
      </c>
      <c r="G284">
        <f t="shared" ca="1" si="34"/>
        <v>1.0241850124921985</v>
      </c>
      <c r="H284">
        <f t="shared" ca="1" si="31"/>
        <v>2.3671870274206381</v>
      </c>
      <c r="I284">
        <f t="shared" ca="1" si="32"/>
        <v>70.301619961810417</v>
      </c>
      <c r="J284">
        <v>30</v>
      </c>
      <c r="K284">
        <v>70</v>
      </c>
    </row>
    <row r="285" spans="1:11" x14ac:dyDescent="0.25">
      <c r="A285" vm="565">
        <f ca="1"/>
        <v>45707</v>
      </c>
      <c r="B285" vm="566">
        <f ca="1"/>
        <v>264.32</v>
      </c>
      <c r="C285">
        <f t="shared" ca="1" si="28"/>
        <v>1.25</v>
      </c>
      <c r="D285">
        <f t="shared" ca="1" si="29"/>
        <v>1.25</v>
      </c>
      <c r="E285">
        <f t="shared" ca="1" si="30"/>
        <v>0</v>
      </c>
      <c r="F285">
        <f t="shared" ca="1" si="33"/>
        <v>2.3405490841608789</v>
      </c>
      <c r="G285">
        <f t="shared" ca="1" si="34"/>
        <v>0.95102894017132722</v>
      </c>
      <c r="H285">
        <f t="shared" ca="1" si="31"/>
        <v>2.461070305325546</v>
      </c>
      <c r="I285">
        <f t="shared" ca="1" si="32"/>
        <v>71.107203501145278</v>
      </c>
      <c r="J285">
        <v>30</v>
      </c>
      <c r="K285">
        <v>70</v>
      </c>
    </row>
    <row r="286" spans="1:11" x14ac:dyDescent="0.25">
      <c r="A286" vm="567">
        <f ca="1"/>
        <v>45708</v>
      </c>
      <c r="B286" vm="568">
        <f ca="1"/>
        <v>264.74</v>
      </c>
      <c r="C286">
        <f t="shared" ca="1" si="28"/>
        <v>0.42000000000001592</v>
      </c>
      <c r="D286">
        <f t="shared" ca="1" si="29"/>
        <v>0.42000000000001592</v>
      </c>
      <c r="E286">
        <f t="shared" ca="1" si="30"/>
        <v>0</v>
      </c>
      <c r="F286">
        <f t="shared" ca="1" si="33"/>
        <v>2.2033670067208173</v>
      </c>
      <c r="G286">
        <f t="shared" ca="1" si="34"/>
        <v>0.88309830158766101</v>
      </c>
      <c r="H286">
        <f t="shared" ca="1" si="31"/>
        <v>2.4950416083459079</v>
      </c>
      <c r="I286">
        <f t="shared" ca="1" si="32"/>
        <v>71.388037338037066</v>
      </c>
      <c r="J286">
        <v>30</v>
      </c>
      <c r="K286">
        <v>70</v>
      </c>
    </row>
    <row r="287" spans="1:11" x14ac:dyDescent="0.25">
      <c r="A287" vm="569">
        <f ca="1"/>
        <v>45709</v>
      </c>
      <c r="B287" vm="570">
        <f ca="1"/>
        <v>261.48</v>
      </c>
      <c r="C287">
        <f t="shared" ca="1" si="28"/>
        <v>-3.2599999999999909</v>
      </c>
      <c r="D287">
        <f t="shared" ca="1" si="29"/>
        <v>0</v>
      </c>
      <c r="E287">
        <f t="shared" ca="1" si="30"/>
        <v>3.2599999999999909</v>
      </c>
      <c r="F287">
        <f t="shared" ca="1" si="33"/>
        <v>2.0459836490979018</v>
      </c>
      <c r="G287">
        <f t="shared" ca="1" si="34"/>
        <v>1.0528769943313989</v>
      </c>
      <c r="H287">
        <f t="shared" ca="1" si="31"/>
        <v>1.9432314127037682</v>
      </c>
      <c r="I287">
        <f t="shared" ca="1" si="32"/>
        <v>66.023738545201212</v>
      </c>
      <c r="J287">
        <v>30</v>
      </c>
      <c r="K287">
        <v>70</v>
      </c>
    </row>
    <row r="288" spans="1:11" x14ac:dyDescent="0.25">
      <c r="A288" vm="571">
        <f ca="1"/>
        <v>45712</v>
      </c>
      <c r="B288" vm="572">
        <f ca="1"/>
        <v>261.87</v>
      </c>
      <c r="C288">
        <f t="shared" ca="1" si="28"/>
        <v>0.38999999999998636</v>
      </c>
      <c r="D288">
        <f t="shared" ca="1" si="29"/>
        <v>0.38999999999998636</v>
      </c>
      <c r="E288">
        <f t="shared" ca="1" si="30"/>
        <v>0</v>
      </c>
      <c r="F288">
        <f t="shared" ca="1" si="33"/>
        <v>1.9276991027337649</v>
      </c>
      <c r="G288">
        <f t="shared" ca="1" si="34"/>
        <v>0.977671494736299</v>
      </c>
      <c r="H288">
        <f t="shared" ca="1" si="31"/>
        <v>1.9717247696310412</v>
      </c>
      <c r="I288">
        <f t="shared" ca="1" si="32"/>
        <v>66.349508197417748</v>
      </c>
      <c r="J288">
        <v>30</v>
      </c>
      <c r="K288">
        <v>70</v>
      </c>
    </row>
    <row r="289" spans="1:11" x14ac:dyDescent="0.25">
      <c r="A289" vm="573">
        <f ca="1"/>
        <v>45713</v>
      </c>
      <c r="B289" vm="574">
        <f ca="1"/>
        <v>257.75</v>
      </c>
      <c r="C289">
        <f t="shared" ca="1" si="28"/>
        <v>-4.1200000000000045</v>
      </c>
      <c r="D289">
        <f t="shared" ca="1" si="29"/>
        <v>0</v>
      </c>
      <c r="E289">
        <f t="shared" ca="1" si="30"/>
        <v>4.1200000000000045</v>
      </c>
      <c r="F289">
        <f t="shared" ca="1" si="33"/>
        <v>1.790006309681353</v>
      </c>
      <c r="G289">
        <f t="shared" ca="1" si="34"/>
        <v>1.2021235308265636</v>
      </c>
      <c r="H289">
        <f t="shared" ca="1" si="31"/>
        <v>1.4890369115814321</v>
      </c>
      <c r="I289">
        <f t="shared" ca="1" si="32"/>
        <v>59.823817985702711</v>
      </c>
      <c r="J289">
        <v>30</v>
      </c>
      <c r="K289">
        <v>70</v>
      </c>
    </row>
    <row r="290" spans="1:11" x14ac:dyDescent="0.25">
      <c r="A290" vm="575">
        <f ca="1"/>
        <v>45714</v>
      </c>
      <c r="B290" vm="576">
        <f ca="1"/>
        <v>255.84</v>
      </c>
      <c r="C290">
        <f t="shared" ca="1" si="28"/>
        <v>-1.9099999999999966</v>
      </c>
      <c r="D290">
        <f t="shared" ca="1" si="29"/>
        <v>0</v>
      </c>
      <c r="E290">
        <f t="shared" ca="1" si="30"/>
        <v>1.9099999999999966</v>
      </c>
      <c r="F290">
        <f t="shared" ca="1" si="33"/>
        <v>1.6621487161326851</v>
      </c>
      <c r="G290">
        <f t="shared" ca="1" si="34"/>
        <v>1.2526861357675234</v>
      </c>
      <c r="H290">
        <f t="shared" ca="1" si="31"/>
        <v>1.3268676555714278</v>
      </c>
      <c r="I290">
        <f t="shared" ca="1" si="32"/>
        <v>57.023769804629396</v>
      </c>
      <c r="J290">
        <v>30</v>
      </c>
      <c r="K290">
        <v>70</v>
      </c>
    </row>
    <row r="291" spans="1:11" x14ac:dyDescent="0.25">
      <c r="A291" vm="577">
        <f ca="1"/>
        <v>45715</v>
      </c>
      <c r="B291" vm="578">
        <f ca="1"/>
        <v>253.23</v>
      </c>
      <c r="C291">
        <f t="shared" ca="1" si="28"/>
        <v>-2.6100000000000136</v>
      </c>
      <c r="D291">
        <f t="shared" ca="1" si="29"/>
        <v>0</v>
      </c>
      <c r="E291">
        <f t="shared" ca="1" si="30"/>
        <v>2.6100000000000136</v>
      </c>
      <c r="F291">
        <f t="shared" ca="1" si="33"/>
        <v>1.5434238078374933</v>
      </c>
      <c r="G291">
        <f t="shared" ca="1" si="34"/>
        <v>1.3496371260698441</v>
      </c>
      <c r="H291">
        <f t="shared" ca="1" si="31"/>
        <v>1.1435842850084881</v>
      </c>
      <c r="I291">
        <f t="shared" ca="1" si="32"/>
        <v>53.349163501819561</v>
      </c>
      <c r="J291">
        <v>30</v>
      </c>
      <c r="K291">
        <v>70</v>
      </c>
    </row>
    <row r="292" spans="1:11" x14ac:dyDescent="0.25">
      <c r="A292" vm="579">
        <f ca="1"/>
        <v>45716</v>
      </c>
      <c r="B292" vm="580">
        <f ca="1"/>
        <v>252.44</v>
      </c>
      <c r="C292">
        <f t="shared" ca="1" si="28"/>
        <v>-0.78999999999999204</v>
      </c>
      <c r="D292">
        <f t="shared" ca="1" si="29"/>
        <v>0</v>
      </c>
      <c r="E292">
        <f t="shared" ca="1" si="30"/>
        <v>0.78999999999999204</v>
      </c>
      <c r="F292">
        <f t="shared" ca="1" si="33"/>
        <v>1.4331792501348153</v>
      </c>
      <c r="G292">
        <f t="shared" ca="1" si="34"/>
        <v>1.3096630456362832</v>
      </c>
      <c r="H292">
        <f t="shared" ca="1" si="31"/>
        <v>1.0943114375182841</v>
      </c>
      <c r="I292">
        <f t="shared" ca="1" si="32"/>
        <v>52.251609665801212</v>
      </c>
      <c r="J292">
        <v>30</v>
      </c>
      <c r="K292">
        <v>70</v>
      </c>
    </row>
    <row r="293" spans="1:11" x14ac:dyDescent="0.25">
      <c r="A293" vm="581">
        <f ca="1"/>
        <v>45719</v>
      </c>
      <c r="B293" vm="582">
        <f ca="1"/>
        <v>250.19</v>
      </c>
      <c r="C293">
        <f t="shared" ca="1" si="28"/>
        <v>-2.25</v>
      </c>
      <c r="D293">
        <f t="shared" ca="1" si="29"/>
        <v>0</v>
      </c>
      <c r="E293">
        <f t="shared" ca="1" si="30"/>
        <v>2.25</v>
      </c>
      <c r="F293">
        <f t="shared" ca="1" si="33"/>
        <v>1.3308093036966142</v>
      </c>
      <c r="G293">
        <f t="shared" ca="1" si="34"/>
        <v>1.3768299709479772</v>
      </c>
      <c r="H293">
        <f t="shared" ca="1" si="31"/>
        <v>0.96657490886861164</v>
      </c>
      <c r="I293">
        <f t="shared" ca="1" si="32"/>
        <v>49.150169897402527</v>
      </c>
      <c r="J293">
        <v>30</v>
      </c>
      <c r="K293">
        <v>70</v>
      </c>
    </row>
    <row r="294" spans="1:11" x14ac:dyDescent="0.25">
      <c r="A294" vm="583">
        <f ca="1"/>
        <v>45720</v>
      </c>
      <c r="B294" vm="584">
        <f ca="1"/>
        <v>253.21</v>
      </c>
      <c r="C294">
        <f t="shared" ca="1" si="28"/>
        <v>3.0200000000000102</v>
      </c>
      <c r="D294">
        <f t="shared" ca="1" si="29"/>
        <v>3.0200000000000102</v>
      </c>
      <c r="E294">
        <f t="shared" ca="1" si="30"/>
        <v>0</v>
      </c>
      <c r="F294">
        <f t="shared" ca="1" si="33"/>
        <v>1.4514657820039998</v>
      </c>
      <c r="G294">
        <f t="shared" ca="1" si="34"/>
        <v>1.2784849730231218</v>
      </c>
      <c r="H294">
        <f t="shared" ca="1" si="31"/>
        <v>1.1353014017613718</v>
      </c>
      <c r="I294">
        <f t="shared" ca="1" si="32"/>
        <v>53.168203834122998</v>
      </c>
      <c r="J294">
        <v>30</v>
      </c>
      <c r="K294">
        <v>70</v>
      </c>
    </row>
    <row r="295" spans="1:11" x14ac:dyDescent="0.25">
      <c r="A295" vm="585">
        <f ca="1"/>
        <v>45721</v>
      </c>
      <c r="B295" vm="586">
        <f ca="1"/>
        <v>251.35</v>
      </c>
      <c r="C295">
        <f t="shared" ca="1" si="28"/>
        <v>-1.8600000000000136</v>
      </c>
      <c r="D295">
        <f t="shared" ca="1" si="29"/>
        <v>0</v>
      </c>
      <c r="E295">
        <f t="shared" ca="1" si="30"/>
        <v>1.8600000000000136</v>
      </c>
      <c r="F295">
        <f t="shared" ca="1" si="33"/>
        <v>1.3477896547179997</v>
      </c>
      <c r="G295">
        <f t="shared" ca="1" si="34"/>
        <v>1.3200217606643283</v>
      </c>
      <c r="H295">
        <f t="shared" ca="1" si="31"/>
        <v>1.0210359365891792</v>
      </c>
      <c r="I295">
        <f t="shared" ca="1" si="32"/>
        <v>50.520424605231923</v>
      </c>
      <c r="J295">
        <v>30</v>
      </c>
      <c r="K295">
        <v>70</v>
      </c>
    </row>
    <row r="296" spans="1:11" x14ac:dyDescent="0.25">
      <c r="A296" vm="587">
        <f ca="1"/>
        <v>45722</v>
      </c>
      <c r="B296" vm="588">
        <f ca="1"/>
        <v>248.69</v>
      </c>
      <c r="C296">
        <f t="shared" ca="1" si="28"/>
        <v>-2.6599999999999966</v>
      </c>
      <c r="D296">
        <f t="shared" ca="1" si="29"/>
        <v>0</v>
      </c>
      <c r="E296">
        <f t="shared" ca="1" si="30"/>
        <v>2.6599999999999966</v>
      </c>
      <c r="F296">
        <f t="shared" ca="1" si="33"/>
        <v>1.2515189650952856</v>
      </c>
      <c r="G296">
        <f t="shared" ca="1" si="34"/>
        <v>1.4157344920454473</v>
      </c>
      <c r="H296">
        <f t="shared" ca="1" si="31"/>
        <v>0.88400683329195162</v>
      </c>
      <c r="I296">
        <f t="shared" ca="1" si="32"/>
        <v>46.921636252630471</v>
      </c>
      <c r="J296">
        <v>30</v>
      </c>
      <c r="K296">
        <v>70</v>
      </c>
    </row>
    <row r="297" spans="1:11" x14ac:dyDescent="0.25">
      <c r="A297" vm="589">
        <f ca="1"/>
        <v>45723</v>
      </c>
      <c r="B297" vm="590">
        <f ca="1"/>
        <v>261.54000000000002</v>
      </c>
      <c r="C297">
        <f t="shared" ca="1" si="28"/>
        <v>12.850000000000023</v>
      </c>
      <c r="D297">
        <f t="shared" ca="1" si="29"/>
        <v>12.850000000000023</v>
      </c>
      <c r="E297">
        <f t="shared" ca="1" si="30"/>
        <v>0</v>
      </c>
      <c r="F297">
        <f t="shared" ca="1" si="33"/>
        <v>2.0799818961599099</v>
      </c>
      <c r="G297">
        <f t="shared" ca="1" si="34"/>
        <v>1.3146105997564868</v>
      </c>
      <c r="H297">
        <f t="shared" ca="1" si="31"/>
        <v>1.5822038073823514</v>
      </c>
      <c r="I297">
        <f t="shared" ca="1" si="32"/>
        <v>61.273389918291286</v>
      </c>
      <c r="J297">
        <v>30</v>
      </c>
      <c r="K297">
        <v>70</v>
      </c>
    </row>
    <row r="298" spans="1:11" x14ac:dyDescent="0.25">
      <c r="A298" vm="591">
        <f ca="1"/>
        <v>45726</v>
      </c>
      <c r="B298" vm="592">
        <f ca="1"/>
        <v>256.89999999999998</v>
      </c>
      <c r="C298">
        <f t="shared" ca="1" si="28"/>
        <v>-4.6400000000000432</v>
      </c>
      <c r="D298">
        <f t="shared" ca="1" si="29"/>
        <v>0</v>
      </c>
      <c r="E298">
        <f t="shared" ca="1" si="30"/>
        <v>4.6400000000000432</v>
      </c>
      <c r="F298">
        <f t="shared" ca="1" si="33"/>
        <v>1.9314117607199164</v>
      </c>
      <c r="G298">
        <f t="shared" ca="1" si="34"/>
        <v>1.552138414059598</v>
      </c>
      <c r="H298">
        <f t="shared" ca="1" si="31"/>
        <v>1.2443553636871429</v>
      </c>
      <c r="I298">
        <f t="shared" ca="1" si="32"/>
        <v>55.443776142600328</v>
      </c>
      <c r="J298">
        <v>30</v>
      </c>
      <c r="K298">
        <v>70</v>
      </c>
    </row>
    <row r="299" spans="1:11" x14ac:dyDescent="0.25">
      <c r="A299" vm="593">
        <f ca="1"/>
        <v>45727</v>
      </c>
      <c r="B299" vm="594">
        <f ca="1"/>
        <v>248.95</v>
      </c>
      <c r="C299">
        <f t="shared" ca="1" si="28"/>
        <v>-7.9499999999999886</v>
      </c>
      <c r="D299">
        <f t="shared" ca="1" si="29"/>
        <v>0</v>
      </c>
      <c r="E299">
        <f t="shared" ca="1" si="30"/>
        <v>7.9499999999999886</v>
      </c>
      <c r="F299">
        <f t="shared" ca="1" si="33"/>
        <v>1.7934537778113508</v>
      </c>
      <c r="G299">
        <f t="shared" ca="1" si="34"/>
        <v>2.0091285273410544</v>
      </c>
      <c r="H299">
        <f t="shared" ca="1" si="31"/>
        <v>0.89265258713182749</v>
      </c>
      <c r="I299">
        <f t="shared" ca="1" si="32"/>
        <v>47.164101494430909</v>
      </c>
      <c r="J299">
        <v>30</v>
      </c>
      <c r="K299">
        <v>70</v>
      </c>
    </row>
    <row r="300" spans="1:11" x14ac:dyDescent="0.25">
      <c r="A300" vm="595">
        <f ca="1"/>
        <v>45728</v>
      </c>
      <c r="B300" vm="596">
        <f ca="1"/>
        <v>249.63</v>
      </c>
      <c r="C300">
        <f t="shared" ca="1" si="28"/>
        <v>0.68000000000000682</v>
      </c>
      <c r="D300">
        <f t="shared" ca="1" si="29"/>
        <v>0.68000000000000682</v>
      </c>
      <c r="E300">
        <f t="shared" ca="1" si="30"/>
        <v>0</v>
      </c>
      <c r="F300">
        <f t="shared" ca="1" si="33"/>
        <v>1.7139213651105405</v>
      </c>
      <c r="G300">
        <f t="shared" ca="1" si="34"/>
        <v>1.8656193468166933</v>
      </c>
      <c r="H300">
        <f t="shared" ca="1" si="31"/>
        <v>0.91868760261036364</v>
      </c>
      <c r="I300">
        <f t="shared" ca="1" si="32"/>
        <v>47.881041257602035</v>
      </c>
      <c r="J300">
        <v>30</v>
      </c>
      <c r="K300">
        <v>70</v>
      </c>
    </row>
    <row r="301" spans="1:11" x14ac:dyDescent="0.25">
      <c r="A301" vm="597">
        <f ca="1"/>
        <v>45729</v>
      </c>
      <c r="B301" vm="598">
        <f ca="1"/>
        <v>245.8</v>
      </c>
      <c r="C301">
        <f t="shared" ca="1" si="28"/>
        <v>-3.8299999999999841</v>
      </c>
      <c r="D301">
        <f t="shared" ca="1" si="29"/>
        <v>0</v>
      </c>
      <c r="E301">
        <f t="shared" ca="1" si="30"/>
        <v>3.8299999999999841</v>
      </c>
      <c r="F301">
        <f t="shared" ca="1" si="33"/>
        <v>1.5914984104597878</v>
      </c>
      <c r="G301">
        <f t="shared" ca="1" si="34"/>
        <v>2.0059322506155</v>
      </c>
      <c r="H301">
        <f t="shared" ca="1" si="31"/>
        <v>0.79339589359084917</v>
      </c>
      <c r="I301">
        <f t="shared" ca="1" si="32"/>
        <v>44.239863402511894</v>
      </c>
      <c r="J301">
        <v>30</v>
      </c>
      <c r="K301">
        <v>70</v>
      </c>
    </row>
    <row r="302" spans="1:11" x14ac:dyDescent="0.25">
      <c r="A302" vm="599">
        <f ca="1"/>
        <v>45730</v>
      </c>
      <c r="B302" vm="600">
        <f ca="1"/>
        <v>248.35</v>
      </c>
      <c r="C302">
        <f t="shared" ca="1" si="28"/>
        <v>2.5499999999999829</v>
      </c>
      <c r="D302">
        <f t="shared" ca="1" si="29"/>
        <v>2.5499999999999829</v>
      </c>
      <c r="E302">
        <f t="shared" ca="1" si="30"/>
        <v>0</v>
      </c>
      <c r="F302">
        <f t="shared" ca="1" si="33"/>
        <v>1.6599628097126591</v>
      </c>
      <c r="G302">
        <f t="shared" ca="1" si="34"/>
        <v>1.8626513755715357</v>
      </c>
      <c r="H302">
        <f t="shared" ca="1" si="31"/>
        <v>0.89118276854320966</v>
      </c>
      <c r="I302">
        <f t="shared" ca="1" si="32"/>
        <v>47.1230376760303</v>
      </c>
      <c r="J302">
        <v>30</v>
      </c>
      <c r="K302">
        <v>70</v>
      </c>
    </row>
    <row r="303" spans="1:11" x14ac:dyDescent="0.25">
      <c r="A303" vm="601">
        <f ca="1"/>
        <v>45733</v>
      </c>
      <c r="B303" vm="602">
        <f ca="1"/>
        <v>252.97</v>
      </c>
      <c r="C303">
        <f t="shared" ca="1" si="28"/>
        <v>4.6200000000000045</v>
      </c>
      <c r="D303">
        <f t="shared" ca="1" si="29"/>
        <v>4.6200000000000045</v>
      </c>
      <c r="E303">
        <f t="shared" ca="1" si="30"/>
        <v>0</v>
      </c>
      <c r="F303">
        <f t="shared" ca="1" si="33"/>
        <v>1.8713940375903266</v>
      </c>
      <c r="G303">
        <f t="shared" ca="1" si="34"/>
        <v>1.7296048487449975</v>
      </c>
      <c r="H303">
        <f t="shared" ca="1" si="31"/>
        <v>1.0819777933371379</v>
      </c>
      <c r="I303">
        <f t="shared" ca="1" si="32"/>
        <v>51.968748024102076</v>
      </c>
      <c r="J303">
        <v>30</v>
      </c>
      <c r="K303">
        <v>70</v>
      </c>
    </row>
    <row r="304" spans="1:11" x14ac:dyDescent="0.25">
      <c r="A304" vm="603">
        <f ca="1"/>
        <v>45734</v>
      </c>
      <c r="B304" vm="604">
        <f ca="1"/>
        <v>246.95</v>
      </c>
      <c r="C304">
        <f t="shared" ca="1" si="28"/>
        <v>-6.0200000000000102</v>
      </c>
      <c r="D304">
        <f t="shared" ca="1" si="29"/>
        <v>0</v>
      </c>
      <c r="E304">
        <f t="shared" ca="1" si="30"/>
        <v>6.0200000000000102</v>
      </c>
      <c r="F304">
        <f t="shared" ca="1" si="33"/>
        <v>1.7377230349053032</v>
      </c>
      <c r="G304">
        <f t="shared" ca="1" si="34"/>
        <v>2.0360616452632128</v>
      </c>
      <c r="H304">
        <f t="shared" ca="1" si="31"/>
        <v>0.85347270253237262</v>
      </c>
      <c r="I304">
        <f t="shared" ca="1" si="32"/>
        <v>46.047222673756423</v>
      </c>
      <c r="J304">
        <v>30</v>
      </c>
      <c r="K304">
        <v>70</v>
      </c>
    </row>
    <row r="305" spans="1:11" x14ac:dyDescent="0.25">
      <c r="A305" vm="605">
        <f ca="1"/>
        <v>45735</v>
      </c>
      <c r="B305" vm="606">
        <f ca="1"/>
        <v>252.29</v>
      </c>
      <c r="C305">
        <f t="shared" ca="1" si="28"/>
        <v>5.3400000000000034</v>
      </c>
      <c r="D305">
        <f t="shared" ca="1" si="29"/>
        <v>5.3400000000000034</v>
      </c>
      <c r="E305">
        <f t="shared" ca="1" si="30"/>
        <v>0</v>
      </c>
      <c r="F305">
        <f t="shared" ca="1" si="33"/>
        <v>1.9950285324120676</v>
      </c>
      <c r="G305">
        <f t="shared" ca="1" si="34"/>
        <v>1.8906286706015547</v>
      </c>
      <c r="H305">
        <f t="shared" ca="1" si="31"/>
        <v>1.055219654411194</v>
      </c>
      <c r="I305">
        <f t="shared" ca="1" si="32"/>
        <v>51.343400309856754</v>
      </c>
      <c r="J305">
        <v>30</v>
      </c>
      <c r="K305">
        <v>70</v>
      </c>
    </row>
    <row r="306" spans="1:11" x14ac:dyDescent="0.25">
      <c r="A306" vm="607">
        <f ca="1"/>
        <v>45736</v>
      </c>
      <c r="B306" vm="608">
        <f ca="1"/>
        <v>243.32</v>
      </c>
      <c r="C306">
        <f t="shared" ca="1" si="28"/>
        <v>-8.9699999999999989</v>
      </c>
      <c r="D306">
        <f t="shared" ca="1" si="29"/>
        <v>0</v>
      </c>
      <c r="E306">
        <f t="shared" ca="1" si="30"/>
        <v>8.9699999999999989</v>
      </c>
      <c r="F306">
        <f t="shared" ca="1" si="33"/>
        <v>1.8525264943826341</v>
      </c>
      <c r="G306">
        <f t="shared" ca="1" si="34"/>
        <v>2.396298051272872</v>
      </c>
      <c r="H306">
        <f t="shared" ca="1" si="31"/>
        <v>0.77307849639096615</v>
      </c>
      <c r="I306">
        <f t="shared" ca="1" si="32"/>
        <v>43.600917723864903</v>
      </c>
      <c r="J306">
        <v>30</v>
      </c>
      <c r="K306">
        <v>70</v>
      </c>
    </row>
    <row r="307" spans="1:11" x14ac:dyDescent="0.25">
      <c r="A307" vm="609">
        <f ca="1"/>
        <v>45737</v>
      </c>
      <c r="B307" vm="610">
        <f ca="1"/>
        <v>243.87</v>
      </c>
      <c r="C307">
        <f t="shared" ca="1" si="28"/>
        <v>0.55000000000001137</v>
      </c>
      <c r="D307">
        <f t="shared" ca="1" si="29"/>
        <v>0.55000000000001137</v>
      </c>
      <c r="E307">
        <f t="shared" ca="1" si="30"/>
        <v>0</v>
      </c>
      <c r="F307">
        <f t="shared" ca="1" si="33"/>
        <v>1.7594888876410182</v>
      </c>
      <c r="G307">
        <f t="shared" ca="1" si="34"/>
        <v>2.2251339047533811</v>
      </c>
      <c r="H307">
        <f t="shared" ca="1" si="31"/>
        <v>0.79073393465550923</v>
      </c>
      <c r="I307">
        <f t="shared" ca="1" si="32"/>
        <v>44.156974933723248</v>
      </c>
      <c r="J307">
        <v>30</v>
      </c>
      <c r="K307">
        <v>70</v>
      </c>
    </row>
    <row r="308" spans="1:11" x14ac:dyDescent="0.25">
      <c r="A308" vm="611">
        <f ca="1"/>
        <v>45740</v>
      </c>
      <c r="B308" vm="612">
        <f ca="1"/>
        <v>248.45</v>
      </c>
      <c r="C308">
        <f t="shared" ca="1" si="28"/>
        <v>4.5799999999999841</v>
      </c>
      <c r="D308">
        <f t="shared" ca="1" si="29"/>
        <v>4.5799999999999841</v>
      </c>
      <c r="E308">
        <f t="shared" ca="1" si="30"/>
        <v>0</v>
      </c>
      <c r="F308">
        <f t="shared" ca="1" si="33"/>
        <v>1.9609539670952301</v>
      </c>
      <c r="G308">
        <f t="shared" ca="1" si="34"/>
        <v>2.066195768699568</v>
      </c>
      <c r="H308">
        <f t="shared" ca="1" si="31"/>
        <v>0.9490649418614503</v>
      </c>
      <c r="I308">
        <f t="shared" ca="1" si="32"/>
        <v>48.693346305590403</v>
      </c>
      <c r="J308">
        <v>30</v>
      </c>
      <c r="K308">
        <v>70</v>
      </c>
    </row>
    <row r="309" spans="1:11" x14ac:dyDescent="0.25">
      <c r="A309" vm="613">
        <f ca="1"/>
        <v>45741</v>
      </c>
      <c r="B309" vm="614">
        <f ca="1"/>
        <v>249.9</v>
      </c>
      <c r="C309">
        <f t="shared" ca="1" si="28"/>
        <v>1.4500000000000171</v>
      </c>
      <c r="D309">
        <f t="shared" ca="1" si="29"/>
        <v>1.4500000000000171</v>
      </c>
      <c r="E309">
        <f t="shared" ca="1" si="30"/>
        <v>0</v>
      </c>
      <c r="F309">
        <f t="shared" ca="1" si="33"/>
        <v>1.9244572551598578</v>
      </c>
      <c r="G309">
        <f t="shared" ca="1" si="34"/>
        <v>1.9186103566495987</v>
      </c>
      <c r="H309">
        <f t="shared" ca="1" si="31"/>
        <v>1.0030474653125867</v>
      </c>
      <c r="I309">
        <f t="shared" ca="1" si="32"/>
        <v>50.076070721372325</v>
      </c>
      <c r="J309">
        <v>30</v>
      </c>
      <c r="K309">
        <v>70</v>
      </c>
    </row>
    <row r="310" spans="1:11" x14ac:dyDescent="0.25">
      <c r="A310" vm="615">
        <f ca="1"/>
        <v>45742</v>
      </c>
      <c r="B310" vm="616">
        <f ca="1"/>
        <v>250.34</v>
      </c>
      <c r="C310">
        <f t="shared" ca="1" si="28"/>
        <v>0.43999999999999773</v>
      </c>
      <c r="D310">
        <f t="shared" ca="1" si="29"/>
        <v>0.43999999999999773</v>
      </c>
      <c r="E310">
        <f t="shared" ca="1" si="30"/>
        <v>0</v>
      </c>
      <c r="F310">
        <f t="shared" ca="1" si="33"/>
        <v>1.8184245940770105</v>
      </c>
      <c r="G310">
        <f t="shared" ca="1" si="34"/>
        <v>1.7815667597460558</v>
      </c>
      <c r="H310">
        <f t="shared" ca="1" si="31"/>
        <v>1.0206884384934352</v>
      </c>
      <c r="I310">
        <f t="shared" ca="1" si="32"/>
        <v>50.511915595183488</v>
      </c>
      <c r="J310">
        <v>30</v>
      </c>
      <c r="K310">
        <v>70</v>
      </c>
    </row>
    <row r="311" spans="1:11" x14ac:dyDescent="0.25">
      <c r="A311" vm="617">
        <f ca="1"/>
        <v>45743</v>
      </c>
      <c r="B311" vm="618">
        <f ca="1"/>
        <v>246.21</v>
      </c>
      <c r="C311">
        <f t="shared" ca="1" si="28"/>
        <v>-4.1299999999999955</v>
      </c>
      <c r="D311">
        <f t="shared" ca="1" si="29"/>
        <v>0</v>
      </c>
      <c r="E311">
        <f t="shared" ca="1" si="30"/>
        <v>4.1299999999999955</v>
      </c>
      <c r="F311">
        <f t="shared" ca="1" si="33"/>
        <v>1.6885371230715098</v>
      </c>
      <c r="G311">
        <f t="shared" ca="1" si="34"/>
        <v>1.9493119911927657</v>
      </c>
      <c r="H311">
        <f t="shared" ca="1" si="31"/>
        <v>0.8662220982072294</v>
      </c>
      <c r="I311">
        <f t="shared" ca="1" si="32"/>
        <v>46.415809728078905</v>
      </c>
      <c r="J311">
        <v>30</v>
      </c>
      <c r="K311">
        <v>70</v>
      </c>
    </row>
    <row r="312" spans="1:11" x14ac:dyDescent="0.25">
      <c r="A312" vm="619">
        <f ca="1"/>
        <v>45744</v>
      </c>
      <c r="B312" vm="620">
        <f ca="1"/>
        <v>244</v>
      </c>
      <c r="C312">
        <f t="shared" ca="1" si="28"/>
        <v>-2.210000000000008</v>
      </c>
      <c r="D312">
        <f t="shared" ca="1" si="29"/>
        <v>0</v>
      </c>
      <c r="E312">
        <f t="shared" ca="1" si="30"/>
        <v>2.210000000000008</v>
      </c>
      <c r="F312">
        <f t="shared" ca="1" si="33"/>
        <v>1.5679273285664019</v>
      </c>
      <c r="G312">
        <f t="shared" ca="1" si="34"/>
        <v>1.9679325632504256</v>
      </c>
      <c r="H312">
        <f t="shared" ca="1" si="31"/>
        <v>0.79673834248500019</v>
      </c>
      <c r="I312">
        <f t="shared" ca="1" si="32"/>
        <v>44.343593257049434</v>
      </c>
      <c r="J312">
        <v>30</v>
      </c>
      <c r="K312">
        <v>70</v>
      </c>
    </row>
    <row r="313" spans="1:11" x14ac:dyDescent="0.25">
      <c r="A313" vm="621">
        <f ca="1"/>
        <v>45747</v>
      </c>
      <c r="B313" vm="622">
        <f ca="1"/>
        <v>248.66</v>
      </c>
      <c r="C313">
        <f t="shared" ca="1" si="28"/>
        <v>4.6599999999999966</v>
      </c>
      <c r="D313">
        <f t="shared" ca="1" si="29"/>
        <v>4.6599999999999966</v>
      </c>
      <c r="E313">
        <f t="shared" ca="1" si="30"/>
        <v>0</v>
      </c>
      <c r="F313">
        <f t="shared" ca="1" si="33"/>
        <v>1.7887896622402302</v>
      </c>
      <c r="G313">
        <f t="shared" ca="1" si="34"/>
        <v>1.827365951589681</v>
      </c>
      <c r="H313">
        <f t="shared" ca="1" si="31"/>
        <v>0.97888967488099898</v>
      </c>
      <c r="I313">
        <f t="shared" ca="1" si="32"/>
        <v>49.466611873643977</v>
      </c>
      <c r="J313">
        <v>30</v>
      </c>
      <c r="K313">
        <v>70</v>
      </c>
    </row>
    <row r="314" spans="1:11" x14ac:dyDescent="0.25">
      <c r="A314" vm="623">
        <f ca="1"/>
        <v>45748</v>
      </c>
      <c r="B314" vm="616">
        <f ca="1"/>
        <v>250.34</v>
      </c>
      <c r="C314">
        <f t="shared" ca="1" si="28"/>
        <v>1.6800000000000068</v>
      </c>
      <c r="D314">
        <f t="shared" ca="1" si="29"/>
        <v>1.6800000000000068</v>
      </c>
      <c r="E314">
        <f t="shared" ca="1" si="30"/>
        <v>0</v>
      </c>
      <c r="F314">
        <f t="shared" ca="1" si="33"/>
        <v>1.7810189720802143</v>
      </c>
      <c r="G314">
        <f t="shared" ca="1" si="34"/>
        <v>1.696839812190418</v>
      </c>
      <c r="H314">
        <f t="shared" ca="1" si="31"/>
        <v>1.0496093734276137</v>
      </c>
      <c r="I314">
        <f t="shared" ca="1" si="32"/>
        <v>51.210215323728995</v>
      </c>
      <c r="J314">
        <v>30</v>
      </c>
      <c r="K314">
        <v>70</v>
      </c>
    </row>
    <row r="315" spans="1:11" x14ac:dyDescent="0.25">
      <c r="A315" vm="624">
        <f ca="1"/>
        <v>45749</v>
      </c>
      <c r="B315" vm="625">
        <f ca="1"/>
        <v>249.98</v>
      </c>
      <c r="C315">
        <f t="shared" ca="1" si="28"/>
        <v>-0.36000000000001364</v>
      </c>
      <c r="D315">
        <f t="shared" ca="1" si="29"/>
        <v>0</v>
      </c>
      <c r="E315">
        <f t="shared" ca="1" si="30"/>
        <v>0.36000000000001364</v>
      </c>
      <c r="F315">
        <f t="shared" ca="1" si="33"/>
        <v>1.6538033312173419</v>
      </c>
      <c r="G315">
        <f t="shared" ca="1" si="34"/>
        <v>1.6013512541768178</v>
      </c>
      <c r="H315">
        <f t="shared" ca="1" si="31"/>
        <v>1.0327548855403916</v>
      </c>
      <c r="I315">
        <f t="shared" ca="1" si="32"/>
        <v>50.805677206174423</v>
      </c>
      <c r="J315">
        <v>30</v>
      </c>
      <c r="K315">
        <v>70</v>
      </c>
    </row>
    <row r="316" spans="1:11" x14ac:dyDescent="0.25">
      <c r="A316" vm="626">
        <f ca="1"/>
        <v>45750</v>
      </c>
      <c r="B316" vm="627">
        <f ca="1"/>
        <v>243.49</v>
      </c>
      <c r="C316">
        <f t="shared" ca="1" si="28"/>
        <v>-6.4899999999999807</v>
      </c>
      <c r="D316">
        <f t="shared" ca="1" si="29"/>
        <v>0</v>
      </c>
      <c r="E316">
        <f t="shared" ca="1" si="30"/>
        <v>6.4899999999999807</v>
      </c>
      <c r="F316">
        <f t="shared" ca="1" si="33"/>
        <v>1.5356745218446746</v>
      </c>
      <c r="G316">
        <f t="shared" ca="1" si="34"/>
        <v>1.9505404503070436</v>
      </c>
      <c r="H316">
        <f t="shared" ca="1" si="31"/>
        <v>0.78730719047786835</v>
      </c>
      <c r="I316">
        <f t="shared" ca="1" si="32"/>
        <v>44.049908973250858</v>
      </c>
      <c r="J316">
        <v>30</v>
      </c>
      <c r="K316">
        <v>70</v>
      </c>
    </row>
    <row r="317" spans="1:11" x14ac:dyDescent="0.25">
      <c r="A317" vm="628">
        <f ca="1"/>
        <v>45751</v>
      </c>
      <c r="B317" vm="629">
        <f ca="1"/>
        <v>227.48</v>
      </c>
      <c r="C317">
        <f t="shared" ca="1" si="28"/>
        <v>-16.010000000000019</v>
      </c>
      <c r="D317">
        <f t="shared" ca="1" si="29"/>
        <v>0</v>
      </c>
      <c r="E317">
        <f t="shared" ca="1" si="30"/>
        <v>16.010000000000019</v>
      </c>
      <c r="F317">
        <f t="shared" ca="1" si="33"/>
        <v>1.425983484570055</v>
      </c>
      <c r="G317">
        <f t="shared" ca="1" si="34"/>
        <v>2.954787560999399</v>
      </c>
      <c r="H317">
        <f t="shared" ca="1" si="31"/>
        <v>0.4826010178842583</v>
      </c>
      <c r="I317">
        <f t="shared" ca="1" si="32"/>
        <v>32.550970359709638</v>
      </c>
      <c r="J317">
        <v>30</v>
      </c>
      <c r="K317">
        <v>70</v>
      </c>
    </row>
    <row r="318" spans="1:11" x14ac:dyDescent="0.25">
      <c r="A318" vm="630">
        <f ca="1"/>
        <v>45754</v>
      </c>
      <c r="B318" vm="631">
        <f ca="1"/>
        <v>225.78</v>
      </c>
      <c r="C318">
        <f t="shared" ca="1" si="28"/>
        <v>-1.6999999999999886</v>
      </c>
      <c r="D318">
        <f t="shared" ca="1" si="29"/>
        <v>0</v>
      </c>
      <c r="E318">
        <f t="shared" ca="1" si="30"/>
        <v>1.6999999999999886</v>
      </c>
      <c r="F318">
        <f t="shared" ca="1" si="33"/>
        <v>1.3241275213864796</v>
      </c>
      <c r="G318">
        <f t="shared" ca="1" si="34"/>
        <v>2.8651598780708696</v>
      </c>
      <c r="H318">
        <f t="shared" ca="1" si="31"/>
        <v>0.46214786529749369</v>
      </c>
      <c r="I318">
        <f t="shared" ca="1" si="32"/>
        <v>31.607464352004058</v>
      </c>
      <c r="J318">
        <v>30</v>
      </c>
      <c r="K318">
        <v>70</v>
      </c>
    </row>
    <row r="319" spans="1:11" x14ac:dyDescent="0.25">
      <c r="A319" vm="632">
        <f ca="1"/>
        <v>45755</v>
      </c>
      <c r="B319" vm="633">
        <f ca="1"/>
        <v>221.03</v>
      </c>
      <c r="C319">
        <f t="shared" ca="1" si="28"/>
        <v>-4.75</v>
      </c>
      <c r="D319">
        <f t="shared" ca="1" si="29"/>
        <v>0</v>
      </c>
      <c r="E319">
        <f t="shared" ca="1" si="30"/>
        <v>4.75</v>
      </c>
      <c r="F319">
        <f t="shared" ca="1" si="33"/>
        <v>1.2295469841445883</v>
      </c>
      <c r="G319">
        <f t="shared" ca="1" si="34"/>
        <v>2.9997913153515219</v>
      </c>
      <c r="H319">
        <f t="shared" ca="1" si="31"/>
        <v>0.4098775064293122</v>
      </c>
      <c r="I319">
        <f t="shared" ca="1" si="32"/>
        <v>29.071852310586692</v>
      </c>
      <c r="J319">
        <v>30</v>
      </c>
      <c r="K319">
        <v>70</v>
      </c>
    </row>
    <row r="320" spans="1:11" x14ac:dyDescent="0.25">
      <c r="A320" vm="634">
        <f ca="1"/>
        <v>45756</v>
      </c>
      <c r="B320" vm="635">
        <f ca="1"/>
        <v>235.31</v>
      </c>
      <c r="C320">
        <f t="shared" ca="1" si="28"/>
        <v>14.280000000000001</v>
      </c>
      <c r="D320">
        <f t="shared" ca="1" si="29"/>
        <v>14.280000000000001</v>
      </c>
      <c r="E320">
        <f t="shared" ca="1" si="30"/>
        <v>0</v>
      </c>
      <c r="F320">
        <f t="shared" ca="1" si="33"/>
        <v>2.1617221995628322</v>
      </c>
      <c r="G320">
        <f t="shared" ca="1" si="34"/>
        <v>2.7855205071121274</v>
      </c>
      <c r="H320">
        <f t="shared" ca="1" si="31"/>
        <v>0.77605682458392145</v>
      </c>
      <c r="I320">
        <f t="shared" ca="1" si="32"/>
        <v>43.695495202735366</v>
      </c>
      <c r="J320">
        <v>30</v>
      </c>
      <c r="K320">
        <v>70</v>
      </c>
    </row>
    <row r="321" spans="1:11" x14ac:dyDescent="0.25">
      <c r="A321" vm="636">
        <f ca="1"/>
        <v>45757</v>
      </c>
      <c r="B321" vm="637">
        <f ca="1"/>
        <v>229.55</v>
      </c>
      <c r="C321">
        <f t="shared" ca="1" si="28"/>
        <v>-5.7599999999999909</v>
      </c>
      <c r="D321">
        <f t="shared" ca="1" si="29"/>
        <v>0</v>
      </c>
      <c r="E321">
        <f t="shared" ca="1" si="30"/>
        <v>5.7599999999999909</v>
      </c>
      <c r="F321">
        <f t="shared" ca="1" si="33"/>
        <v>2.0073134710226297</v>
      </c>
      <c r="G321">
        <f t="shared" ca="1" si="34"/>
        <v>2.9979833280326891</v>
      </c>
      <c r="H321">
        <f t="shared" ca="1" si="31"/>
        <v>0.66955458099223375</v>
      </c>
      <c r="I321">
        <f t="shared" ca="1" si="32"/>
        <v>40.103785082264899</v>
      </c>
      <c r="J321">
        <v>30</v>
      </c>
      <c r="K321">
        <v>70</v>
      </c>
    </row>
    <row r="322" spans="1:11" x14ac:dyDescent="0.25">
      <c r="A322" vm="638">
        <f ca="1"/>
        <v>45758</v>
      </c>
      <c r="B322" vm="639">
        <f ca="1"/>
        <v>235.48</v>
      </c>
      <c r="C322">
        <f t="shared" ca="1" si="28"/>
        <v>5.9299999999999784</v>
      </c>
      <c r="D322">
        <f t="shared" ca="1" si="29"/>
        <v>5.9299999999999784</v>
      </c>
      <c r="E322">
        <f t="shared" ca="1" si="30"/>
        <v>0</v>
      </c>
      <c r="F322">
        <f t="shared" ca="1" si="33"/>
        <v>2.2875053659495834</v>
      </c>
      <c r="G322">
        <f t="shared" ca="1" si="34"/>
        <v>2.7838416617446398</v>
      </c>
      <c r="H322">
        <f t="shared" ca="1" si="31"/>
        <v>0.82170814431881112</v>
      </c>
      <c r="I322">
        <f t="shared" ca="1" si="32"/>
        <v>45.106464879206619</v>
      </c>
      <c r="J322">
        <v>30</v>
      </c>
      <c r="K322">
        <v>70</v>
      </c>
    </row>
    <row r="323" spans="1:11" x14ac:dyDescent="0.25">
      <c r="A323" vm="640">
        <f ca="1"/>
        <v>45761</v>
      </c>
      <c r="B323" vm="641">
        <f ca="1"/>
        <v>239.06</v>
      </c>
      <c r="C323">
        <f t="shared" ca="1" si="28"/>
        <v>3.5800000000000125</v>
      </c>
      <c r="D323">
        <f t="shared" ca="1" si="29"/>
        <v>3.5800000000000125</v>
      </c>
      <c r="E323">
        <f t="shared" ca="1" si="30"/>
        <v>0</v>
      </c>
      <c r="F323">
        <f t="shared" ca="1" si="33"/>
        <v>2.3798264112388998</v>
      </c>
      <c r="G323">
        <f t="shared" ca="1" si="34"/>
        <v>2.5849958287628794</v>
      </c>
      <c r="H323">
        <f t="shared" ca="1" si="31"/>
        <v>0.92063065818478751</v>
      </c>
      <c r="I323">
        <f t="shared" ca="1" si="32"/>
        <v>47.933768747338817</v>
      </c>
      <c r="J323">
        <v>30</v>
      </c>
      <c r="K323">
        <v>70</v>
      </c>
    </row>
    <row r="324" spans="1:11" x14ac:dyDescent="0.25">
      <c r="A324" vm="642">
        <f ca="1"/>
        <v>45762</v>
      </c>
      <c r="B324" vm="643">
        <f ca="1"/>
        <v>240.7</v>
      </c>
      <c r="C324">
        <f t="shared" ref="C324:C387" ca="1" si="35">B324-B323</f>
        <v>1.6399999999999864</v>
      </c>
      <c r="D324">
        <f t="shared" ref="D324:D387" ca="1" si="36">MAX(C324,0)</f>
        <v>1.6399999999999864</v>
      </c>
      <c r="E324">
        <f t="shared" ref="E324:E387" ca="1" si="37">MAX(-C324,0)</f>
        <v>0</v>
      </c>
      <c r="F324">
        <f t="shared" ca="1" si="33"/>
        <v>2.3269816675789774</v>
      </c>
      <c r="G324">
        <f t="shared" ca="1" si="34"/>
        <v>2.4003532695655307</v>
      </c>
      <c r="H324">
        <f t="shared" ca="1" si="31"/>
        <v>0.96943299850199394</v>
      </c>
      <c r="I324">
        <f t="shared" ca="1" si="32"/>
        <v>49.223964422215523</v>
      </c>
      <c r="J324">
        <v>30</v>
      </c>
      <c r="K324">
        <v>70</v>
      </c>
    </row>
    <row r="325" spans="1:11" x14ac:dyDescent="0.25">
      <c r="A325" vm="644">
        <f ca="1"/>
        <v>45763</v>
      </c>
      <c r="B325" vm="645">
        <f ca="1"/>
        <v>238.57</v>
      </c>
      <c r="C325">
        <f t="shared" ca="1" si="35"/>
        <v>-2.1299999999999955</v>
      </c>
      <c r="D325">
        <f t="shared" ca="1" si="36"/>
        <v>0</v>
      </c>
      <c r="E325">
        <f t="shared" ca="1" si="37"/>
        <v>2.1299999999999955</v>
      </c>
      <c r="F325">
        <f t="shared" ca="1" si="33"/>
        <v>2.1607686913233364</v>
      </c>
      <c r="G325">
        <f t="shared" ca="1" si="34"/>
        <v>2.3810423217394212</v>
      </c>
      <c r="H325">
        <f t="shared" ca="1" si="31"/>
        <v>0.90748856985659609</v>
      </c>
      <c r="I325">
        <f t="shared" ca="1" si="32"/>
        <v>47.575046277987425</v>
      </c>
      <c r="J325">
        <v>30</v>
      </c>
      <c r="K325">
        <v>70</v>
      </c>
    </row>
    <row r="326" spans="1:11" x14ac:dyDescent="0.25">
      <c r="A326" vm="646">
        <f ca="1"/>
        <v>45764</v>
      </c>
      <c r="B326" vm="647">
        <f ca="1"/>
        <v>238.81</v>
      </c>
      <c r="C326">
        <f t="shared" ca="1" si="35"/>
        <v>0.24000000000000909</v>
      </c>
      <c r="D326">
        <f t="shared" ca="1" si="36"/>
        <v>0.24000000000000909</v>
      </c>
      <c r="E326">
        <f t="shared" ca="1" si="37"/>
        <v>0</v>
      </c>
      <c r="F326">
        <f t="shared" ca="1" si="33"/>
        <v>2.0235709276573846</v>
      </c>
      <c r="G326">
        <f t="shared" ca="1" si="34"/>
        <v>2.2109678701866051</v>
      </c>
      <c r="H326">
        <f t="shared" ca="1" si="31"/>
        <v>0.91524212311895592</v>
      </c>
      <c r="I326">
        <f t="shared" ca="1" si="32"/>
        <v>47.787280368943208</v>
      </c>
      <c r="J326">
        <v>30</v>
      </c>
      <c r="K326">
        <v>70</v>
      </c>
    </row>
    <row r="327" spans="1:11" x14ac:dyDescent="0.25">
      <c r="A327" vm="648">
        <f ca="1"/>
        <v>45768</v>
      </c>
      <c r="B327" vm="649">
        <f ca="1"/>
        <v>236.22</v>
      </c>
      <c r="C327">
        <f t="shared" ca="1" si="35"/>
        <v>-2.5900000000000034</v>
      </c>
      <c r="D327">
        <f t="shared" ca="1" si="36"/>
        <v>0</v>
      </c>
      <c r="E327">
        <f t="shared" ca="1" si="37"/>
        <v>2.5900000000000034</v>
      </c>
      <c r="F327">
        <f t="shared" ca="1" si="33"/>
        <v>1.8790301471104285</v>
      </c>
      <c r="G327">
        <f t="shared" ca="1" si="34"/>
        <v>2.2380415937447049</v>
      </c>
      <c r="H327">
        <f t="shared" ca="1" si="31"/>
        <v>0.83958678532261932</v>
      </c>
      <c r="I327">
        <f t="shared" ca="1" si="32"/>
        <v>45.639966106593661</v>
      </c>
      <c r="J327">
        <v>30</v>
      </c>
      <c r="K327">
        <v>70</v>
      </c>
    </row>
    <row r="328" spans="1:11" x14ac:dyDescent="0.25">
      <c r="A328" vm="650">
        <f ca="1"/>
        <v>45769</v>
      </c>
      <c r="B328" vm="651">
        <f ca="1"/>
        <v>240.9</v>
      </c>
      <c r="C328">
        <f t="shared" ca="1" si="35"/>
        <v>4.6800000000000068</v>
      </c>
      <c r="D328">
        <f t="shared" ca="1" si="36"/>
        <v>4.6800000000000068</v>
      </c>
      <c r="E328">
        <f t="shared" ca="1" si="37"/>
        <v>0</v>
      </c>
      <c r="F328">
        <f t="shared" ca="1" si="33"/>
        <v>2.0790994223168271</v>
      </c>
      <c r="G328">
        <f t="shared" ca="1" si="34"/>
        <v>2.0781814799057972</v>
      </c>
      <c r="H328">
        <f t="shared" ca="1" si="31"/>
        <v>1.0004417046441352</v>
      </c>
      <c r="I328">
        <f t="shared" ca="1" si="32"/>
        <v>50.011040177854468</v>
      </c>
      <c r="J328">
        <v>30</v>
      </c>
      <c r="K328">
        <v>70</v>
      </c>
    </row>
    <row r="329" spans="1:11" x14ac:dyDescent="0.25">
      <c r="A329" vm="652">
        <f ca="1"/>
        <v>45770</v>
      </c>
      <c r="B329" vm="653">
        <f ca="1"/>
        <v>245.48</v>
      </c>
      <c r="C329">
        <f t="shared" ca="1" si="35"/>
        <v>4.5799999999999841</v>
      </c>
      <c r="D329">
        <f t="shared" ca="1" si="36"/>
        <v>4.5799999999999841</v>
      </c>
      <c r="E329">
        <f t="shared" ca="1" si="37"/>
        <v>0</v>
      </c>
      <c r="F329">
        <f t="shared" ca="1" si="33"/>
        <v>2.2577351778656238</v>
      </c>
      <c r="G329">
        <f t="shared" ca="1" si="34"/>
        <v>1.9297399456268116</v>
      </c>
      <c r="H329">
        <f t="shared" ca="1" si="31"/>
        <v>1.169968618301195</v>
      </c>
      <c r="I329">
        <f t="shared" ca="1" si="32"/>
        <v>53.91638424785743</v>
      </c>
      <c r="J329">
        <v>30</v>
      </c>
      <c r="K329">
        <v>70</v>
      </c>
    </row>
    <row r="330" spans="1:11" x14ac:dyDescent="0.25">
      <c r="A330" vm="654">
        <f ca="1"/>
        <v>45771</v>
      </c>
      <c r="B330" vm="482">
        <f ca="1"/>
        <v>229.33</v>
      </c>
      <c r="C330">
        <f t="shared" ca="1" si="35"/>
        <v>-16.149999999999977</v>
      </c>
      <c r="D330">
        <f t="shared" ca="1" si="36"/>
        <v>0</v>
      </c>
      <c r="E330">
        <f t="shared" ca="1" si="37"/>
        <v>16.149999999999977</v>
      </c>
      <c r="F330">
        <f t="shared" ca="1" si="33"/>
        <v>2.0964683794466508</v>
      </c>
      <c r="G330">
        <f t="shared" ca="1" si="34"/>
        <v>2.9454728066534663</v>
      </c>
      <c r="H330">
        <f t="shared" ca="1" si="31"/>
        <v>0.71175954322544843</v>
      </c>
      <c r="I330">
        <f t="shared" ca="1" si="32"/>
        <v>41.580579821642957</v>
      </c>
      <c r="J330">
        <v>30</v>
      </c>
      <c r="K330">
        <v>70</v>
      </c>
    </row>
    <row r="331" spans="1:11" x14ac:dyDescent="0.25">
      <c r="A331" vm="655">
        <f ca="1"/>
        <v>45772</v>
      </c>
      <c r="B331" vm="656">
        <f ca="1"/>
        <v>232.41</v>
      </c>
      <c r="C331">
        <f t="shared" ca="1" si="35"/>
        <v>3.0799999999999841</v>
      </c>
      <c r="D331">
        <f t="shared" ca="1" si="36"/>
        <v>3.0799999999999841</v>
      </c>
      <c r="E331">
        <f t="shared" ca="1" si="37"/>
        <v>0</v>
      </c>
      <c r="F331">
        <f t="shared" ca="1" si="33"/>
        <v>2.1667206380576034</v>
      </c>
      <c r="G331">
        <f t="shared" ca="1" si="34"/>
        <v>2.7350818918925048</v>
      </c>
      <c r="H331">
        <f t="shared" ca="1" si="31"/>
        <v>0.79219589164051274</v>
      </c>
      <c r="I331">
        <f t="shared" ca="1" si="32"/>
        <v>44.202528045936127</v>
      </c>
      <c r="J331">
        <v>30</v>
      </c>
      <c r="K331">
        <v>70</v>
      </c>
    </row>
    <row r="332" spans="1:11" x14ac:dyDescent="0.25">
      <c r="A332" vm="657">
        <f ca="1"/>
        <v>45775</v>
      </c>
      <c r="B332" vm="658">
        <f ca="1"/>
        <v>236.16</v>
      </c>
      <c r="C332">
        <f t="shared" ca="1" si="35"/>
        <v>3.75</v>
      </c>
      <c r="D332">
        <f t="shared" ca="1" si="36"/>
        <v>3.75</v>
      </c>
      <c r="E332">
        <f t="shared" ca="1" si="37"/>
        <v>0</v>
      </c>
      <c r="F332">
        <f t="shared" ca="1" si="33"/>
        <v>2.2798120210534889</v>
      </c>
      <c r="G332">
        <f t="shared" ca="1" si="34"/>
        <v>2.5397188996144684</v>
      </c>
      <c r="H332">
        <f t="shared" ca="1" si="31"/>
        <v>0.89766313169523071</v>
      </c>
      <c r="I332">
        <f t="shared" ca="1" si="32"/>
        <v>47.303608143207455</v>
      </c>
      <c r="J332">
        <v>30</v>
      </c>
      <c r="K332">
        <v>70</v>
      </c>
    </row>
    <row r="333" spans="1:11" x14ac:dyDescent="0.25">
      <c r="A333" vm="659">
        <f ca="1"/>
        <v>45776</v>
      </c>
      <c r="B333" vm="660">
        <f ca="1"/>
        <v>239.39</v>
      </c>
      <c r="C333">
        <f t="shared" ca="1" si="35"/>
        <v>3.2299999999999898</v>
      </c>
      <c r="D333">
        <f t="shared" ca="1" si="36"/>
        <v>3.2299999999999898</v>
      </c>
      <c r="E333">
        <f t="shared" ca="1" si="37"/>
        <v>0</v>
      </c>
      <c r="F333">
        <f t="shared" ca="1" si="33"/>
        <v>2.3476825909782386</v>
      </c>
      <c r="G333">
        <f t="shared" ca="1" si="34"/>
        <v>2.3583104067848635</v>
      </c>
      <c r="H333">
        <f t="shared" ca="1" si="31"/>
        <v>0.99549346185470389</v>
      </c>
      <c r="I333">
        <f t="shared" ca="1" si="32"/>
        <v>49.887082111982785</v>
      </c>
      <c r="J333">
        <v>30</v>
      </c>
      <c r="K333">
        <v>70</v>
      </c>
    </row>
    <row r="334" spans="1:11" x14ac:dyDescent="0.25">
      <c r="A334" vm="661">
        <f ca="1"/>
        <v>45777</v>
      </c>
      <c r="B334" vm="662">
        <f ca="1"/>
        <v>241.82</v>
      </c>
      <c r="C334">
        <f t="shared" ca="1" si="35"/>
        <v>2.4300000000000068</v>
      </c>
      <c r="D334">
        <f t="shared" ca="1" si="36"/>
        <v>2.4300000000000068</v>
      </c>
      <c r="E334">
        <f t="shared" ca="1" si="37"/>
        <v>0</v>
      </c>
      <c r="F334">
        <f t="shared" ca="1" si="33"/>
        <v>2.3535624059083653</v>
      </c>
      <c r="G334">
        <f t="shared" ca="1" si="34"/>
        <v>2.1898596634430878</v>
      </c>
      <c r="H334">
        <f t="shared" ca="1" si="31"/>
        <v>1.0747549010551158</v>
      </c>
      <c r="I334">
        <f t="shared" ca="1" si="32"/>
        <v>51.801535714341469</v>
      </c>
      <c r="J334">
        <v>30</v>
      </c>
      <c r="K334">
        <v>70</v>
      </c>
    </row>
    <row r="335" spans="1:11" x14ac:dyDescent="0.25">
      <c r="A335" vm="663">
        <f ca="1"/>
        <v>45778</v>
      </c>
      <c r="B335" vm="664">
        <f ca="1"/>
        <v>239.66</v>
      </c>
      <c r="C335">
        <f t="shared" ca="1" si="35"/>
        <v>-2.1599999999999966</v>
      </c>
      <c r="D335">
        <f t="shared" ca="1" si="36"/>
        <v>0</v>
      </c>
      <c r="E335">
        <f t="shared" ca="1" si="37"/>
        <v>2.1599999999999966</v>
      </c>
      <c r="F335">
        <f t="shared" ca="1" si="33"/>
        <v>2.1854508054863393</v>
      </c>
      <c r="G335">
        <f t="shared" ca="1" si="34"/>
        <v>2.1877268303400101</v>
      </c>
      <c r="H335">
        <f t="shared" ca="1" si="31"/>
        <v>0.99895963937448395</v>
      </c>
      <c r="I335">
        <f t="shared" ca="1" si="32"/>
        <v>49.973977447942829</v>
      </c>
      <c r="J335">
        <v>30</v>
      </c>
      <c r="K335">
        <v>70</v>
      </c>
    </row>
    <row r="336" spans="1:11" x14ac:dyDescent="0.25">
      <c r="A336" vm="665">
        <f ca="1"/>
        <v>45779</v>
      </c>
      <c r="B336" vm="666">
        <f ca="1"/>
        <v>245.55</v>
      </c>
      <c r="C336">
        <f t="shared" ca="1" si="35"/>
        <v>5.8900000000000148</v>
      </c>
      <c r="D336">
        <f t="shared" ca="1" si="36"/>
        <v>5.8900000000000148</v>
      </c>
      <c r="E336">
        <f t="shared" ca="1" si="37"/>
        <v>0</v>
      </c>
      <c r="F336">
        <f t="shared" ca="1" si="33"/>
        <v>2.4500614622373158</v>
      </c>
      <c r="G336">
        <f t="shared" ca="1" si="34"/>
        <v>2.0314606281728667</v>
      </c>
      <c r="H336">
        <f t="shared" ca="1" si="31"/>
        <v>1.2060590435567271</v>
      </c>
      <c r="I336">
        <f t="shared" ca="1" si="32"/>
        <v>54.670297564305159</v>
      </c>
      <c r="J336">
        <v>30</v>
      </c>
      <c r="K336">
        <v>70</v>
      </c>
    </row>
    <row r="337" spans="1:11" x14ac:dyDescent="0.25">
      <c r="A337" vm="667">
        <f ca="1"/>
        <v>45782</v>
      </c>
      <c r="B337" vm="668">
        <f ca="1"/>
        <v>249.18</v>
      </c>
      <c r="C337">
        <f t="shared" ca="1" si="35"/>
        <v>3.6299999999999955</v>
      </c>
      <c r="D337">
        <f t="shared" ca="1" si="36"/>
        <v>3.6299999999999955</v>
      </c>
      <c r="E337">
        <f t="shared" ca="1" si="37"/>
        <v>0</v>
      </c>
      <c r="F337">
        <f t="shared" ca="1" si="33"/>
        <v>2.5343427863632217</v>
      </c>
      <c r="G337">
        <f t="shared" ca="1" si="34"/>
        <v>1.8863562975890904</v>
      </c>
      <c r="H337">
        <f t="shared" ref="H337:H400" ca="1" si="38">IF(G337=0,NA(),F337/G337)</f>
        <v>1.3435122461235496</v>
      </c>
      <c r="I337">
        <f t="shared" ref="I337:I400" ca="1" si="39">IF(H337=0,100,100-(100/(1+H337)))</f>
        <v>57.329004716996039</v>
      </c>
      <c r="J337">
        <v>30</v>
      </c>
      <c r="K337">
        <v>70</v>
      </c>
    </row>
    <row r="338" spans="1:11" x14ac:dyDescent="0.25">
      <c r="A338" vm="669">
        <f ca="1"/>
        <v>45783</v>
      </c>
      <c r="B338" vm="670">
        <f ca="1"/>
        <v>249.12</v>
      </c>
      <c r="C338">
        <f t="shared" ca="1" si="35"/>
        <v>-6.0000000000002274E-2</v>
      </c>
      <c r="D338">
        <f t="shared" ca="1" si="36"/>
        <v>0</v>
      </c>
      <c r="E338">
        <f t="shared" ca="1" si="37"/>
        <v>6.0000000000002274E-2</v>
      </c>
      <c r="F338">
        <f t="shared" ref="F338:F401" ca="1" si="40">(F337*($E$1-1)+D338)/$E$1</f>
        <v>2.3533183016229917</v>
      </c>
      <c r="G338">
        <f t="shared" ref="G338:G401" ca="1" si="41">(G337*($E$1-1)+E338)/$E$1</f>
        <v>1.7559022763327268</v>
      </c>
      <c r="H338">
        <f t="shared" ca="1" si="38"/>
        <v>1.340233071818776</v>
      </c>
      <c r="I338">
        <f t="shared" ca="1" si="39"/>
        <v>57.269213394082044</v>
      </c>
      <c r="J338">
        <v>30</v>
      </c>
      <c r="K338">
        <v>70</v>
      </c>
    </row>
    <row r="339" spans="1:11" x14ac:dyDescent="0.25">
      <c r="A339" vm="671">
        <f ca="1"/>
        <v>45784</v>
      </c>
      <c r="B339" vm="672">
        <f ca="1"/>
        <v>253.37</v>
      </c>
      <c r="C339">
        <f t="shared" ca="1" si="35"/>
        <v>4.25</v>
      </c>
      <c r="D339">
        <f t="shared" ca="1" si="36"/>
        <v>4.25</v>
      </c>
      <c r="E339">
        <f t="shared" ca="1" si="37"/>
        <v>0</v>
      </c>
      <c r="F339">
        <f t="shared" ca="1" si="40"/>
        <v>2.4887955657927781</v>
      </c>
      <c r="G339">
        <f t="shared" ca="1" si="41"/>
        <v>1.6304806851661036</v>
      </c>
      <c r="H339">
        <f t="shared" ca="1" si="38"/>
        <v>1.5264183062304932</v>
      </c>
      <c r="I339">
        <f t="shared" ca="1" si="39"/>
        <v>60.418272875324597</v>
      </c>
      <c r="J339">
        <v>30</v>
      </c>
      <c r="K339">
        <v>70</v>
      </c>
    </row>
    <row r="340" spans="1:11" x14ac:dyDescent="0.25">
      <c r="A340" vm="673">
        <f ca="1"/>
        <v>45785</v>
      </c>
      <c r="B340" vm="674">
        <f ca="1"/>
        <v>254.14</v>
      </c>
      <c r="C340">
        <f t="shared" ca="1" si="35"/>
        <v>0.76999999999998181</v>
      </c>
      <c r="D340">
        <f t="shared" ca="1" si="36"/>
        <v>0.76999999999998181</v>
      </c>
      <c r="E340">
        <f t="shared" ca="1" si="37"/>
        <v>0</v>
      </c>
      <c r="F340">
        <f t="shared" ca="1" si="40"/>
        <v>2.3660244539504354</v>
      </c>
      <c r="G340">
        <f t="shared" ca="1" si="41"/>
        <v>1.5140177790828104</v>
      </c>
      <c r="H340">
        <f t="shared" ca="1" si="38"/>
        <v>1.5627454886188783</v>
      </c>
      <c r="I340">
        <f t="shared" ca="1" si="39"/>
        <v>60.979347951601596</v>
      </c>
      <c r="J340">
        <v>30</v>
      </c>
      <c r="K340">
        <v>70</v>
      </c>
    </row>
    <row r="341" spans="1:11" x14ac:dyDescent="0.25">
      <c r="A341" vm="675">
        <f ca="1"/>
        <v>45786</v>
      </c>
      <c r="B341" vm="676">
        <f ca="1"/>
        <v>249.2</v>
      </c>
      <c r="C341">
        <f t="shared" ca="1" si="35"/>
        <v>-4.9399999999999977</v>
      </c>
      <c r="D341">
        <f t="shared" ca="1" si="36"/>
        <v>0</v>
      </c>
      <c r="E341">
        <f t="shared" ca="1" si="37"/>
        <v>4.9399999999999977</v>
      </c>
      <c r="F341">
        <f t="shared" ca="1" si="40"/>
        <v>2.19702270723969</v>
      </c>
      <c r="G341">
        <f t="shared" ca="1" si="41"/>
        <v>1.7587307948626094</v>
      </c>
      <c r="H341">
        <f t="shared" ca="1" si="38"/>
        <v>1.2492092102198731</v>
      </c>
      <c r="I341">
        <f t="shared" ca="1" si="39"/>
        <v>55.539929524730859</v>
      </c>
      <c r="J341">
        <v>30</v>
      </c>
      <c r="K341">
        <v>70</v>
      </c>
    </row>
    <row r="342" spans="1:11" x14ac:dyDescent="0.25">
      <c r="A342" vm="677">
        <f ca="1"/>
        <v>45789</v>
      </c>
      <c r="B342" vm="678">
        <f ca="1"/>
        <v>253.69</v>
      </c>
      <c r="C342">
        <f t="shared" ca="1" si="35"/>
        <v>4.4900000000000091</v>
      </c>
      <c r="D342">
        <f t="shared" ca="1" si="36"/>
        <v>4.4900000000000091</v>
      </c>
      <c r="E342">
        <f t="shared" ca="1" si="37"/>
        <v>0</v>
      </c>
      <c r="F342">
        <f t="shared" ca="1" si="40"/>
        <v>2.3608067995797128</v>
      </c>
      <c r="G342">
        <f t="shared" ca="1" si="41"/>
        <v>1.6331071666581372</v>
      </c>
      <c r="H342">
        <f t="shared" ca="1" si="38"/>
        <v>1.4455920883689974</v>
      </c>
      <c r="I342">
        <f t="shared" ca="1" si="39"/>
        <v>59.110106515477192</v>
      </c>
      <c r="J342">
        <v>30</v>
      </c>
      <c r="K342">
        <v>70</v>
      </c>
    </row>
    <row r="343" spans="1:11" x14ac:dyDescent="0.25">
      <c r="A343" vm="679">
        <f ca="1"/>
        <v>45790</v>
      </c>
      <c r="B343" vm="680">
        <f ca="1"/>
        <v>258.58999999999997</v>
      </c>
      <c r="C343">
        <f t="shared" ca="1" si="35"/>
        <v>4.8999999999999773</v>
      </c>
      <c r="D343">
        <f t="shared" ca="1" si="36"/>
        <v>4.8999999999999773</v>
      </c>
      <c r="E343">
        <f t="shared" ca="1" si="37"/>
        <v>0</v>
      </c>
      <c r="F343">
        <f t="shared" ca="1" si="40"/>
        <v>2.5421777424668748</v>
      </c>
      <c r="G343">
        <f t="shared" ca="1" si="41"/>
        <v>1.5164566547539844</v>
      </c>
      <c r="H343">
        <f t="shared" ca="1" si="38"/>
        <v>1.6763932780388595</v>
      </c>
      <c r="I343">
        <f t="shared" ca="1" si="39"/>
        <v>62.63628338161292</v>
      </c>
      <c r="J343">
        <v>30</v>
      </c>
      <c r="K343">
        <v>70</v>
      </c>
    </row>
    <row r="344" spans="1:11" x14ac:dyDescent="0.25">
      <c r="A344" vm="681">
        <f ca="1"/>
        <v>45791</v>
      </c>
      <c r="B344" vm="682">
        <f ca="1"/>
        <v>257.82</v>
      </c>
      <c r="C344">
        <f t="shared" ca="1" si="35"/>
        <v>-0.76999999999998181</v>
      </c>
      <c r="D344">
        <f t="shared" ca="1" si="36"/>
        <v>0</v>
      </c>
      <c r="E344">
        <f t="shared" ca="1" si="37"/>
        <v>0.76999999999998181</v>
      </c>
      <c r="F344">
        <f t="shared" ca="1" si="40"/>
        <v>2.3605936180049554</v>
      </c>
      <c r="G344">
        <f t="shared" ca="1" si="41"/>
        <v>1.4631383222715557</v>
      </c>
      <c r="H344">
        <f t="shared" ca="1" si="38"/>
        <v>1.6133769323600791</v>
      </c>
      <c r="I344">
        <f t="shared" ca="1" si="39"/>
        <v>61.735332258522554</v>
      </c>
      <c r="J344">
        <v>30</v>
      </c>
      <c r="K344">
        <v>70</v>
      </c>
    </row>
    <row r="345" spans="1:11" x14ac:dyDescent="0.25">
      <c r="A345" vm="683">
        <f ca="1"/>
        <v>45792</v>
      </c>
      <c r="B345" vm="684">
        <f ca="1"/>
        <v>266.68</v>
      </c>
      <c r="C345">
        <f t="shared" ca="1" si="35"/>
        <v>8.8600000000000136</v>
      </c>
      <c r="D345">
        <f t="shared" ca="1" si="36"/>
        <v>8.8600000000000136</v>
      </c>
      <c r="E345">
        <f t="shared" ca="1" si="37"/>
        <v>0</v>
      </c>
      <c r="F345">
        <f t="shared" ca="1" si="40"/>
        <v>2.8248369310046022</v>
      </c>
      <c r="G345">
        <f t="shared" ca="1" si="41"/>
        <v>1.3586284421093018</v>
      </c>
      <c r="H345">
        <f t="shared" ca="1" si="38"/>
        <v>2.0791828313405381</v>
      </c>
      <c r="I345">
        <f t="shared" ca="1" si="39"/>
        <v>67.523851139276303</v>
      </c>
      <c r="J345">
        <v>30</v>
      </c>
      <c r="K345">
        <v>70</v>
      </c>
    </row>
    <row r="346" spans="1:11" x14ac:dyDescent="0.25">
      <c r="A346" vm="685">
        <f ca="1"/>
        <v>45793</v>
      </c>
      <c r="B346" vm="686">
        <f ca="1"/>
        <v>266.76</v>
      </c>
      <c r="C346">
        <f t="shared" ca="1" si="35"/>
        <v>7.9999999999984084E-2</v>
      </c>
      <c r="D346">
        <f t="shared" ca="1" si="36"/>
        <v>7.9999999999984084E-2</v>
      </c>
      <c r="E346">
        <f t="shared" ca="1" si="37"/>
        <v>0</v>
      </c>
      <c r="F346">
        <f t="shared" ca="1" si="40"/>
        <v>2.628777150218558</v>
      </c>
      <c r="G346">
        <f t="shared" ca="1" si="41"/>
        <v>1.2615835533872086</v>
      </c>
      <c r="H346">
        <f t="shared" ca="1" si="38"/>
        <v>2.0837122861665325</v>
      </c>
      <c r="I346">
        <f t="shared" ca="1" si="39"/>
        <v>67.571553141128675</v>
      </c>
      <c r="J346">
        <v>30</v>
      </c>
      <c r="K346">
        <v>70</v>
      </c>
    </row>
    <row r="347" spans="1:11" x14ac:dyDescent="0.25">
      <c r="A347" vm="687">
        <f ca="1"/>
        <v>45796</v>
      </c>
      <c r="B347" vm="688">
        <f ca="1"/>
        <v>268.41000000000003</v>
      </c>
      <c r="C347">
        <f t="shared" ca="1" si="35"/>
        <v>1.6500000000000341</v>
      </c>
      <c r="D347">
        <f t="shared" ca="1" si="36"/>
        <v>1.6500000000000341</v>
      </c>
      <c r="E347">
        <f t="shared" ca="1" si="37"/>
        <v>0</v>
      </c>
      <c r="F347">
        <f t="shared" ca="1" si="40"/>
        <v>2.5588644966315206</v>
      </c>
      <c r="G347">
        <f t="shared" ca="1" si="41"/>
        <v>1.1714704424309794</v>
      </c>
      <c r="H347">
        <f t="shared" ca="1" si="38"/>
        <v>2.1843184462439251</v>
      </c>
      <c r="I347">
        <f t="shared" ca="1" si="39"/>
        <v>68.596105669658954</v>
      </c>
      <c r="J347">
        <v>30</v>
      </c>
      <c r="K347">
        <v>70</v>
      </c>
    </row>
    <row r="348" spans="1:11" x14ac:dyDescent="0.25">
      <c r="A348" vm="689">
        <f ca="1"/>
        <v>45797</v>
      </c>
      <c r="B348" vm="690">
        <f ca="1"/>
        <v>266.95</v>
      </c>
      <c r="C348">
        <f t="shared" ca="1" si="35"/>
        <v>-1.4600000000000364</v>
      </c>
      <c r="D348">
        <f t="shared" ca="1" si="36"/>
        <v>0</v>
      </c>
      <c r="E348">
        <f t="shared" ca="1" si="37"/>
        <v>1.4600000000000364</v>
      </c>
      <c r="F348">
        <f t="shared" ca="1" si="40"/>
        <v>2.3760884611578406</v>
      </c>
      <c r="G348">
        <f t="shared" ca="1" si="41"/>
        <v>1.1920796965430551</v>
      </c>
      <c r="H348">
        <f t="shared" ca="1" si="38"/>
        <v>1.9932295366226982</v>
      </c>
      <c r="I348">
        <f t="shared" ca="1" si="39"/>
        <v>66.591269137070128</v>
      </c>
      <c r="J348">
        <v>30</v>
      </c>
      <c r="K348">
        <v>70</v>
      </c>
    </row>
    <row r="349" spans="1:11" x14ac:dyDescent="0.25">
      <c r="A349" vm="691">
        <f ca="1"/>
        <v>45798</v>
      </c>
      <c r="B349" vm="692">
        <f ca="1"/>
        <v>260.87</v>
      </c>
      <c r="C349">
        <f t="shared" ca="1" si="35"/>
        <v>-6.0799999999999841</v>
      </c>
      <c r="D349">
        <f t="shared" ca="1" si="36"/>
        <v>0</v>
      </c>
      <c r="E349">
        <f t="shared" ca="1" si="37"/>
        <v>6.0799999999999841</v>
      </c>
      <c r="F349">
        <f t="shared" ca="1" si="40"/>
        <v>2.2063678567894232</v>
      </c>
      <c r="G349">
        <f t="shared" ca="1" si="41"/>
        <v>1.5412168610756929</v>
      </c>
      <c r="H349">
        <f t="shared" ca="1" si="38"/>
        <v>1.4315752133995523</v>
      </c>
      <c r="I349">
        <f t="shared" ca="1" si="39"/>
        <v>58.87439572136806</v>
      </c>
      <c r="J349">
        <v>30</v>
      </c>
      <c r="K349">
        <v>70</v>
      </c>
    </row>
    <row r="350" spans="1:11" x14ac:dyDescent="0.25">
      <c r="A350" vm="693">
        <f ca="1"/>
        <v>45799</v>
      </c>
      <c r="B350" vm="694">
        <f ca="1"/>
        <v>258.37</v>
      </c>
      <c r="C350">
        <f t="shared" ca="1" si="35"/>
        <v>-2.5</v>
      </c>
      <c r="D350">
        <f t="shared" ca="1" si="36"/>
        <v>0</v>
      </c>
      <c r="E350">
        <f t="shared" ca="1" si="37"/>
        <v>2.5</v>
      </c>
      <c r="F350">
        <f t="shared" ca="1" si="40"/>
        <v>2.0487701527330358</v>
      </c>
      <c r="G350">
        <f t="shared" ca="1" si="41"/>
        <v>1.6097013709988577</v>
      </c>
      <c r="H350">
        <f t="shared" ca="1" si="38"/>
        <v>1.272764122367446</v>
      </c>
      <c r="I350">
        <f t="shared" ca="1" si="39"/>
        <v>56.000713397466839</v>
      </c>
      <c r="J350">
        <v>30</v>
      </c>
      <c r="K350">
        <v>70</v>
      </c>
    </row>
    <row r="351" spans="1:11" x14ac:dyDescent="0.25">
      <c r="A351" vm="695">
        <f ca="1"/>
        <v>45800</v>
      </c>
      <c r="B351" vm="696">
        <f ca="1"/>
        <v>258.63</v>
      </c>
      <c r="C351">
        <f t="shared" ca="1" si="35"/>
        <v>0.25999999999999091</v>
      </c>
      <c r="D351">
        <f t="shared" ca="1" si="36"/>
        <v>0.25999999999999091</v>
      </c>
      <c r="E351">
        <f t="shared" ca="1" si="37"/>
        <v>0</v>
      </c>
      <c r="F351">
        <f t="shared" ca="1" si="40"/>
        <v>1.9210008561092469</v>
      </c>
      <c r="G351">
        <f t="shared" ca="1" si="41"/>
        <v>1.4947227016417963</v>
      </c>
      <c r="H351">
        <f t="shared" ca="1" si="38"/>
        <v>1.2851887871905796</v>
      </c>
      <c r="I351">
        <f t="shared" ca="1" si="39"/>
        <v>56.23993931681224</v>
      </c>
      <c r="J351">
        <v>30</v>
      </c>
      <c r="K351">
        <v>70</v>
      </c>
    </row>
    <row r="352" spans="1:11" x14ac:dyDescent="0.25">
      <c r="A352" vm="697">
        <f ca="1"/>
        <v>45804</v>
      </c>
      <c r="B352" vm="698">
        <f ca="1"/>
        <v>263.23</v>
      </c>
      <c r="C352">
        <f t="shared" ca="1" si="35"/>
        <v>4.6000000000000227</v>
      </c>
      <c r="D352">
        <f t="shared" ca="1" si="36"/>
        <v>4.6000000000000227</v>
      </c>
      <c r="E352">
        <f t="shared" ca="1" si="37"/>
        <v>0</v>
      </c>
      <c r="F352">
        <f t="shared" ca="1" si="40"/>
        <v>2.1123579378157307</v>
      </c>
      <c r="G352">
        <f t="shared" ca="1" si="41"/>
        <v>1.3879567943816682</v>
      </c>
      <c r="H352">
        <f t="shared" ca="1" si="38"/>
        <v>1.5219190873710025</v>
      </c>
      <c r="I352">
        <f t="shared" ca="1" si="39"/>
        <v>60.347657265941109</v>
      </c>
      <c r="J352">
        <v>30</v>
      </c>
      <c r="K352">
        <v>70</v>
      </c>
    </row>
    <row r="353" spans="1:11" x14ac:dyDescent="0.25">
      <c r="A353" vm="699">
        <f ca="1"/>
        <v>45805</v>
      </c>
      <c r="B353" vm="700">
        <f ca="1"/>
        <v>260.24</v>
      </c>
      <c r="C353">
        <f t="shared" ca="1" si="35"/>
        <v>-2.9900000000000091</v>
      </c>
      <c r="D353">
        <f t="shared" ca="1" si="36"/>
        <v>0</v>
      </c>
      <c r="E353">
        <f t="shared" ca="1" si="37"/>
        <v>2.9900000000000091</v>
      </c>
      <c r="F353">
        <f t="shared" ca="1" si="40"/>
        <v>1.96147522797175</v>
      </c>
      <c r="G353">
        <f t="shared" ca="1" si="41"/>
        <v>1.5023884519258355</v>
      </c>
      <c r="H353">
        <f t="shared" ca="1" si="38"/>
        <v>1.3055712891412568</v>
      </c>
      <c r="I353">
        <f t="shared" ca="1" si="39"/>
        <v>56.626802011727669</v>
      </c>
      <c r="J353">
        <v>30</v>
      </c>
      <c r="K353">
        <v>70</v>
      </c>
    </row>
    <row r="354" spans="1:11" x14ac:dyDescent="0.25">
      <c r="A354" vm="701">
        <f ca="1"/>
        <v>45806</v>
      </c>
      <c r="B354" vm="702">
        <f ca="1"/>
        <v>258.69</v>
      </c>
      <c r="C354">
        <f t="shared" ca="1" si="35"/>
        <v>-1.5500000000000114</v>
      </c>
      <c r="D354">
        <f t="shared" ca="1" si="36"/>
        <v>0</v>
      </c>
      <c r="E354">
        <f t="shared" ca="1" si="37"/>
        <v>1.5500000000000114</v>
      </c>
      <c r="F354">
        <f t="shared" ca="1" si="40"/>
        <v>1.8213698545451964</v>
      </c>
      <c r="G354">
        <f t="shared" ca="1" si="41"/>
        <v>1.5057892767882766</v>
      </c>
      <c r="H354">
        <f t="shared" ca="1" si="38"/>
        <v>1.2095781811051458</v>
      </c>
      <c r="I354">
        <f t="shared" ca="1" si="39"/>
        <v>54.742492999281943</v>
      </c>
      <c r="J354">
        <v>30</v>
      </c>
      <c r="K354">
        <v>70</v>
      </c>
    </row>
    <row r="355" spans="1:11" x14ac:dyDescent="0.25">
      <c r="A355" vm="703">
        <f ca="1"/>
        <v>45807</v>
      </c>
      <c r="B355" vm="704">
        <f ca="1"/>
        <v>259.06</v>
      </c>
      <c r="C355">
        <f t="shared" ca="1" si="35"/>
        <v>0.37000000000000455</v>
      </c>
      <c r="D355">
        <f t="shared" ca="1" si="36"/>
        <v>0.37000000000000455</v>
      </c>
      <c r="E355">
        <f t="shared" ca="1" si="37"/>
        <v>0</v>
      </c>
      <c r="F355">
        <f t="shared" ca="1" si="40"/>
        <v>1.71770057922054</v>
      </c>
      <c r="G355">
        <f t="shared" ca="1" si="41"/>
        <v>1.3982328998748283</v>
      </c>
      <c r="H355">
        <f t="shared" ca="1" si="38"/>
        <v>1.2284795897552623</v>
      </c>
      <c r="I355">
        <f t="shared" ca="1" si="39"/>
        <v>55.126355897662826</v>
      </c>
      <c r="J355">
        <v>30</v>
      </c>
      <c r="K355">
        <v>70</v>
      </c>
    </row>
    <row r="356" spans="1:11" x14ac:dyDescent="0.25">
      <c r="A356" vm="705">
        <f ca="1"/>
        <v>45810</v>
      </c>
      <c r="B356" vm="706">
        <f ca="1"/>
        <v>263.89999999999998</v>
      </c>
      <c r="C356">
        <f t="shared" ca="1" si="35"/>
        <v>4.839999999999975</v>
      </c>
      <c r="D356">
        <f t="shared" ca="1" si="36"/>
        <v>4.839999999999975</v>
      </c>
      <c r="E356">
        <f t="shared" ca="1" si="37"/>
        <v>0</v>
      </c>
      <c r="F356">
        <f t="shared" ca="1" si="40"/>
        <v>1.9407219664190711</v>
      </c>
      <c r="G356">
        <f t="shared" ca="1" si="41"/>
        <v>1.2983591213123407</v>
      </c>
      <c r="H356">
        <f t="shared" ca="1" si="38"/>
        <v>1.4947497457078365</v>
      </c>
      <c r="I356">
        <f t="shared" ca="1" si="39"/>
        <v>59.915819142962995</v>
      </c>
      <c r="J356">
        <v>30</v>
      </c>
      <c r="K356">
        <v>70</v>
      </c>
    </row>
    <row r="357" spans="1:11" x14ac:dyDescent="0.25">
      <c r="A357" vm="707">
        <f ca="1"/>
        <v>45811</v>
      </c>
      <c r="B357" vm="708">
        <f ca="1"/>
        <v>265.2</v>
      </c>
      <c r="C357">
        <f t="shared" ca="1" si="35"/>
        <v>1.3000000000000114</v>
      </c>
      <c r="D357">
        <f t="shared" ca="1" si="36"/>
        <v>1.3000000000000114</v>
      </c>
      <c r="E357">
        <f t="shared" ca="1" si="37"/>
        <v>0</v>
      </c>
      <c r="F357">
        <f t="shared" ca="1" si="40"/>
        <v>1.8949561116748526</v>
      </c>
      <c r="G357">
        <f t="shared" ca="1" si="41"/>
        <v>1.2056191840757449</v>
      </c>
      <c r="H357">
        <f t="shared" ca="1" si="38"/>
        <v>1.5717700387519704</v>
      </c>
      <c r="I357">
        <f t="shared" ca="1" si="39"/>
        <v>61.116274591748478</v>
      </c>
      <c r="J357">
        <v>30</v>
      </c>
      <c r="K357">
        <v>70</v>
      </c>
    </row>
    <row r="358" spans="1:11" x14ac:dyDescent="0.25">
      <c r="A358" vm="709">
        <f ca="1"/>
        <v>45812</v>
      </c>
      <c r="B358" vm="710">
        <f ca="1"/>
        <v>265.52</v>
      </c>
      <c r="C358">
        <f t="shared" ca="1" si="35"/>
        <v>0.31999999999999318</v>
      </c>
      <c r="D358">
        <f t="shared" ca="1" si="36"/>
        <v>0.31999999999999318</v>
      </c>
      <c r="E358">
        <f t="shared" ca="1" si="37"/>
        <v>0</v>
      </c>
      <c r="F358">
        <f t="shared" ca="1" si="40"/>
        <v>1.7824592465552198</v>
      </c>
      <c r="G358">
        <f t="shared" ca="1" si="41"/>
        <v>1.1195035280703345</v>
      </c>
      <c r="H358">
        <f t="shared" ca="1" si="38"/>
        <v>1.5921872525293499</v>
      </c>
      <c r="I358">
        <f t="shared" ca="1" si="39"/>
        <v>61.422540018116322</v>
      </c>
      <c r="J358">
        <v>30</v>
      </c>
      <c r="K358">
        <v>70</v>
      </c>
    </row>
    <row r="359" spans="1:11" x14ac:dyDescent="0.25">
      <c r="A359" vm="711">
        <f ca="1"/>
        <v>45813</v>
      </c>
      <c r="B359" vm="712">
        <f ca="1"/>
        <v>266.86</v>
      </c>
      <c r="C359">
        <f t="shared" ca="1" si="35"/>
        <v>1.3400000000000318</v>
      </c>
      <c r="D359">
        <f t="shared" ca="1" si="36"/>
        <v>1.3400000000000318</v>
      </c>
      <c r="E359">
        <f t="shared" ca="1" si="37"/>
        <v>0</v>
      </c>
      <c r="F359">
        <f t="shared" ca="1" si="40"/>
        <v>1.7508550146584205</v>
      </c>
      <c r="G359">
        <f t="shared" ca="1" si="41"/>
        <v>1.0395389903510248</v>
      </c>
      <c r="H359">
        <f t="shared" ca="1" si="38"/>
        <v>1.6842610338908048</v>
      </c>
      <c r="I359">
        <f t="shared" ca="1" si="39"/>
        <v>62.745799034659768</v>
      </c>
      <c r="J359">
        <v>30</v>
      </c>
      <c r="K359">
        <v>70</v>
      </c>
    </row>
    <row r="360" spans="1:11" x14ac:dyDescent="0.25">
      <c r="A360" vm="713">
        <f ca="1"/>
        <v>45814</v>
      </c>
      <c r="B360" vm="714">
        <f ca="1"/>
        <v>268.87</v>
      </c>
      <c r="C360">
        <f t="shared" ca="1" si="35"/>
        <v>2.0099999999999909</v>
      </c>
      <c r="D360">
        <f t="shared" ca="1" si="36"/>
        <v>2.0099999999999909</v>
      </c>
      <c r="E360">
        <f t="shared" ca="1" si="37"/>
        <v>0</v>
      </c>
      <c r="F360">
        <f t="shared" ca="1" si="40"/>
        <v>1.7693653707542469</v>
      </c>
      <c r="G360">
        <f t="shared" ca="1" si="41"/>
        <v>0.96528620532595166</v>
      </c>
      <c r="H360">
        <f t="shared" ca="1" si="38"/>
        <v>1.8329956037823818</v>
      </c>
      <c r="I360">
        <f t="shared" ca="1" si="39"/>
        <v>64.701674839703855</v>
      </c>
      <c r="J360">
        <v>30</v>
      </c>
      <c r="K360">
        <v>70</v>
      </c>
    </row>
    <row r="361" spans="1:11" x14ac:dyDescent="0.25">
      <c r="A361" vm="715">
        <f ca="1"/>
        <v>45817</v>
      </c>
      <c r="B361" vm="716">
        <f ca="1"/>
        <v>272.08</v>
      </c>
      <c r="C361">
        <f t="shared" ca="1" si="35"/>
        <v>3.2099999999999795</v>
      </c>
      <c r="D361">
        <f t="shared" ca="1" si="36"/>
        <v>3.2099999999999795</v>
      </c>
      <c r="E361">
        <f t="shared" ca="1" si="37"/>
        <v>0</v>
      </c>
      <c r="F361">
        <f t="shared" ca="1" si="40"/>
        <v>1.8722678442717993</v>
      </c>
      <c r="G361">
        <f t="shared" ca="1" si="41"/>
        <v>0.89633719065981232</v>
      </c>
      <c r="H361">
        <f t="shared" ca="1" si="38"/>
        <v>2.0887985724363221</v>
      </c>
      <c r="I361">
        <f t="shared" ca="1" si="39"/>
        <v>67.624952662055932</v>
      </c>
      <c r="J361">
        <v>30</v>
      </c>
      <c r="K361">
        <v>70</v>
      </c>
    </row>
    <row r="362" spans="1:11" x14ac:dyDescent="0.25">
      <c r="A362" vm="717">
        <f ca="1"/>
        <v>45818</v>
      </c>
      <c r="B362" vm="718">
        <f ca="1"/>
        <v>276.24</v>
      </c>
      <c r="C362">
        <f t="shared" ca="1" si="35"/>
        <v>4.160000000000025</v>
      </c>
      <c r="D362">
        <f t="shared" ca="1" si="36"/>
        <v>4.160000000000025</v>
      </c>
      <c r="E362">
        <f t="shared" ca="1" si="37"/>
        <v>0</v>
      </c>
      <c r="F362">
        <f t="shared" ca="1" si="40"/>
        <v>2.0356772839666726</v>
      </c>
      <c r="G362">
        <f t="shared" ca="1" si="41"/>
        <v>0.8323131056126829</v>
      </c>
      <c r="H362">
        <f t="shared" ca="1" si="38"/>
        <v>2.445807076975159</v>
      </c>
      <c r="I362">
        <f t="shared" ca="1" si="39"/>
        <v>70.979222641859792</v>
      </c>
      <c r="J362">
        <v>30</v>
      </c>
      <c r="K362">
        <v>70</v>
      </c>
    </row>
    <row r="363" spans="1:11" x14ac:dyDescent="0.25">
      <c r="A363" vm="719">
        <f ca="1"/>
        <v>45819</v>
      </c>
      <c r="B363" vm="720">
        <f ca="1"/>
        <v>281.52</v>
      </c>
      <c r="C363">
        <f t="shared" ca="1" si="35"/>
        <v>5.2799999999999727</v>
      </c>
      <c r="D363">
        <f t="shared" ca="1" si="36"/>
        <v>5.2799999999999727</v>
      </c>
      <c r="E363">
        <f t="shared" ca="1" si="37"/>
        <v>0</v>
      </c>
      <c r="F363">
        <f t="shared" ca="1" si="40"/>
        <v>2.267414620826194</v>
      </c>
      <c r="G363">
        <f t="shared" ca="1" si="41"/>
        <v>0.77286216949749131</v>
      </c>
      <c r="H363">
        <f t="shared" ca="1" si="38"/>
        <v>2.9337891157235041</v>
      </c>
      <c r="I363">
        <f t="shared" ca="1" si="39"/>
        <v>74.579216867448181</v>
      </c>
      <c r="J363">
        <v>30</v>
      </c>
      <c r="K363">
        <v>70</v>
      </c>
    </row>
    <row r="364" spans="1:11" x14ac:dyDescent="0.25">
      <c r="A364" vm="721">
        <f ca="1"/>
        <v>45820</v>
      </c>
      <c r="B364" vm="722">
        <f ca="1"/>
        <v>281.02999999999997</v>
      </c>
      <c r="C364">
        <f t="shared" ca="1" si="35"/>
        <v>-0.49000000000000909</v>
      </c>
      <c r="D364">
        <f t="shared" ca="1" si="36"/>
        <v>0</v>
      </c>
      <c r="E364">
        <f t="shared" ca="1" si="37"/>
        <v>0.49000000000000909</v>
      </c>
      <c r="F364">
        <f t="shared" ca="1" si="40"/>
        <v>2.1054564336243229</v>
      </c>
      <c r="G364">
        <f t="shared" ca="1" si="41"/>
        <v>0.75265772881909965</v>
      </c>
      <c r="H364">
        <f t="shared" ca="1" si="38"/>
        <v>2.797362403927917</v>
      </c>
      <c r="I364">
        <f t="shared" ca="1" si="39"/>
        <v>73.665931938294335</v>
      </c>
      <c r="J364">
        <v>30</v>
      </c>
      <c r="K364">
        <v>70</v>
      </c>
    </row>
    <row r="365" spans="1:11" x14ac:dyDescent="0.25">
      <c r="A365" vm="723">
        <f ca="1"/>
        <v>45821</v>
      </c>
      <c r="B365" vm="724">
        <f ca="1"/>
        <v>277.22000000000003</v>
      </c>
      <c r="C365">
        <f t="shared" ca="1" si="35"/>
        <v>-3.8099999999999454</v>
      </c>
      <c r="D365">
        <f t="shared" ca="1" si="36"/>
        <v>0</v>
      </c>
      <c r="E365">
        <f t="shared" ca="1" si="37"/>
        <v>3.8099999999999454</v>
      </c>
      <c r="F365">
        <f t="shared" ca="1" si="40"/>
        <v>1.9550666883654428</v>
      </c>
      <c r="G365">
        <f t="shared" ca="1" si="41"/>
        <v>0.97103931961773149</v>
      </c>
      <c r="H365">
        <f t="shared" ca="1" si="38"/>
        <v>2.0133754101070727</v>
      </c>
      <c r="I365">
        <f t="shared" ca="1" si="39"/>
        <v>66.814622677083975</v>
      </c>
      <c r="J365">
        <v>30</v>
      </c>
      <c r="K365">
        <v>70</v>
      </c>
    </row>
    <row r="366" spans="1:11" x14ac:dyDescent="0.25">
      <c r="A366" vm="725">
        <f ca="1"/>
        <v>45824</v>
      </c>
      <c r="B366" vm="726">
        <f ca="1"/>
        <v>281.83</v>
      </c>
      <c r="C366">
        <f t="shared" ca="1" si="35"/>
        <v>4.6099999999999568</v>
      </c>
      <c r="D366">
        <f t="shared" ca="1" si="36"/>
        <v>4.6099999999999568</v>
      </c>
      <c r="E366">
        <f t="shared" ca="1" si="37"/>
        <v>0</v>
      </c>
      <c r="F366">
        <f t="shared" ca="1" si="40"/>
        <v>2.1447047820536222</v>
      </c>
      <c r="G366">
        <f t="shared" ca="1" si="41"/>
        <v>0.90167936821646499</v>
      </c>
      <c r="H366">
        <f t="shared" ca="1" si="38"/>
        <v>2.3785669913861729</v>
      </c>
      <c r="I366">
        <f t="shared" ca="1" si="39"/>
        <v>70.401652459473183</v>
      </c>
      <c r="J366">
        <v>30</v>
      </c>
      <c r="K366">
        <v>70</v>
      </c>
    </row>
    <row r="367" spans="1:11" x14ac:dyDescent="0.25">
      <c r="A367" vm="727">
        <f ca="1"/>
        <v>45825</v>
      </c>
      <c r="B367" vm="728">
        <f ca="1"/>
        <v>283.05</v>
      </c>
      <c r="C367">
        <f t="shared" ca="1" si="35"/>
        <v>1.2200000000000273</v>
      </c>
      <c r="D367">
        <f t="shared" ca="1" si="36"/>
        <v>1.2200000000000273</v>
      </c>
      <c r="E367">
        <f t="shared" ca="1" si="37"/>
        <v>0</v>
      </c>
      <c r="F367">
        <f t="shared" ca="1" si="40"/>
        <v>2.0786544404783656</v>
      </c>
      <c r="G367">
        <f t="shared" ca="1" si="41"/>
        <v>0.83727369905814608</v>
      </c>
      <c r="H367">
        <f t="shared" ca="1" si="38"/>
        <v>2.4826462873689401</v>
      </c>
      <c r="I367">
        <f t="shared" ca="1" si="39"/>
        <v>71.286202574552092</v>
      </c>
      <c r="J367">
        <v>30</v>
      </c>
      <c r="K367">
        <v>70</v>
      </c>
    </row>
    <row r="368" spans="1:11" x14ac:dyDescent="0.25">
      <c r="A368" vm="729">
        <f ca="1"/>
        <v>45826</v>
      </c>
      <c r="B368" vm="730">
        <f ca="1"/>
        <v>283.20999999999998</v>
      </c>
      <c r="C368">
        <f t="shared" ca="1" si="35"/>
        <v>0.15999999999996817</v>
      </c>
      <c r="D368">
        <f t="shared" ca="1" si="36"/>
        <v>0.15999999999996817</v>
      </c>
      <c r="E368">
        <f t="shared" ca="1" si="37"/>
        <v>0</v>
      </c>
      <c r="F368">
        <f t="shared" ca="1" si="40"/>
        <v>1.9416076947299086</v>
      </c>
      <c r="G368">
        <f t="shared" ca="1" si="41"/>
        <v>0.77746843483970707</v>
      </c>
      <c r="H368">
        <f t="shared" ca="1" si="38"/>
        <v>2.4973460113917234</v>
      </c>
      <c r="I368">
        <f t="shared" ca="1" si="39"/>
        <v>71.406889774624759</v>
      </c>
      <c r="J368">
        <v>30</v>
      </c>
      <c r="K368">
        <v>70</v>
      </c>
    </row>
    <row r="369" spans="1:11" x14ac:dyDescent="0.25">
      <c r="A369" vm="731">
        <f ca="1"/>
        <v>45828</v>
      </c>
      <c r="B369" vm="732">
        <f ca="1"/>
        <v>280.97000000000003</v>
      </c>
      <c r="C369">
        <f t="shared" ca="1" si="35"/>
        <v>-2.2399999999999523</v>
      </c>
      <c r="D369">
        <f t="shared" ca="1" si="36"/>
        <v>0</v>
      </c>
      <c r="E369">
        <f t="shared" ca="1" si="37"/>
        <v>2.2399999999999523</v>
      </c>
      <c r="F369">
        <f t="shared" ca="1" si="40"/>
        <v>1.8029214308206296</v>
      </c>
      <c r="G369">
        <f t="shared" ca="1" si="41"/>
        <v>0.881934975208296</v>
      </c>
      <c r="H369">
        <f t="shared" ca="1" si="38"/>
        <v>2.0442793193396307</v>
      </c>
      <c r="I369">
        <f t="shared" ca="1" si="39"/>
        <v>67.151503029067612</v>
      </c>
      <c r="J369">
        <v>30</v>
      </c>
      <c r="K369">
        <v>70</v>
      </c>
    </row>
    <row r="370" spans="1:11" x14ac:dyDescent="0.25">
      <c r="A370" vm="733">
        <f ca="1"/>
        <v>45831</v>
      </c>
      <c r="B370" vm="734">
        <f ca="1"/>
        <v>289.18</v>
      </c>
      <c r="C370">
        <f t="shared" ca="1" si="35"/>
        <v>8.2099999999999795</v>
      </c>
      <c r="D370">
        <f t="shared" ca="1" si="36"/>
        <v>8.2099999999999795</v>
      </c>
      <c r="E370">
        <f t="shared" ca="1" si="37"/>
        <v>0</v>
      </c>
      <c r="F370">
        <f t="shared" ca="1" si="40"/>
        <v>2.260569900047726</v>
      </c>
      <c r="G370">
        <f t="shared" ca="1" si="41"/>
        <v>0.81893961983627483</v>
      </c>
      <c r="H370">
        <f t="shared" ca="1" si="38"/>
        <v>2.760362113753474</v>
      </c>
      <c r="I370">
        <f t="shared" ca="1" si="39"/>
        <v>73.406816424872659</v>
      </c>
      <c r="J370">
        <v>30</v>
      </c>
      <c r="K370">
        <v>70</v>
      </c>
    </row>
    <row r="371" spans="1:11" x14ac:dyDescent="0.25">
      <c r="A371" vm="735">
        <f ca="1"/>
        <v>45832</v>
      </c>
      <c r="B371" vm="736">
        <f ca="1"/>
        <v>293.79000000000002</v>
      </c>
      <c r="C371">
        <f t="shared" ca="1" si="35"/>
        <v>4.6100000000000136</v>
      </c>
      <c r="D371">
        <f t="shared" ca="1" si="36"/>
        <v>4.6100000000000136</v>
      </c>
      <c r="E371">
        <f t="shared" ca="1" si="37"/>
        <v>0</v>
      </c>
      <c r="F371">
        <f t="shared" ca="1" si="40"/>
        <v>2.4283863357586037</v>
      </c>
      <c r="G371">
        <f t="shared" ca="1" si="41"/>
        <v>0.76044393270511235</v>
      </c>
      <c r="H371">
        <f t="shared" ca="1" si="38"/>
        <v>3.1933798552644803</v>
      </c>
      <c r="I371">
        <f t="shared" ca="1" si="39"/>
        <v>76.152887777514991</v>
      </c>
      <c r="J371">
        <v>30</v>
      </c>
      <c r="K371">
        <v>70</v>
      </c>
    </row>
    <row r="372" spans="1:11" x14ac:dyDescent="0.25">
      <c r="A372" vm="737">
        <f ca="1"/>
        <v>45833</v>
      </c>
      <c r="B372" vm="738">
        <f ca="1"/>
        <v>291.06</v>
      </c>
      <c r="C372">
        <f t="shared" ca="1" si="35"/>
        <v>-2.7300000000000182</v>
      </c>
      <c r="D372">
        <f t="shared" ca="1" si="36"/>
        <v>0</v>
      </c>
      <c r="E372">
        <f t="shared" ca="1" si="37"/>
        <v>2.7300000000000182</v>
      </c>
      <c r="F372">
        <f t="shared" ca="1" si="40"/>
        <v>2.2549301689187033</v>
      </c>
      <c r="G372">
        <f t="shared" ca="1" si="41"/>
        <v>0.90112650894046276</v>
      </c>
      <c r="H372">
        <f t="shared" ca="1" si="38"/>
        <v>2.5023458377337406</v>
      </c>
      <c r="I372">
        <f t="shared" ca="1" si="39"/>
        <v>71.447708298074048</v>
      </c>
      <c r="J372">
        <v>30</v>
      </c>
      <c r="K372">
        <v>70</v>
      </c>
    </row>
    <row r="373" spans="1:11" x14ac:dyDescent="0.25">
      <c r="A373" vm="739">
        <f ca="1"/>
        <v>45834</v>
      </c>
      <c r="B373" vm="740">
        <f ca="1"/>
        <v>291.93</v>
      </c>
      <c r="C373">
        <f t="shared" ca="1" si="35"/>
        <v>0.87000000000000455</v>
      </c>
      <c r="D373">
        <f t="shared" ca="1" si="36"/>
        <v>0.87000000000000455</v>
      </c>
      <c r="E373">
        <f t="shared" ca="1" si="37"/>
        <v>0</v>
      </c>
      <c r="F373">
        <f t="shared" ca="1" si="40"/>
        <v>2.1560065854245107</v>
      </c>
      <c r="G373">
        <f t="shared" ca="1" si="41"/>
        <v>0.83676032973042969</v>
      </c>
      <c r="H373">
        <f t="shared" ca="1" si="38"/>
        <v>2.576611855056619</v>
      </c>
      <c r="I373">
        <f t="shared" ca="1" si="39"/>
        <v>72.040578051929273</v>
      </c>
      <c r="J373">
        <v>30</v>
      </c>
      <c r="K373">
        <v>70</v>
      </c>
    </row>
    <row r="374" spans="1:11" x14ac:dyDescent="0.25">
      <c r="A374" vm="741">
        <f ca="1"/>
        <v>45835</v>
      </c>
      <c r="B374" vm="742">
        <f ca="1"/>
        <v>289.7</v>
      </c>
      <c r="C374">
        <f t="shared" ca="1" si="35"/>
        <v>-2.2300000000000182</v>
      </c>
      <c r="D374">
        <f t="shared" ca="1" si="36"/>
        <v>0</v>
      </c>
      <c r="E374">
        <f t="shared" ca="1" si="37"/>
        <v>2.2300000000000182</v>
      </c>
      <c r="F374">
        <f t="shared" ca="1" si="40"/>
        <v>2.0020061150370458</v>
      </c>
      <c r="G374">
        <f t="shared" ca="1" si="41"/>
        <v>0.93627744903540033</v>
      </c>
      <c r="H374">
        <f t="shared" ca="1" si="38"/>
        <v>2.1382615987382931</v>
      </c>
      <c r="I374">
        <f t="shared" ca="1" si="39"/>
        <v>68.135224915537947</v>
      </c>
      <c r="J374">
        <v>30</v>
      </c>
      <c r="K374">
        <v>70</v>
      </c>
    </row>
    <row r="375" spans="1:11" x14ac:dyDescent="0.25">
      <c r="A375" vm="743">
        <f ca="1"/>
        <v>45838</v>
      </c>
      <c r="B375" vm="744">
        <f ca="1"/>
        <v>294.77999999999997</v>
      </c>
      <c r="C375">
        <f t="shared" ca="1" si="35"/>
        <v>5.0799999999999841</v>
      </c>
      <c r="D375">
        <f t="shared" ca="1" si="36"/>
        <v>5.0799999999999841</v>
      </c>
      <c r="E375">
        <f t="shared" ca="1" si="37"/>
        <v>0</v>
      </c>
      <c r="F375">
        <f t="shared" ca="1" si="40"/>
        <v>2.2218628211058271</v>
      </c>
      <c r="G375">
        <f t="shared" ca="1" si="41"/>
        <v>0.8694004883900146</v>
      </c>
      <c r="H375">
        <f t="shared" ca="1" si="38"/>
        <v>2.5556263779197415</v>
      </c>
      <c r="I375">
        <f t="shared" ca="1" si="39"/>
        <v>71.875560204808096</v>
      </c>
      <c r="J375">
        <v>30</v>
      </c>
      <c r="K375">
        <v>70</v>
      </c>
    </row>
    <row r="376" spans="1:11" x14ac:dyDescent="0.25">
      <c r="A376" vm="745">
        <f ca="1"/>
        <v>45839</v>
      </c>
      <c r="B376" vm="746">
        <f ca="1"/>
        <v>291.2</v>
      </c>
      <c r="C376">
        <f t="shared" ca="1" si="35"/>
        <v>-3.5799999999999841</v>
      </c>
      <c r="D376">
        <f t="shared" ca="1" si="36"/>
        <v>0</v>
      </c>
      <c r="E376">
        <f t="shared" ca="1" si="37"/>
        <v>3.5799999999999841</v>
      </c>
      <c r="F376">
        <f t="shared" ca="1" si="40"/>
        <v>2.0631583338839823</v>
      </c>
      <c r="G376">
        <f t="shared" ca="1" si="41"/>
        <v>1.0630147392192981</v>
      </c>
      <c r="H376">
        <f t="shared" ca="1" si="38"/>
        <v>1.9408558110861305</v>
      </c>
      <c r="I376">
        <f t="shared" ca="1" si="39"/>
        <v>65.996292771977977</v>
      </c>
      <c r="J376">
        <v>30</v>
      </c>
      <c r="K376">
        <v>70</v>
      </c>
    </row>
    <row r="377" spans="1:11" x14ac:dyDescent="0.25">
      <c r="A377" vm="747">
        <f ca="1"/>
        <v>45840</v>
      </c>
      <c r="B377" vm="748">
        <f ca="1"/>
        <v>287.64999999999998</v>
      </c>
      <c r="C377">
        <f t="shared" ca="1" si="35"/>
        <v>-3.5500000000000114</v>
      </c>
      <c r="D377">
        <f t="shared" ca="1" si="36"/>
        <v>0</v>
      </c>
      <c r="E377">
        <f t="shared" ca="1" si="37"/>
        <v>3.5500000000000114</v>
      </c>
      <c r="F377">
        <f t="shared" ca="1" si="40"/>
        <v>1.915789881463698</v>
      </c>
      <c r="G377">
        <f t="shared" ca="1" si="41"/>
        <v>1.2406565435607777</v>
      </c>
      <c r="H377">
        <f t="shared" ca="1" si="38"/>
        <v>1.5441742450051783</v>
      </c>
      <c r="I377">
        <f t="shared" ca="1" si="39"/>
        <v>60.694516031547806</v>
      </c>
      <c r="J377">
        <v>30</v>
      </c>
      <c r="K377">
        <v>70</v>
      </c>
    </row>
    <row r="378" spans="1:11" x14ac:dyDescent="0.25">
      <c r="A378" vm="749">
        <f ca="1"/>
        <v>45841</v>
      </c>
      <c r="B378" vm="750">
        <f ca="1"/>
        <v>291.97000000000003</v>
      </c>
      <c r="C378">
        <f t="shared" ca="1" si="35"/>
        <v>4.32000000000005</v>
      </c>
      <c r="D378">
        <f t="shared" ca="1" si="36"/>
        <v>4.32000000000005</v>
      </c>
      <c r="E378">
        <f t="shared" ca="1" si="37"/>
        <v>0</v>
      </c>
      <c r="F378">
        <f t="shared" ca="1" si="40"/>
        <v>2.0875191756448661</v>
      </c>
      <c r="G378">
        <f t="shared" ca="1" si="41"/>
        <v>1.1520382190207221</v>
      </c>
      <c r="H378">
        <f t="shared" ca="1" si="38"/>
        <v>1.8120225016660816</v>
      </c>
      <c r="I378">
        <f t="shared" ca="1" si="39"/>
        <v>64.43840689725937</v>
      </c>
      <c r="J378">
        <v>30</v>
      </c>
      <c r="K378">
        <v>70</v>
      </c>
    </row>
    <row r="379" spans="1:11" x14ac:dyDescent="0.25">
      <c r="A379" vm="751">
        <f ca="1"/>
        <v>45845</v>
      </c>
      <c r="B379" vm="752">
        <f ca="1"/>
        <v>292.47000000000003</v>
      </c>
      <c r="C379">
        <f t="shared" ca="1" si="35"/>
        <v>0.5</v>
      </c>
      <c r="D379">
        <f t="shared" ca="1" si="36"/>
        <v>0.5</v>
      </c>
      <c r="E379">
        <f t="shared" ca="1" si="37"/>
        <v>0</v>
      </c>
      <c r="F379">
        <f t="shared" ca="1" si="40"/>
        <v>1.9741249488130899</v>
      </c>
      <c r="G379">
        <f t="shared" ca="1" si="41"/>
        <v>1.0697497748049563</v>
      </c>
      <c r="H379">
        <f t="shared" ca="1" si="38"/>
        <v>1.8454081461929031</v>
      </c>
      <c r="I379">
        <f t="shared" ca="1" si="39"/>
        <v>64.855656952483983</v>
      </c>
      <c r="J379">
        <v>30</v>
      </c>
      <c r="K379">
        <v>70</v>
      </c>
    </row>
    <row r="380" spans="1:11" x14ac:dyDescent="0.25">
      <c r="A380" vm="753">
        <f ca="1"/>
        <v>45846</v>
      </c>
      <c r="B380" vm="754">
        <f ca="1"/>
        <v>290.42</v>
      </c>
      <c r="C380">
        <f t="shared" ca="1" si="35"/>
        <v>-2.0500000000000114</v>
      </c>
      <c r="D380">
        <f t="shared" ca="1" si="36"/>
        <v>0</v>
      </c>
      <c r="E380">
        <f t="shared" ca="1" si="37"/>
        <v>2.0500000000000114</v>
      </c>
      <c r="F380">
        <f t="shared" ca="1" si="40"/>
        <v>1.8331160238978692</v>
      </c>
      <c r="G380">
        <f t="shared" ca="1" si="41"/>
        <v>1.1397676480331744</v>
      </c>
      <c r="H380">
        <f t="shared" ca="1" si="38"/>
        <v>1.6083243168563019</v>
      </c>
      <c r="I380">
        <f t="shared" ca="1" si="39"/>
        <v>61.661209323645153</v>
      </c>
      <c r="J380">
        <v>30</v>
      </c>
      <c r="K380">
        <v>70</v>
      </c>
    </row>
    <row r="381" spans="1:11" x14ac:dyDescent="0.25">
      <c r="A381" vm="755">
        <f ca="1"/>
        <v>45847</v>
      </c>
      <c r="B381" vm="756">
        <f ca="1"/>
        <v>290.14</v>
      </c>
      <c r="C381">
        <f t="shared" ca="1" si="35"/>
        <v>-0.28000000000002956</v>
      </c>
      <c r="D381">
        <f t="shared" ca="1" si="36"/>
        <v>0</v>
      </c>
      <c r="E381">
        <f t="shared" ca="1" si="37"/>
        <v>0.28000000000002956</v>
      </c>
      <c r="F381">
        <f t="shared" ca="1" si="40"/>
        <v>1.7021791650480214</v>
      </c>
      <c r="G381">
        <f t="shared" ca="1" si="41"/>
        <v>1.0783556731736641</v>
      </c>
      <c r="H381">
        <f t="shared" ca="1" si="38"/>
        <v>1.5784951175138793</v>
      </c>
      <c r="I381">
        <f t="shared" ca="1" si="39"/>
        <v>61.217688829127006</v>
      </c>
      <c r="J381">
        <v>30</v>
      </c>
      <c r="K381">
        <v>70</v>
      </c>
    </row>
    <row r="382" spans="1:11" x14ac:dyDescent="0.25">
      <c r="A382" vm="757">
        <f ca="1"/>
        <v>45848</v>
      </c>
      <c r="B382" vm="758">
        <f ca="1"/>
        <v>287.43</v>
      </c>
      <c r="C382">
        <f t="shared" ca="1" si="35"/>
        <v>-2.7099999999999795</v>
      </c>
      <c r="D382">
        <f t="shared" ca="1" si="36"/>
        <v>0</v>
      </c>
      <c r="E382">
        <f t="shared" ca="1" si="37"/>
        <v>2.7099999999999795</v>
      </c>
      <c r="F382">
        <f t="shared" ca="1" si="40"/>
        <v>1.5805949389731626</v>
      </c>
      <c r="G382">
        <f t="shared" ca="1" si="41"/>
        <v>1.1949016965184012</v>
      </c>
      <c r="H382">
        <f t="shared" ca="1" si="38"/>
        <v>1.3227824042584928</v>
      </c>
      <c r="I382">
        <f t="shared" ca="1" si="39"/>
        <v>56.948184291105285</v>
      </c>
      <c r="J382">
        <v>30</v>
      </c>
      <c r="K382">
        <v>70</v>
      </c>
    </row>
    <row r="383" spans="1:11" x14ac:dyDescent="0.25">
      <c r="A383" vm="759">
        <f ca="1"/>
        <v>45849</v>
      </c>
      <c r="B383" vm="760">
        <f ca="1"/>
        <v>283.58999999999997</v>
      </c>
      <c r="C383">
        <f t="shared" ca="1" si="35"/>
        <v>-3.8400000000000318</v>
      </c>
      <c r="D383">
        <f t="shared" ca="1" si="36"/>
        <v>0</v>
      </c>
      <c r="E383">
        <f t="shared" ca="1" si="37"/>
        <v>3.8400000000000318</v>
      </c>
      <c r="F383">
        <f t="shared" ca="1" si="40"/>
        <v>1.4676953004750797</v>
      </c>
      <c r="G383">
        <f t="shared" ca="1" si="41"/>
        <v>1.3838372896242319</v>
      </c>
      <c r="H383">
        <f t="shared" ca="1" si="38"/>
        <v>1.0605981725449953</v>
      </c>
      <c r="I383">
        <f t="shared" ca="1" si="39"/>
        <v>51.470402462556585</v>
      </c>
      <c r="J383">
        <v>30</v>
      </c>
      <c r="K383">
        <v>70</v>
      </c>
    </row>
    <row r="384" spans="1:11" x14ac:dyDescent="0.25">
      <c r="A384" vm="761">
        <f ca="1"/>
        <v>45852</v>
      </c>
      <c r="B384" vm="762">
        <f ca="1"/>
        <v>283.79000000000002</v>
      </c>
      <c r="C384">
        <f t="shared" ca="1" si="35"/>
        <v>0.20000000000004547</v>
      </c>
      <c r="D384">
        <f t="shared" ca="1" si="36"/>
        <v>0.20000000000004547</v>
      </c>
      <c r="E384">
        <f t="shared" ca="1" si="37"/>
        <v>0</v>
      </c>
      <c r="F384">
        <f t="shared" ca="1" si="40"/>
        <v>1.3771456361554344</v>
      </c>
      <c r="G384">
        <f t="shared" ca="1" si="41"/>
        <v>1.2849917689367867</v>
      </c>
      <c r="H384">
        <f t="shared" ca="1" si="38"/>
        <v>1.07171553113908</v>
      </c>
      <c r="I384">
        <f t="shared" ca="1" si="39"/>
        <v>51.73082476964511</v>
      </c>
      <c r="J384">
        <v>30</v>
      </c>
      <c r="K384">
        <v>70</v>
      </c>
    </row>
    <row r="385" spans="1:11" x14ac:dyDescent="0.25">
      <c r="A385" vm="763">
        <f ca="1"/>
        <v>45853</v>
      </c>
      <c r="B385" vm="764">
        <f ca="1"/>
        <v>282.7</v>
      </c>
      <c r="C385">
        <f t="shared" ca="1" si="35"/>
        <v>-1.0900000000000318</v>
      </c>
      <c r="D385">
        <f t="shared" ca="1" si="36"/>
        <v>0</v>
      </c>
      <c r="E385">
        <f t="shared" ca="1" si="37"/>
        <v>1.0900000000000318</v>
      </c>
      <c r="F385">
        <f t="shared" ca="1" si="40"/>
        <v>1.2787780907157607</v>
      </c>
      <c r="G385">
        <f t="shared" ca="1" si="41"/>
        <v>1.2710637854413043</v>
      </c>
      <c r="H385">
        <f t="shared" ca="1" si="38"/>
        <v>1.0060691724229858</v>
      </c>
      <c r="I385">
        <f t="shared" ca="1" si="39"/>
        <v>50.151270267905453</v>
      </c>
      <c r="J385">
        <v>30</v>
      </c>
      <c r="K385">
        <v>70</v>
      </c>
    </row>
    <row r="386" spans="1:11" x14ac:dyDescent="0.25">
      <c r="A386" vm="765">
        <f ca="1"/>
        <v>45854</v>
      </c>
      <c r="B386" vm="766">
        <f ca="1"/>
        <v>281.92</v>
      </c>
      <c r="C386">
        <f t="shared" ca="1" si="35"/>
        <v>-0.77999999999997272</v>
      </c>
      <c r="D386">
        <f t="shared" ca="1" si="36"/>
        <v>0</v>
      </c>
      <c r="E386">
        <f t="shared" ca="1" si="37"/>
        <v>0.77999999999997272</v>
      </c>
      <c r="F386">
        <f t="shared" ca="1" si="40"/>
        <v>1.1874367985217777</v>
      </c>
      <c r="G386">
        <f t="shared" ca="1" si="41"/>
        <v>1.2359878007669234</v>
      </c>
      <c r="H386">
        <f t="shared" ca="1" si="38"/>
        <v>0.96071886614494095</v>
      </c>
      <c r="I386">
        <f t="shared" ca="1" si="39"/>
        <v>48.998297651608482</v>
      </c>
      <c r="J386">
        <v>30</v>
      </c>
      <c r="K386">
        <v>70</v>
      </c>
    </row>
    <row r="387" spans="1:11" x14ac:dyDescent="0.25">
      <c r="A387" vm="767">
        <f ca="1"/>
        <v>45855</v>
      </c>
      <c r="B387" vm="768">
        <f ca="1"/>
        <v>282</v>
      </c>
      <c r="C387">
        <f t="shared" ca="1" si="35"/>
        <v>7.9999999999984084E-2</v>
      </c>
      <c r="D387">
        <f t="shared" ca="1" si="36"/>
        <v>7.9999999999984084E-2</v>
      </c>
      <c r="E387">
        <f t="shared" ca="1" si="37"/>
        <v>0</v>
      </c>
      <c r="F387">
        <f t="shared" ca="1" si="40"/>
        <v>1.1083341700559353</v>
      </c>
      <c r="G387">
        <f t="shared" ca="1" si="41"/>
        <v>1.1477029578550002</v>
      </c>
      <c r="H387">
        <f t="shared" ca="1" si="38"/>
        <v>0.96569775521652113</v>
      </c>
      <c r="I387">
        <f t="shared" ca="1" si="39"/>
        <v>49.127479168848609</v>
      </c>
      <c r="J387">
        <v>30</v>
      </c>
      <c r="K387">
        <v>70</v>
      </c>
    </row>
    <row r="388" spans="1:11" x14ac:dyDescent="0.25">
      <c r="A388" vm="769">
        <f ca="1"/>
        <v>45856</v>
      </c>
      <c r="B388" vm="770">
        <f ca="1"/>
        <v>285.87</v>
      </c>
      <c r="C388">
        <f t="shared" ref="C388:C451" ca="1" si="42">B388-B387</f>
        <v>3.8700000000000045</v>
      </c>
      <c r="D388">
        <f t="shared" ref="D388:D451" ca="1" si="43">MAX(C388,0)</f>
        <v>3.8700000000000045</v>
      </c>
      <c r="E388">
        <f t="shared" ref="E388:E451" ca="1" si="44">MAX(-C388,0)</f>
        <v>0</v>
      </c>
      <c r="F388">
        <f t="shared" ca="1" si="40"/>
        <v>1.3055960150519401</v>
      </c>
      <c r="G388">
        <f t="shared" ca="1" si="41"/>
        <v>1.0657241751510715</v>
      </c>
      <c r="H388">
        <f t="shared" ca="1" si="38"/>
        <v>1.2250787262725513</v>
      </c>
      <c r="I388">
        <f t="shared" ca="1" si="39"/>
        <v>55.057769947978493</v>
      </c>
      <c r="J388">
        <v>30</v>
      </c>
      <c r="K388">
        <v>70</v>
      </c>
    </row>
    <row r="389" spans="1:11" x14ac:dyDescent="0.25">
      <c r="A389" vm="771">
        <f ca="1"/>
        <v>45859</v>
      </c>
      <c r="B389" vm="772">
        <f ca="1"/>
        <v>284.70999999999998</v>
      </c>
      <c r="C389">
        <f t="shared" ca="1" si="42"/>
        <v>-1.160000000000025</v>
      </c>
      <c r="D389">
        <f t="shared" ca="1" si="43"/>
        <v>0</v>
      </c>
      <c r="E389">
        <f t="shared" ca="1" si="44"/>
        <v>1.160000000000025</v>
      </c>
      <c r="F389">
        <f t="shared" ca="1" si="40"/>
        <v>1.2123391568339446</v>
      </c>
      <c r="G389">
        <f t="shared" ca="1" si="41"/>
        <v>1.0724581626402825</v>
      </c>
      <c r="H389">
        <f t="shared" ca="1" si="38"/>
        <v>1.1304302573904508</v>
      </c>
      <c r="I389">
        <f t="shared" ca="1" si="39"/>
        <v>53.061124787774418</v>
      </c>
      <c r="J389">
        <v>30</v>
      </c>
      <c r="K389">
        <v>70</v>
      </c>
    </row>
    <row r="390" spans="1:11" x14ac:dyDescent="0.25">
      <c r="A390" vm="773">
        <f ca="1"/>
        <v>45860</v>
      </c>
      <c r="B390" vm="774">
        <f ca="1"/>
        <v>281.95999999999998</v>
      </c>
      <c r="C390">
        <f t="shared" ca="1" si="42"/>
        <v>-2.75</v>
      </c>
      <c r="D390">
        <f t="shared" ca="1" si="43"/>
        <v>0</v>
      </c>
      <c r="E390">
        <f t="shared" ca="1" si="44"/>
        <v>2.75</v>
      </c>
      <c r="F390">
        <f t="shared" ca="1" si="40"/>
        <v>1.1257435027743772</v>
      </c>
      <c r="G390">
        <f t="shared" ca="1" si="41"/>
        <v>1.1922825795945482</v>
      </c>
      <c r="H390">
        <f t="shared" ca="1" si="38"/>
        <v>0.94419185689788532</v>
      </c>
      <c r="I390">
        <f t="shared" ca="1" si="39"/>
        <v>48.564747020616551</v>
      </c>
      <c r="J390">
        <v>30</v>
      </c>
      <c r="K390">
        <v>70</v>
      </c>
    </row>
    <row r="391" spans="1:11" x14ac:dyDescent="0.25">
      <c r="A391" vm="775">
        <f ca="1"/>
        <v>45861</v>
      </c>
      <c r="B391" vm="776">
        <f ca="1"/>
        <v>282.01</v>
      </c>
      <c r="C391">
        <f t="shared" ca="1" si="42"/>
        <v>5.0000000000011369E-2</v>
      </c>
      <c r="D391">
        <f t="shared" ca="1" si="43"/>
        <v>5.0000000000011369E-2</v>
      </c>
      <c r="E391">
        <f t="shared" ca="1" si="44"/>
        <v>0</v>
      </c>
      <c r="F391">
        <f t="shared" ca="1" si="40"/>
        <v>1.0489046811476368</v>
      </c>
      <c r="G391">
        <f t="shared" ca="1" si="41"/>
        <v>1.1071195381949377</v>
      </c>
      <c r="H391">
        <f t="shared" ca="1" si="38"/>
        <v>0.94741773129375428</v>
      </c>
      <c r="I391">
        <f t="shared" ca="1" si="39"/>
        <v>48.649948907692412</v>
      </c>
      <c r="J391">
        <v>30</v>
      </c>
      <c r="K391">
        <v>70</v>
      </c>
    </row>
    <row r="392" spans="1:11" x14ac:dyDescent="0.25">
      <c r="A392" vm="777">
        <f ca="1"/>
        <v>45862</v>
      </c>
      <c r="B392" vm="778">
        <f ca="1"/>
        <v>260.51</v>
      </c>
      <c r="C392">
        <f t="shared" ca="1" si="42"/>
        <v>-21.5</v>
      </c>
      <c r="D392">
        <f t="shared" ca="1" si="43"/>
        <v>0</v>
      </c>
      <c r="E392">
        <f t="shared" ca="1" si="44"/>
        <v>21.5</v>
      </c>
      <c r="F392">
        <f t="shared" ca="1" si="40"/>
        <v>0.9739829182085199</v>
      </c>
      <c r="G392">
        <f t="shared" ca="1" si="41"/>
        <v>2.5637538568952993</v>
      </c>
      <c r="H392">
        <f t="shared" ca="1" si="38"/>
        <v>0.37990500359032564</v>
      </c>
      <c r="I392">
        <f t="shared" ca="1" si="39"/>
        <v>27.531243281375495</v>
      </c>
      <c r="J392">
        <v>30</v>
      </c>
      <c r="K392">
        <v>70</v>
      </c>
    </row>
    <row r="393" spans="1:11" x14ac:dyDescent="0.25">
      <c r="A393" vm="779">
        <f ca="1"/>
        <v>45863</v>
      </c>
      <c r="B393" vm="780">
        <f ca="1"/>
        <v>259.72000000000003</v>
      </c>
      <c r="C393">
        <f t="shared" ca="1" si="42"/>
        <v>-0.78999999999996362</v>
      </c>
      <c r="D393">
        <f t="shared" ca="1" si="43"/>
        <v>0</v>
      </c>
      <c r="E393">
        <f t="shared" ca="1" si="44"/>
        <v>0.78999999999996362</v>
      </c>
      <c r="F393">
        <f t="shared" ca="1" si="40"/>
        <v>0.90441270976505428</v>
      </c>
      <c r="G393">
        <f t="shared" ca="1" si="41"/>
        <v>2.4370571528313469</v>
      </c>
      <c r="H393">
        <f t="shared" ca="1" si="38"/>
        <v>0.37110853502730423</v>
      </c>
      <c r="I393">
        <f t="shared" ca="1" si="39"/>
        <v>27.066313537309725</v>
      </c>
      <c r="J393">
        <v>30</v>
      </c>
      <c r="K393">
        <v>70</v>
      </c>
    </row>
    <row r="394" spans="1:11" x14ac:dyDescent="0.25">
      <c r="A394" vm="781">
        <f ca="1"/>
        <v>45866</v>
      </c>
      <c r="B394" vm="782">
        <f ca="1"/>
        <v>263.20999999999998</v>
      </c>
      <c r="C394">
        <f t="shared" ca="1" si="42"/>
        <v>3.4899999999999523</v>
      </c>
      <c r="D394">
        <f t="shared" ca="1" si="43"/>
        <v>3.4899999999999523</v>
      </c>
      <c r="E394">
        <f t="shared" ca="1" si="44"/>
        <v>0</v>
      </c>
      <c r="F394">
        <f t="shared" ca="1" si="40"/>
        <v>1.0890975162104042</v>
      </c>
      <c r="G394">
        <f t="shared" ca="1" si="41"/>
        <v>2.2629816419148221</v>
      </c>
      <c r="H394">
        <f t="shared" ca="1" si="38"/>
        <v>0.48126661570655266</v>
      </c>
      <c r="I394">
        <f t="shared" ca="1" si="39"/>
        <v>32.49020875806292</v>
      </c>
      <c r="J394">
        <v>30</v>
      </c>
      <c r="K394">
        <v>70</v>
      </c>
    </row>
    <row r="395" spans="1:11" x14ac:dyDescent="0.25">
      <c r="A395" vm="783">
        <f ca="1"/>
        <v>45867</v>
      </c>
      <c r="B395" vm="784">
        <f ca="1"/>
        <v>262.41000000000003</v>
      </c>
      <c r="C395">
        <f t="shared" ca="1" si="42"/>
        <v>-0.79999999999995453</v>
      </c>
      <c r="D395">
        <f t="shared" ca="1" si="43"/>
        <v>0</v>
      </c>
      <c r="E395">
        <f t="shared" ca="1" si="44"/>
        <v>0.79999999999995453</v>
      </c>
      <c r="F395">
        <f t="shared" ca="1" si="40"/>
        <v>1.0113048364810895</v>
      </c>
      <c r="G395">
        <f t="shared" ca="1" si="41"/>
        <v>2.1584829532066174</v>
      </c>
      <c r="H395">
        <f t="shared" ca="1" si="38"/>
        <v>0.46852574627874949</v>
      </c>
      <c r="I395">
        <f t="shared" ca="1" si="39"/>
        <v>31.904496565075263</v>
      </c>
      <c r="J395">
        <v>30</v>
      </c>
      <c r="K395">
        <v>70</v>
      </c>
    </row>
    <row r="396" spans="1:11" x14ac:dyDescent="0.25">
      <c r="A396" vm="785">
        <f ca="1"/>
        <v>45868</v>
      </c>
      <c r="B396" vm="786">
        <f ca="1"/>
        <v>260.26</v>
      </c>
      <c r="C396">
        <f t="shared" ca="1" si="42"/>
        <v>-2.1500000000000341</v>
      </c>
      <c r="D396">
        <f t="shared" ca="1" si="43"/>
        <v>0</v>
      </c>
      <c r="E396">
        <f t="shared" ca="1" si="44"/>
        <v>2.1500000000000341</v>
      </c>
      <c r="F396">
        <f t="shared" ca="1" si="40"/>
        <v>0.93906877673244016</v>
      </c>
      <c r="G396">
        <f t="shared" ca="1" si="41"/>
        <v>2.1578770279775759</v>
      </c>
      <c r="H396">
        <f t="shared" ca="1" si="38"/>
        <v>0.43518178494747789</v>
      </c>
      <c r="I396">
        <f t="shared" ca="1" si="39"/>
        <v>30.322415565175518</v>
      </c>
      <c r="J396">
        <v>30</v>
      </c>
      <c r="K396">
        <v>70</v>
      </c>
    </row>
    <row r="397" spans="1:11" x14ac:dyDescent="0.25">
      <c r="A397" vm="787">
        <f ca="1"/>
        <v>45869</v>
      </c>
      <c r="B397" vm="788">
        <f ca="1"/>
        <v>253.15</v>
      </c>
      <c r="C397">
        <f t="shared" ca="1" si="42"/>
        <v>-7.1099999999999852</v>
      </c>
      <c r="D397">
        <f t="shared" ca="1" si="43"/>
        <v>0</v>
      </c>
      <c r="E397">
        <f t="shared" ca="1" si="44"/>
        <v>7.1099999999999852</v>
      </c>
      <c r="F397">
        <f t="shared" ca="1" si="40"/>
        <v>0.8719924355372658</v>
      </c>
      <c r="G397">
        <f t="shared" ca="1" si="41"/>
        <v>2.5116000974077477</v>
      </c>
      <c r="H397">
        <f t="shared" ca="1" si="38"/>
        <v>0.34718601756595707</v>
      </c>
      <c r="I397">
        <f t="shared" ca="1" si="39"/>
        <v>25.771201084259999</v>
      </c>
      <c r="J397">
        <v>30</v>
      </c>
      <c r="K397">
        <v>70</v>
      </c>
    </row>
    <row r="398" spans="1:11" x14ac:dyDescent="0.25">
      <c r="A398" vm="789">
        <f ca="1"/>
        <v>45870</v>
      </c>
      <c r="B398" vm="790">
        <f ca="1"/>
        <v>250.05</v>
      </c>
      <c r="C398">
        <f t="shared" ca="1" si="42"/>
        <v>-3.0999999999999943</v>
      </c>
      <c r="D398">
        <f t="shared" ca="1" si="43"/>
        <v>0</v>
      </c>
      <c r="E398">
        <f t="shared" ca="1" si="44"/>
        <v>3.0999999999999943</v>
      </c>
      <c r="F398">
        <f t="shared" ca="1" si="40"/>
        <v>0.80970726157031814</v>
      </c>
      <c r="G398">
        <f t="shared" ca="1" si="41"/>
        <v>2.5536286618786224</v>
      </c>
      <c r="H398">
        <f t="shared" ca="1" si="38"/>
        <v>0.31708105162582356</v>
      </c>
      <c r="I398">
        <f t="shared" ca="1" si="39"/>
        <v>24.07452838490191</v>
      </c>
      <c r="J398">
        <v>30</v>
      </c>
      <c r="K398">
        <v>70</v>
      </c>
    </row>
    <row r="399" spans="1:11" x14ac:dyDescent="0.25">
      <c r="A399" vm="791">
        <f ca="1"/>
        <v>45873</v>
      </c>
      <c r="B399" vm="792">
        <f ca="1"/>
        <v>251.98</v>
      </c>
      <c r="C399">
        <f t="shared" ca="1" si="42"/>
        <v>1.9299999999999784</v>
      </c>
      <c r="D399">
        <f t="shared" ca="1" si="43"/>
        <v>1.9299999999999784</v>
      </c>
      <c r="E399">
        <f t="shared" ca="1" si="44"/>
        <v>0</v>
      </c>
      <c r="F399">
        <f t="shared" ca="1" si="40"/>
        <v>0.88972817145815097</v>
      </c>
      <c r="G399">
        <f t="shared" ca="1" si="41"/>
        <v>2.3712266146015781</v>
      </c>
      <c r="H399">
        <f t="shared" ca="1" si="38"/>
        <v>0.37521853288056412</v>
      </c>
      <c r="I399">
        <f t="shared" ca="1" si="39"/>
        <v>27.284284199880787</v>
      </c>
      <c r="J399">
        <v>30</v>
      </c>
      <c r="K399">
        <v>70</v>
      </c>
    </row>
    <row r="400" spans="1:11" x14ac:dyDescent="0.25">
      <c r="A400" vm="793">
        <f ca="1"/>
        <v>45874</v>
      </c>
      <c r="B400" vm="794">
        <f ca="1"/>
        <v>250.67</v>
      </c>
      <c r="C400">
        <f t="shared" ca="1" si="42"/>
        <v>-1.3100000000000023</v>
      </c>
      <c r="D400">
        <f t="shared" ca="1" si="43"/>
        <v>0</v>
      </c>
      <c r="E400">
        <f t="shared" ca="1" si="44"/>
        <v>1.3100000000000023</v>
      </c>
      <c r="F400">
        <f t="shared" ca="1" si="40"/>
        <v>0.82617615921114018</v>
      </c>
      <c r="G400">
        <f t="shared" ca="1" si="41"/>
        <v>2.2954247135586079</v>
      </c>
      <c r="H400">
        <f t="shared" ca="1" si="38"/>
        <v>0.35992300437086233</v>
      </c>
      <c r="I400">
        <f t="shared" ca="1" si="39"/>
        <v>26.466425173634931</v>
      </c>
      <c r="J400">
        <v>30</v>
      </c>
      <c r="K400">
        <v>70</v>
      </c>
    </row>
    <row r="401" spans="1:11" x14ac:dyDescent="0.25">
      <c r="A401" vm="795">
        <f ca="1"/>
        <v>45875</v>
      </c>
      <c r="B401" vm="796">
        <f ca="1"/>
        <v>252.28</v>
      </c>
      <c r="C401">
        <f t="shared" ca="1" si="42"/>
        <v>1.6100000000000136</v>
      </c>
      <c r="D401">
        <f t="shared" ca="1" si="43"/>
        <v>1.6100000000000136</v>
      </c>
      <c r="E401">
        <f t="shared" ca="1" si="44"/>
        <v>0</v>
      </c>
      <c r="F401">
        <f t="shared" ca="1" si="40"/>
        <v>0.88216357641034548</v>
      </c>
      <c r="G401">
        <f t="shared" ca="1" si="41"/>
        <v>2.1314658054472786</v>
      </c>
      <c r="H401">
        <f t="shared" ref="H401:H464" ca="1" si="45">IF(G401=0,NA(),F401/G401)</f>
        <v>0.41387648544764122</v>
      </c>
      <c r="I401">
        <f t="shared" ref="I401:I464" ca="1" si="46">IF(H401=0,100,100-(100/(1+H401)))</f>
        <v>29.27246401701106</v>
      </c>
      <c r="J401">
        <v>30</v>
      </c>
      <c r="K401">
        <v>70</v>
      </c>
    </row>
    <row r="402" spans="1:11" x14ac:dyDescent="0.25">
      <c r="A402" vm="797">
        <f ca="1"/>
        <v>45876</v>
      </c>
      <c r="B402" vm="798">
        <f ca="1"/>
        <v>250.16</v>
      </c>
      <c r="C402">
        <f t="shared" ca="1" si="42"/>
        <v>-2.1200000000000045</v>
      </c>
      <c r="D402">
        <f t="shared" ca="1" si="43"/>
        <v>0</v>
      </c>
      <c r="E402">
        <f t="shared" ca="1" si="44"/>
        <v>2.1200000000000045</v>
      </c>
      <c r="F402">
        <f t="shared" ref="F402:F465" ca="1" si="47">(F401*($E$1-1)+D402)/$E$1</f>
        <v>0.81915189238103514</v>
      </c>
      <c r="G402">
        <f t="shared" ref="G402:G465" ca="1" si="48">(G401*($E$1-1)+E402)/$E$1</f>
        <v>2.1306468193439021</v>
      </c>
      <c r="H402">
        <f t="shared" ca="1" si="45"/>
        <v>0.38446160337041668</v>
      </c>
      <c r="I402">
        <f t="shared" ca="1" si="46"/>
        <v>27.769755581119782</v>
      </c>
      <c r="J402">
        <v>30</v>
      </c>
      <c r="K402">
        <v>70</v>
      </c>
    </row>
    <row r="403" spans="1:11" x14ac:dyDescent="0.25">
      <c r="A403" vm="799">
        <f ca="1"/>
        <v>45877</v>
      </c>
      <c r="B403" vm="800">
        <f ca="1"/>
        <v>242.27</v>
      </c>
      <c r="C403">
        <f t="shared" ca="1" si="42"/>
        <v>-7.8899999999999864</v>
      </c>
      <c r="D403">
        <f t="shared" ca="1" si="43"/>
        <v>0</v>
      </c>
      <c r="E403">
        <f t="shared" ca="1" si="44"/>
        <v>7.8899999999999864</v>
      </c>
      <c r="F403">
        <f t="shared" ca="1" si="47"/>
        <v>0.76064104292524692</v>
      </c>
      <c r="G403">
        <f t="shared" ca="1" si="48"/>
        <v>2.5420291893907652</v>
      </c>
      <c r="H403">
        <f t="shared" ca="1" si="45"/>
        <v>0.29922592789249042</v>
      </c>
      <c r="I403">
        <f t="shared" ca="1" si="46"/>
        <v>23.031092704397679</v>
      </c>
      <c r="J403">
        <v>30</v>
      </c>
      <c r="K403">
        <v>70</v>
      </c>
    </row>
    <row r="404" spans="1:11" x14ac:dyDescent="0.25">
      <c r="A404" vm="801">
        <f ca="1"/>
        <v>45880</v>
      </c>
      <c r="B404" vm="802">
        <f ca="1"/>
        <v>236.3</v>
      </c>
      <c r="C404">
        <f t="shared" ca="1" si="42"/>
        <v>-5.9699999999999989</v>
      </c>
      <c r="D404">
        <f t="shared" ca="1" si="43"/>
        <v>0</v>
      </c>
      <c r="E404">
        <f t="shared" ca="1" si="44"/>
        <v>5.9699999999999989</v>
      </c>
      <c r="F404">
        <f t="shared" ca="1" si="47"/>
        <v>0.70630953985915779</v>
      </c>
      <c r="G404">
        <f t="shared" ca="1" si="48"/>
        <v>2.7868842472914248</v>
      </c>
      <c r="H404">
        <f t="shared" ca="1" si="45"/>
        <v>0.25344057276351561</v>
      </c>
      <c r="I404">
        <f t="shared" ca="1" si="46"/>
        <v>20.219592238405369</v>
      </c>
      <c r="J404">
        <v>30</v>
      </c>
      <c r="K404">
        <v>70</v>
      </c>
    </row>
    <row r="405" spans="1:11" x14ac:dyDescent="0.25">
      <c r="A405" vm="803">
        <f ca="1"/>
        <v>45881</v>
      </c>
      <c r="B405" vm="804">
        <f ca="1"/>
        <v>234.77</v>
      </c>
      <c r="C405">
        <f t="shared" ca="1" si="42"/>
        <v>-1.5300000000000011</v>
      </c>
      <c r="D405">
        <f t="shared" ca="1" si="43"/>
        <v>0</v>
      </c>
      <c r="E405">
        <f t="shared" ca="1" si="44"/>
        <v>1.5300000000000011</v>
      </c>
      <c r="F405">
        <f t="shared" ca="1" si="47"/>
        <v>0.65585885844064651</v>
      </c>
      <c r="G405">
        <f t="shared" ca="1" si="48"/>
        <v>2.6971068010563228</v>
      </c>
      <c r="H405">
        <f t="shared" ca="1" si="45"/>
        <v>0.24317125973053019</v>
      </c>
      <c r="I405">
        <f t="shared" ca="1" si="46"/>
        <v>19.560559965264957</v>
      </c>
      <c r="J405">
        <v>30</v>
      </c>
      <c r="K405">
        <v>70</v>
      </c>
    </row>
    <row r="406" spans="1:11" x14ac:dyDescent="0.25">
      <c r="A406" vm="805">
        <f ca="1"/>
        <v>45882</v>
      </c>
      <c r="B406" vm="806">
        <f ca="1"/>
        <v>240.07</v>
      </c>
      <c r="C406">
        <f t="shared" ca="1" si="42"/>
        <v>5.2999999999999829</v>
      </c>
      <c r="D406">
        <f t="shared" ca="1" si="43"/>
        <v>5.2999999999999829</v>
      </c>
      <c r="E406">
        <f t="shared" ca="1" si="44"/>
        <v>0</v>
      </c>
      <c r="F406">
        <f t="shared" ca="1" si="47"/>
        <v>0.98758322569488488</v>
      </c>
      <c r="G406">
        <f t="shared" ca="1" si="48"/>
        <v>2.5044563152665851</v>
      </c>
      <c r="H406">
        <f t="shared" ca="1" si="45"/>
        <v>0.39433038607014487</v>
      </c>
      <c r="I406">
        <f t="shared" ca="1" si="46"/>
        <v>28.280986343670435</v>
      </c>
      <c r="J406">
        <v>30</v>
      </c>
      <c r="K406">
        <v>70</v>
      </c>
    </row>
    <row r="407" spans="1:11" x14ac:dyDescent="0.25">
      <c r="A407" vm="807">
        <f ca="1"/>
        <v>45883</v>
      </c>
      <c r="B407" vm="808">
        <f ca="1"/>
        <v>237.11</v>
      </c>
      <c r="C407">
        <f t="shared" ca="1" si="42"/>
        <v>-2.9599999999999795</v>
      </c>
      <c r="D407">
        <f t="shared" ca="1" si="43"/>
        <v>0</v>
      </c>
      <c r="E407">
        <f t="shared" ca="1" si="44"/>
        <v>2.9599999999999795</v>
      </c>
      <c r="F407">
        <f t="shared" ca="1" si="47"/>
        <v>0.9170415667166788</v>
      </c>
      <c r="G407">
        <f t="shared" ca="1" si="48"/>
        <v>2.5369951498903989</v>
      </c>
      <c r="H407">
        <f t="shared" ca="1" si="45"/>
        <v>0.3614676073607378</v>
      </c>
      <c r="I407">
        <f t="shared" ca="1" si="46"/>
        <v>26.549849985888244</v>
      </c>
      <c r="J407">
        <v>30</v>
      </c>
      <c r="K407">
        <v>70</v>
      </c>
    </row>
    <row r="408" spans="1:11" x14ac:dyDescent="0.25">
      <c r="A408" vm="809">
        <f ca="1"/>
        <v>45884</v>
      </c>
      <c r="B408" vm="810">
        <f ca="1"/>
        <v>239.72</v>
      </c>
      <c r="C408">
        <f t="shared" ca="1" si="42"/>
        <v>2.6099999999999852</v>
      </c>
      <c r="D408">
        <f t="shared" ca="1" si="43"/>
        <v>2.6099999999999852</v>
      </c>
      <c r="E408">
        <f t="shared" ca="1" si="44"/>
        <v>0</v>
      </c>
      <c r="F408">
        <f t="shared" ca="1" si="47"/>
        <v>1.0379671690940577</v>
      </c>
      <c r="G408">
        <f t="shared" ca="1" si="48"/>
        <v>2.3557812106125131</v>
      </c>
      <c r="H408">
        <f t="shared" ca="1" si="45"/>
        <v>0.44060423116465125</v>
      </c>
      <c r="I408">
        <f t="shared" ca="1" si="46"/>
        <v>30.58468256812256</v>
      </c>
      <c r="J408">
        <v>30</v>
      </c>
      <c r="K408">
        <v>70</v>
      </c>
    </row>
    <row r="409" spans="1:11" x14ac:dyDescent="0.25">
      <c r="A409" vm="811">
        <f ca="1"/>
        <v>45887</v>
      </c>
      <c r="B409" vm="812">
        <f ca="1"/>
        <v>239.45</v>
      </c>
      <c r="C409">
        <f t="shared" ca="1" si="42"/>
        <v>-0.27000000000001023</v>
      </c>
      <c r="D409">
        <f t="shared" ca="1" si="43"/>
        <v>0</v>
      </c>
      <c r="E409">
        <f t="shared" ca="1" si="44"/>
        <v>0.27000000000001023</v>
      </c>
      <c r="F409">
        <f t="shared" ca="1" si="47"/>
        <v>0.96382665701591075</v>
      </c>
      <c r="G409">
        <f t="shared" ca="1" si="48"/>
        <v>2.2067968384259058</v>
      </c>
      <c r="H409">
        <f t="shared" ca="1" si="45"/>
        <v>0.43675368762237404</v>
      </c>
      <c r="I409">
        <f t="shared" ca="1" si="46"/>
        <v>30.398647408042521</v>
      </c>
      <c r="J409">
        <v>30</v>
      </c>
      <c r="K409">
        <v>70</v>
      </c>
    </row>
    <row r="410" spans="1:11" x14ac:dyDescent="0.25">
      <c r="A410" vm="813">
        <f ca="1"/>
        <v>45888</v>
      </c>
      <c r="B410" vm="814">
        <f ca="1"/>
        <v>241.28</v>
      </c>
      <c r="C410">
        <f t="shared" ca="1" si="42"/>
        <v>1.8300000000000125</v>
      </c>
      <c r="D410">
        <f t="shared" ca="1" si="43"/>
        <v>1.8300000000000125</v>
      </c>
      <c r="E410">
        <f t="shared" ca="1" si="44"/>
        <v>0</v>
      </c>
      <c r="F410">
        <f t="shared" ca="1" si="47"/>
        <v>1.0256961815147752</v>
      </c>
      <c r="G410">
        <f t="shared" ca="1" si="48"/>
        <v>2.0491684928240557</v>
      </c>
      <c r="H410">
        <f t="shared" ca="1" si="45"/>
        <v>0.50054262746408662</v>
      </c>
      <c r="I410">
        <f t="shared" ca="1" si="46"/>
        <v>33.357441388386448</v>
      </c>
      <c r="J410">
        <v>30</v>
      </c>
      <c r="K410">
        <v>70</v>
      </c>
    </row>
    <row r="411" spans="1:11" x14ac:dyDescent="0.25">
      <c r="A411" vm="815">
        <f ca="1"/>
        <v>45889</v>
      </c>
      <c r="B411" vm="816">
        <f ca="1"/>
        <v>242.55</v>
      </c>
      <c r="C411">
        <f t="shared" ca="1" si="42"/>
        <v>1.2700000000000102</v>
      </c>
      <c r="D411">
        <f t="shared" ca="1" si="43"/>
        <v>1.2700000000000102</v>
      </c>
      <c r="E411">
        <f t="shared" ca="1" si="44"/>
        <v>0</v>
      </c>
      <c r="F411">
        <f t="shared" ca="1" si="47"/>
        <v>1.0431464542637205</v>
      </c>
      <c r="G411">
        <f t="shared" ca="1" si="48"/>
        <v>1.9027993147651947</v>
      </c>
      <c r="H411">
        <f t="shared" ca="1" si="45"/>
        <v>0.54821674895991057</v>
      </c>
      <c r="I411">
        <f t="shared" ca="1" si="46"/>
        <v>35.409560665727312</v>
      </c>
      <c r="J411">
        <v>30</v>
      </c>
      <c r="K411">
        <v>70</v>
      </c>
    </row>
    <row r="412" spans="1:11" x14ac:dyDescent="0.25">
      <c r="A412" vm="817">
        <f ca="1"/>
        <v>45890</v>
      </c>
      <c r="B412" vm="818">
        <f ca="1"/>
        <v>239.4</v>
      </c>
      <c r="C412">
        <f t="shared" ca="1" si="42"/>
        <v>-3.1500000000000057</v>
      </c>
      <c r="D412">
        <f t="shared" ca="1" si="43"/>
        <v>0</v>
      </c>
      <c r="E412">
        <f t="shared" ca="1" si="44"/>
        <v>3.1500000000000057</v>
      </c>
      <c r="F412">
        <f t="shared" ca="1" si="47"/>
        <v>0.96863599324488336</v>
      </c>
      <c r="G412">
        <f t="shared" ca="1" si="48"/>
        <v>1.9918850779962527</v>
      </c>
      <c r="H412">
        <f t="shared" ca="1" si="45"/>
        <v>0.48629110381171581</v>
      </c>
      <c r="I412">
        <f t="shared" ca="1" si="46"/>
        <v>32.718429287814629</v>
      </c>
      <c r="J412">
        <v>30</v>
      </c>
      <c r="K412">
        <v>70</v>
      </c>
    </row>
    <row r="413" spans="1:11" x14ac:dyDescent="0.25">
      <c r="A413" vm="819">
        <f ca="1"/>
        <v>45891</v>
      </c>
      <c r="B413" vm="820">
        <f ca="1"/>
        <v>242.09</v>
      </c>
      <c r="C413">
        <f t="shared" ca="1" si="42"/>
        <v>2.6899999999999977</v>
      </c>
      <c r="D413">
        <f t="shared" ca="1" si="43"/>
        <v>2.6899999999999977</v>
      </c>
      <c r="E413">
        <f t="shared" ca="1" si="44"/>
        <v>0</v>
      </c>
      <c r="F413">
        <f t="shared" ca="1" si="47"/>
        <v>1.091590565155963</v>
      </c>
      <c r="G413">
        <f t="shared" ca="1" si="48"/>
        <v>1.8496075724250918</v>
      </c>
      <c r="H413">
        <f t="shared" ca="1" si="45"/>
        <v>0.59017414365617915</v>
      </c>
      <c r="I413">
        <f t="shared" ca="1" si="46"/>
        <v>37.113805806151014</v>
      </c>
      <c r="J413">
        <v>30</v>
      </c>
      <c r="K413">
        <v>70</v>
      </c>
    </row>
    <row r="414" spans="1:11" x14ac:dyDescent="0.25">
      <c r="A414" vm="821">
        <f ca="1"/>
        <v>45894</v>
      </c>
      <c r="B414" vm="822">
        <f ca="1"/>
        <v>239.43</v>
      </c>
      <c r="C414">
        <f t="shared" ca="1" si="42"/>
        <v>-2.6599999999999966</v>
      </c>
      <c r="D414">
        <f t="shared" ca="1" si="43"/>
        <v>0</v>
      </c>
      <c r="E414">
        <f t="shared" ca="1" si="44"/>
        <v>2.6599999999999966</v>
      </c>
      <c r="F414">
        <f t="shared" ca="1" si="47"/>
        <v>1.0136198105019656</v>
      </c>
      <c r="G414">
        <f t="shared" ca="1" si="48"/>
        <v>1.9074927458232993</v>
      </c>
      <c r="H414">
        <f t="shared" ca="1" si="45"/>
        <v>0.53138855323115464</v>
      </c>
      <c r="I414">
        <f t="shared" ca="1" si="46"/>
        <v>34.699786158774074</v>
      </c>
      <c r="J414">
        <v>30</v>
      </c>
      <c r="K414">
        <v>70</v>
      </c>
    </row>
    <row r="415" spans="1:11" x14ac:dyDescent="0.25">
      <c r="A415" vm="823">
        <f ca="1"/>
        <v>45895</v>
      </c>
      <c r="B415" vm="824">
        <f ca="1"/>
        <v>242.63</v>
      </c>
      <c r="C415">
        <f t="shared" ca="1" si="42"/>
        <v>3.1999999999999886</v>
      </c>
      <c r="D415">
        <f t="shared" ca="1" si="43"/>
        <v>3.1999999999999886</v>
      </c>
      <c r="E415">
        <f t="shared" ca="1" si="44"/>
        <v>0</v>
      </c>
      <c r="F415">
        <f t="shared" ca="1" si="47"/>
        <v>1.1697898240375386</v>
      </c>
      <c r="G415">
        <f t="shared" ca="1" si="48"/>
        <v>1.7712432639787781</v>
      </c>
      <c r="H415">
        <f t="shared" ca="1" si="45"/>
        <v>0.6604343106490167</v>
      </c>
      <c r="I415">
        <f t="shared" ca="1" si="46"/>
        <v>39.774793041398404</v>
      </c>
      <c r="J415">
        <v>30</v>
      </c>
      <c r="K415">
        <v>70</v>
      </c>
    </row>
    <row r="416" spans="1:11" x14ac:dyDescent="0.25">
      <c r="A416" vm="825">
        <f ca="1"/>
        <v>45896</v>
      </c>
      <c r="B416" vm="826">
        <f ca="1"/>
        <v>244.84</v>
      </c>
      <c r="C416">
        <f t="shared" ca="1" si="42"/>
        <v>2.210000000000008</v>
      </c>
      <c r="D416">
        <f t="shared" ca="1" si="43"/>
        <v>2.210000000000008</v>
      </c>
      <c r="E416">
        <f t="shared" ca="1" si="44"/>
        <v>0</v>
      </c>
      <c r="F416">
        <f t="shared" ca="1" si="47"/>
        <v>1.2440905508920008</v>
      </c>
      <c r="G416">
        <f t="shared" ca="1" si="48"/>
        <v>1.6447258879802937</v>
      </c>
      <c r="H416">
        <f t="shared" ca="1" si="45"/>
        <v>0.75641209272855248</v>
      </c>
      <c r="I416">
        <f t="shared" ca="1" si="46"/>
        <v>43.065752955132574</v>
      </c>
      <c r="J416">
        <v>30</v>
      </c>
      <c r="K416">
        <v>70</v>
      </c>
    </row>
    <row r="417" spans="1:11" x14ac:dyDescent="0.25">
      <c r="A417" vm="827">
        <f ca="1"/>
        <v>45897</v>
      </c>
      <c r="B417" vm="828">
        <f ca="1"/>
        <v>245.73</v>
      </c>
      <c r="C417">
        <f t="shared" ca="1" si="42"/>
        <v>0.88999999999998636</v>
      </c>
      <c r="D417">
        <f t="shared" ca="1" si="43"/>
        <v>0.88999999999998636</v>
      </c>
      <c r="E417">
        <f t="shared" ca="1" si="44"/>
        <v>0</v>
      </c>
      <c r="F417">
        <f t="shared" ca="1" si="47"/>
        <v>1.2187983686854285</v>
      </c>
      <c r="G417">
        <f t="shared" ca="1" si="48"/>
        <v>1.5272454674102727</v>
      </c>
      <c r="H417">
        <f t="shared" ca="1" si="45"/>
        <v>0.79803698533944689</v>
      </c>
      <c r="I417">
        <f t="shared" ca="1" si="46"/>
        <v>44.383791426225166</v>
      </c>
      <c r="J417">
        <v>30</v>
      </c>
      <c r="K417">
        <v>70</v>
      </c>
    </row>
    <row r="418" spans="1:11" x14ac:dyDescent="0.25">
      <c r="A418" vm="829">
        <f ca="1"/>
        <v>45898</v>
      </c>
      <c r="B418" vm="627">
        <f ca="1"/>
        <v>243.49</v>
      </c>
      <c r="C418">
        <f t="shared" ca="1" si="42"/>
        <v>-2.2399999999999807</v>
      </c>
      <c r="D418">
        <f t="shared" ca="1" si="43"/>
        <v>0</v>
      </c>
      <c r="E418">
        <f t="shared" ca="1" si="44"/>
        <v>2.2399999999999807</v>
      </c>
      <c r="F418">
        <f t="shared" ca="1" si="47"/>
        <v>1.131741342350755</v>
      </c>
      <c r="G418">
        <f t="shared" ca="1" si="48"/>
        <v>1.5781565054523947</v>
      </c>
      <c r="H418">
        <f t="shared" ca="1" si="45"/>
        <v>0.71712871216554641</v>
      </c>
      <c r="I418">
        <f t="shared" ca="1" si="46"/>
        <v>41.7632473957729</v>
      </c>
      <c r="J418">
        <v>30</v>
      </c>
      <c r="K418">
        <v>70</v>
      </c>
    </row>
    <row r="419" spans="1:11" x14ac:dyDescent="0.25">
      <c r="A419" vm="830">
        <f ca="1"/>
        <v>45902</v>
      </c>
      <c r="B419" vm="831">
        <f ca="1"/>
        <v>241.5</v>
      </c>
      <c r="C419">
        <f t="shared" ca="1" si="42"/>
        <v>-1.9900000000000091</v>
      </c>
      <c r="D419">
        <f t="shared" ca="1" si="43"/>
        <v>0</v>
      </c>
      <c r="E419">
        <f t="shared" ca="1" si="44"/>
        <v>1.9900000000000091</v>
      </c>
      <c r="F419">
        <f t="shared" ca="1" si="47"/>
        <v>1.0509026750399868</v>
      </c>
      <c r="G419">
        <f t="shared" ca="1" si="48"/>
        <v>1.6075738979200815</v>
      </c>
      <c r="H419">
        <f t="shared" ca="1" si="45"/>
        <v>0.65371966812827109</v>
      </c>
      <c r="I419">
        <f t="shared" ca="1" si="46"/>
        <v>39.530259011079572</v>
      </c>
      <c r="J419">
        <v>30</v>
      </c>
      <c r="K419">
        <v>70</v>
      </c>
    </row>
    <row r="420" spans="1:11" x14ac:dyDescent="0.25">
      <c r="A420" vm="832">
        <f ca="1"/>
        <v>45903</v>
      </c>
      <c r="B420" vm="833">
        <f ca="1"/>
        <v>244.1</v>
      </c>
      <c r="C420">
        <f t="shared" ca="1" si="42"/>
        <v>2.5999999999999943</v>
      </c>
      <c r="D420">
        <f t="shared" ca="1" si="43"/>
        <v>2.5999999999999943</v>
      </c>
      <c r="E420">
        <f t="shared" ca="1" si="44"/>
        <v>0</v>
      </c>
      <c r="F420">
        <f t="shared" ca="1" si="47"/>
        <v>1.1615524839657017</v>
      </c>
      <c r="G420">
        <f t="shared" ca="1" si="48"/>
        <v>1.4927471909257901</v>
      </c>
      <c r="H420">
        <f t="shared" ca="1" si="45"/>
        <v>0.77813074512993452</v>
      </c>
      <c r="I420">
        <f t="shared" ca="1" si="46"/>
        <v>43.761165890704717</v>
      </c>
      <c r="J420">
        <v>30</v>
      </c>
      <c r="K420">
        <v>70</v>
      </c>
    </row>
    <row r="421" spans="1:11" x14ac:dyDescent="0.25">
      <c r="A421" vm="834">
        <f ca="1"/>
        <v>45904</v>
      </c>
      <c r="B421" vm="835">
        <f ca="1"/>
        <v>247.18</v>
      </c>
      <c r="C421">
        <f t="shared" ca="1" si="42"/>
        <v>3.0800000000000125</v>
      </c>
      <c r="D421">
        <f t="shared" ca="1" si="43"/>
        <v>3.0800000000000125</v>
      </c>
      <c r="E421">
        <f t="shared" ca="1" si="44"/>
        <v>0</v>
      </c>
      <c r="F421">
        <f t="shared" ca="1" si="47"/>
        <v>1.2985844493967238</v>
      </c>
      <c r="G421">
        <f t="shared" ca="1" si="48"/>
        <v>1.386122391573948</v>
      </c>
      <c r="H421">
        <f t="shared" ca="1" si="45"/>
        <v>0.93684688833442442</v>
      </c>
      <c r="I421">
        <f t="shared" ca="1" si="46"/>
        <v>48.369692719493081</v>
      </c>
      <c r="J421">
        <v>30</v>
      </c>
      <c r="K421">
        <v>70</v>
      </c>
    </row>
    <row r="422" spans="1:11" x14ac:dyDescent="0.25">
      <c r="A422" vm="836">
        <f ca="1"/>
        <v>45905</v>
      </c>
      <c r="B422" vm="837">
        <f ca="1"/>
        <v>248.53</v>
      </c>
      <c r="C422">
        <f t="shared" ca="1" si="42"/>
        <v>1.3499999999999943</v>
      </c>
      <c r="D422">
        <f t="shared" ca="1" si="43"/>
        <v>1.3499999999999943</v>
      </c>
      <c r="E422">
        <f t="shared" ca="1" si="44"/>
        <v>0</v>
      </c>
      <c r="F422">
        <f t="shared" ca="1" si="47"/>
        <v>1.3022569887255286</v>
      </c>
      <c r="G422">
        <f t="shared" ca="1" si="48"/>
        <v>1.2871136493186661</v>
      </c>
      <c r="H422">
        <f t="shared" ca="1" si="45"/>
        <v>1.0117653475393402</v>
      </c>
      <c r="I422">
        <f t="shared" ca="1" si="46"/>
        <v>50.292413515167922</v>
      </c>
      <c r="J422">
        <v>30</v>
      </c>
      <c r="K422">
        <v>70</v>
      </c>
    </row>
    <row r="423" spans="1:11" x14ac:dyDescent="0.25">
      <c r="A423" vm="838">
        <f ca="1"/>
        <v>45908</v>
      </c>
      <c r="B423" vm="839">
        <f ca="1"/>
        <v>256.08999999999997</v>
      </c>
      <c r="C423">
        <f t="shared" ca="1" si="42"/>
        <v>7.5599999999999739</v>
      </c>
      <c r="D423">
        <f t="shared" ca="1" si="43"/>
        <v>7.5599999999999739</v>
      </c>
      <c r="E423">
        <f t="shared" ca="1" si="44"/>
        <v>0</v>
      </c>
      <c r="F423">
        <f t="shared" ca="1" si="47"/>
        <v>1.7492386323879889</v>
      </c>
      <c r="G423">
        <f t="shared" ca="1" si="48"/>
        <v>1.1951769600816184</v>
      </c>
      <c r="H423">
        <f t="shared" ca="1" si="45"/>
        <v>1.4635812861289876</v>
      </c>
      <c r="I423">
        <f t="shared" ca="1" si="46"/>
        <v>59.408686629078325</v>
      </c>
      <c r="J423">
        <v>30</v>
      </c>
      <c r="K423">
        <v>70</v>
      </c>
    </row>
    <row r="424" spans="1:11" x14ac:dyDescent="0.25">
      <c r="A424" vm="840">
        <f ca="1"/>
        <v>45909</v>
      </c>
      <c r="B424" vm="841">
        <f ca="1"/>
        <v>259.11</v>
      </c>
      <c r="C424">
        <f t="shared" ca="1" si="42"/>
        <v>3.0200000000000387</v>
      </c>
      <c r="D424">
        <f t="shared" ca="1" si="43"/>
        <v>3.0200000000000387</v>
      </c>
      <c r="E424">
        <f t="shared" ca="1" si="44"/>
        <v>0</v>
      </c>
      <c r="F424">
        <f t="shared" ca="1" si="47"/>
        <v>1.8400073015031353</v>
      </c>
      <c r="G424">
        <f t="shared" ca="1" si="48"/>
        <v>1.1098071772186457</v>
      </c>
      <c r="H424">
        <f t="shared" ca="1" si="45"/>
        <v>1.657952245465278</v>
      </c>
      <c r="I424">
        <f t="shared" ca="1" si="46"/>
        <v>62.37705166802391</v>
      </c>
      <c r="J424">
        <v>30</v>
      </c>
      <c r="K424">
        <v>70</v>
      </c>
    </row>
    <row r="425" spans="1:11" x14ac:dyDescent="0.25">
      <c r="A425" vm="842">
        <f ca="1"/>
        <v>45910</v>
      </c>
      <c r="B425" vm="843">
        <f ca="1"/>
        <v>256.88</v>
      </c>
      <c r="C425">
        <f t="shared" ca="1" si="42"/>
        <v>-2.2300000000000182</v>
      </c>
      <c r="D425">
        <f t="shared" ca="1" si="43"/>
        <v>0</v>
      </c>
      <c r="E425">
        <f t="shared" ca="1" si="44"/>
        <v>2.2300000000000182</v>
      </c>
      <c r="F425">
        <f t="shared" ca="1" si="47"/>
        <v>1.7085782085386256</v>
      </c>
      <c r="G425">
        <f t="shared" ca="1" si="48"/>
        <v>1.1898209502744581</v>
      </c>
      <c r="H425">
        <f t="shared" ca="1" si="45"/>
        <v>1.435996069950277</v>
      </c>
      <c r="I425">
        <f t="shared" ca="1" si="46"/>
        <v>58.949030651744366</v>
      </c>
      <c r="J425">
        <v>30</v>
      </c>
      <c r="K425">
        <v>70</v>
      </c>
    </row>
    <row r="426" spans="1:11" x14ac:dyDescent="0.25">
      <c r="A426" vm="844">
        <f ca="1"/>
        <v>45911</v>
      </c>
      <c r="B426" vm="845">
        <f ca="1"/>
        <v>257.01</v>
      </c>
      <c r="C426">
        <f t="shared" ca="1" si="42"/>
        <v>0.12999999999999545</v>
      </c>
      <c r="D426">
        <f t="shared" ca="1" si="43"/>
        <v>0.12999999999999545</v>
      </c>
      <c r="E426">
        <f t="shared" ca="1" si="44"/>
        <v>0</v>
      </c>
      <c r="F426">
        <f t="shared" ca="1" si="47"/>
        <v>1.5958226222144378</v>
      </c>
      <c r="G426">
        <f t="shared" ca="1" si="48"/>
        <v>1.1048337395405683</v>
      </c>
      <c r="H426">
        <f t="shared" ca="1" si="45"/>
        <v>1.444400695871255</v>
      </c>
      <c r="I426">
        <f t="shared" ca="1" si="46"/>
        <v>59.090176921931729</v>
      </c>
      <c r="J426">
        <v>30</v>
      </c>
      <c r="K426">
        <v>70</v>
      </c>
    </row>
    <row r="427" spans="1:11" x14ac:dyDescent="0.25">
      <c r="A427" vm="846">
        <f ca="1"/>
        <v>45912</v>
      </c>
      <c r="B427" vm="550">
        <f ca="1"/>
        <v>253.44</v>
      </c>
      <c r="C427">
        <f t="shared" ca="1" si="42"/>
        <v>-3.5699999999999932</v>
      </c>
      <c r="D427">
        <f t="shared" ca="1" si="43"/>
        <v>0</v>
      </c>
      <c r="E427">
        <f t="shared" ca="1" si="44"/>
        <v>3.5699999999999932</v>
      </c>
      <c r="F427">
        <f t="shared" ca="1" si="47"/>
        <v>1.4818352920562636</v>
      </c>
      <c r="G427">
        <f t="shared" ca="1" si="48"/>
        <v>1.2809170438590987</v>
      </c>
      <c r="H427">
        <f t="shared" ca="1" si="45"/>
        <v>1.1568550041241126</v>
      </c>
      <c r="I427">
        <f t="shared" ca="1" si="46"/>
        <v>53.636197236814503</v>
      </c>
      <c r="J427">
        <v>30</v>
      </c>
      <c r="K427">
        <v>70</v>
      </c>
    </row>
    <row r="428" spans="1:11" x14ac:dyDescent="0.25">
      <c r="A428" vm="847">
        <f ca="1"/>
        <v>45915</v>
      </c>
      <c r="B428" vm="848">
        <f ca="1"/>
        <v>256.24</v>
      </c>
      <c r="C428">
        <f t="shared" ca="1" si="42"/>
        <v>2.8000000000000114</v>
      </c>
      <c r="D428">
        <f t="shared" ca="1" si="43"/>
        <v>2.8000000000000114</v>
      </c>
      <c r="E428">
        <f t="shared" ca="1" si="44"/>
        <v>0</v>
      </c>
      <c r="F428">
        <f t="shared" ca="1" si="47"/>
        <v>1.5759899140522455</v>
      </c>
      <c r="G428">
        <f t="shared" ca="1" si="48"/>
        <v>1.1894229692977345</v>
      </c>
      <c r="H428">
        <f t="shared" ca="1" si="45"/>
        <v>1.3250037663075818</v>
      </c>
      <c r="I428">
        <f t="shared" ca="1" si="46"/>
        <v>56.989316985574852</v>
      </c>
      <c r="J428">
        <v>30</v>
      </c>
      <c r="K428">
        <v>70</v>
      </c>
    </row>
    <row r="429" spans="1:11" x14ac:dyDescent="0.25">
      <c r="A429" vm="849">
        <f ca="1"/>
        <v>45916</v>
      </c>
      <c r="B429" vm="850">
        <f ca="1"/>
        <v>257.52</v>
      </c>
      <c r="C429">
        <f t="shared" ca="1" si="42"/>
        <v>1.2799999999999727</v>
      </c>
      <c r="D429">
        <f t="shared" ca="1" si="43"/>
        <v>1.2799999999999727</v>
      </c>
      <c r="E429">
        <f t="shared" ca="1" si="44"/>
        <v>0</v>
      </c>
      <c r="F429">
        <f t="shared" ca="1" si="47"/>
        <v>1.554847777334226</v>
      </c>
      <c r="G429">
        <f t="shared" ca="1" si="48"/>
        <v>1.1044641857764677</v>
      </c>
      <c r="H429">
        <f t="shared" ca="1" si="45"/>
        <v>1.4077846953825186</v>
      </c>
      <c r="I429">
        <f t="shared" ca="1" si="46"/>
        <v>58.468047333396122</v>
      </c>
      <c r="J429">
        <v>30</v>
      </c>
      <c r="K429">
        <v>70</v>
      </c>
    </row>
    <row r="430" spans="1:11" x14ac:dyDescent="0.25">
      <c r="A430" vm="851">
        <f ca="1"/>
        <v>45917</v>
      </c>
      <c r="B430" vm="852">
        <f ca="1"/>
        <v>259.08</v>
      </c>
      <c r="C430">
        <f t="shared" ca="1" si="42"/>
        <v>1.5600000000000023</v>
      </c>
      <c r="D430">
        <f t="shared" ca="1" si="43"/>
        <v>1.5600000000000023</v>
      </c>
      <c r="E430">
        <f t="shared" ca="1" si="44"/>
        <v>0</v>
      </c>
      <c r="F430">
        <f t="shared" ca="1" si="47"/>
        <v>1.5552157932389241</v>
      </c>
      <c r="G430">
        <f t="shared" ca="1" si="48"/>
        <v>1.0255738867924342</v>
      </c>
      <c r="H430">
        <f t="shared" ca="1" si="45"/>
        <v>1.5164346647933753</v>
      </c>
      <c r="I430">
        <f t="shared" ca="1" si="46"/>
        <v>60.26123729772614</v>
      </c>
      <c r="J430">
        <v>30</v>
      </c>
      <c r="K430">
        <v>70</v>
      </c>
    </row>
    <row r="431" spans="1:11" x14ac:dyDescent="0.25">
      <c r="A431" vm="853">
        <f ca="1"/>
        <v>45918</v>
      </c>
      <c r="B431" vm="854">
        <f ca="1"/>
        <v>265</v>
      </c>
      <c r="C431">
        <f t="shared" ca="1" si="42"/>
        <v>5.9200000000000159</v>
      </c>
      <c r="D431">
        <f t="shared" ca="1" si="43"/>
        <v>5.9200000000000159</v>
      </c>
      <c r="E431">
        <f t="shared" ca="1" si="44"/>
        <v>0</v>
      </c>
      <c r="F431">
        <f t="shared" ca="1" si="47"/>
        <v>1.8669860937218592</v>
      </c>
      <c r="G431">
        <f t="shared" ca="1" si="48"/>
        <v>0.95231860916440325</v>
      </c>
      <c r="H431">
        <f t="shared" ca="1" si="45"/>
        <v>1.9604637311036233</v>
      </c>
      <c r="I431">
        <f t="shared" ca="1" si="46"/>
        <v>66.221508154494003</v>
      </c>
      <c r="J431">
        <v>30</v>
      </c>
      <c r="K431">
        <v>70</v>
      </c>
    </row>
    <row r="432" spans="1:11" x14ac:dyDescent="0.25">
      <c r="A432" vm="855">
        <f ca="1"/>
        <v>45919</v>
      </c>
      <c r="B432" vm="856">
        <f ca="1"/>
        <v>266.39999999999998</v>
      </c>
      <c r="C432">
        <f t="shared" ca="1" si="42"/>
        <v>1.3999999999999773</v>
      </c>
      <c r="D432">
        <f t="shared" ca="1" si="43"/>
        <v>1.3999999999999773</v>
      </c>
      <c r="E432">
        <f t="shared" ca="1" si="44"/>
        <v>0</v>
      </c>
      <c r="F432">
        <f t="shared" ca="1" si="47"/>
        <v>1.8336299441702961</v>
      </c>
      <c r="G432">
        <f t="shared" ca="1" si="48"/>
        <v>0.88429585136694588</v>
      </c>
      <c r="H432">
        <f t="shared" ca="1" si="45"/>
        <v>2.0735480567231748</v>
      </c>
      <c r="I432">
        <f t="shared" ca="1" si="46"/>
        <v>67.464312203852842</v>
      </c>
      <c r="J432">
        <v>30</v>
      </c>
      <c r="K432">
        <v>70</v>
      </c>
    </row>
    <row r="433" spans="1:11" x14ac:dyDescent="0.25">
      <c r="A433" vm="857">
        <f ca="1"/>
        <v>45922</v>
      </c>
      <c r="B433" vm="858">
        <f ca="1"/>
        <v>271.37</v>
      </c>
      <c r="C433">
        <f t="shared" ca="1" si="42"/>
        <v>4.9700000000000273</v>
      </c>
      <c r="D433">
        <f t="shared" ca="1" si="43"/>
        <v>4.9700000000000273</v>
      </c>
      <c r="E433">
        <f t="shared" ca="1" si="44"/>
        <v>0</v>
      </c>
      <c r="F433">
        <f t="shared" ca="1" si="47"/>
        <v>2.0576563767295624</v>
      </c>
      <c r="G433">
        <f t="shared" ca="1" si="48"/>
        <v>0.82113186198359256</v>
      </c>
      <c r="H433">
        <f t="shared" ca="1" si="45"/>
        <v>2.5058781323610084</v>
      </c>
      <c r="I433">
        <f t="shared" ca="1" si="46"/>
        <v>71.476475728876608</v>
      </c>
      <c r="J433">
        <v>30</v>
      </c>
      <c r="K433">
        <v>70</v>
      </c>
    </row>
    <row r="434" spans="1:11" x14ac:dyDescent="0.25">
      <c r="A434" vm="859">
        <f ca="1"/>
        <v>45923</v>
      </c>
      <c r="B434" vm="860">
        <f ca="1"/>
        <v>272.24</v>
      </c>
      <c r="C434">
        <f t="shared" ca="1" si="42"/>
        <v>0.87000000000000455</v>
      </c>
      <c r="D434">
        <f t="shared" ca="1" si="43"/>
        <v>0.87000000000000455</v>
      </c>
      <c r="E434">
        <f t="shared" ca="1" si="44"/>
        <v>0</v>
      </c>
      <c r="F434">
        <f t="shared" ca="1" si="47"/>
        <v>1.9728237783917368</v>
      </c>
      <c r="G434">
        <f t="shared" ca="1" si="48"/>
        <v>0.76247958612762168</v>
      </c>
      <c r="H434">
        <f t="shared" ca="1" si="45"/>
        <v>2.5873791433696578</v>
      </c>
      <c r="I434">
        <f t="shared" ca="1" si="46"/>
        <v>72.124496462877602</v>
      </c>
      <c r="J434">
        <v>30</v>
      </c>
      <c r="K434">
        <v>70</v>
      </c>
    </row>
    <row r="435" spans="1:11" x14ac:dyDescent="0.25">
      <c r="A435" vm="861">
        <f ca="1"/>
        <v>45924</v>
      </c>
      <c r="B435" vm="862">
        <f ca="1"/>
        <v>267.52999999999997</v>
      </c>
      <c r="C435">
        <f t="shared" ca="1" si="42"/>
        <v>-4.7100000000000364</v>
      </c>
      <c r="D435">
        <f t="shared" ca="1" si="43"/>
        <v>0</v>
      </c>
      <c r="E435">
        <f t="shared" ca="1" si="44"/>
        <v>4.7100000000000364</v>
      </c>
      <c r="F435">
        <f t="shared" ca="1" si="47"/>
        <v>1.8319077942208983</v>
      </c>
      <c r="G435">
        <f t="shared" ca="1" si="48"/>
        <v>1.0444453299756513</v>
      </c>
      <c r="H435">
        <f t="shared" ca="1" si="45"/>
        <v>1.7539527839753994</v>
      </c>
      <c r="I435">
        <f t="shared" ca="1" si="46"/>
        <v>63.688556832972452</v>
      </c>
      <c r="J435">
        <v>30</v>
      </c>
      <c r="K435">
        <v>70</v>
      </c>
    </row>
    <row r="436" spans="1:11" x14ac:dyDescent="0.25">
      <c r="A436" vm="863">
        <f ca="1"/>
        <v>45925</v>
      </c>
      <c r="B436" vm="864">
        <f ca="1"/>
        <v>281.44</v>
      </c>
      <c r="C436">
        <f t="shared" ca="1" si="42"/>
        <v>13.910000000000025</v>
      </c>
      <c r="D436">
        <f t="shared" ca="1" si="43"/>
        <v>13.910000000000025</v>
      </c>
      <c r="E436">
        <f t="shared" ca="1" si="44"/>
        <v>0</v>
      </c>
      <c r="F436">
        <f t="shared" ca="1" si="47"/>
        <v>2.6946286660622647</v>
      </c>
      <c r="G436">
        <f t="shared" ca="1" si="48"/>
        <v>0.96984209212024763</v>
      </c>
      <c r="H436">
        <f t="shared" ca="1" si="45"/>
        <v>2.7784200004882509</v>
      </c>
      <c r="I436">
        <f t="shared" ca="1" si="46"/>
        <v>73.533911003255881</v>
      </c>
      <c r="J436">
        <v>30</v>
      </c>
      <c r="K436">
        <v>70</v>
      </c>
    </row>
    <row r="437" spans="1:11" x14ac:dyDescent="0.25">
      <c r="A437" vm="865">
        <f ca="1"/>
        <v>45926</v>
      </c>
      <c r="B437" vm="866">
        <f ca="1"/>
        <v>284.31</v>
      </c>
      <c r="C437">
        <f t="shared" ca="1" si="42"/>
        <v>2.8700000000000045</v>
      </c>
      <c r="D437">
        <f t="shared" ca="1" si="43"/>
        <v>2.8700000000000045</v>
      </c>
      <c r="E437">
        <f t="shared" ca="1" si="44"/>
        <v>0</v>
      </c>
      <c r="F437">
        <f t="shared" ca="1" si="47"/>
        <v>2.7071551899149604</v>
      </c>
      <c r="G437">
        <f t="shared" ca="1" si="48"/>
        <v>0.90056765696880137</v>
      </c>
      <c r="H437">
        <f t="shared" ca="1" si="45"/>
        <v>3.0060542025536514</v>
      </c>
      <c r="I437">
        <f t="shared" ca="1" si="46"/>
        <v>75.037781581623335</v>
      </c>
      <c r="J437">
        <v>30</v>
      </c>
      <c r="K437">
        <v>70</v>
      </c>
    </row>
    <row r="438" spans="1:11" x14ac:dyDescent="0.25">
      <c r="A438" vm="867">
        <f ca="1"/>
        <v>45929</v>
      </c>
      <c r="B438" vm="868">
        <f ca="1"/>
        <v>279.8</v>
      </c>
      <c r="C438">
        <f t="shared" ca="1" si="42"/>
        <v>-4.5099999999999909</v>
      </c>
      <c r="D438">
        <f t="shared" ca="1" si="43"/>
        <v>0</v>
      </c>
      <c r="E438">
        <f t="shared" ca="1" si="44"/>
        <v>4.5099999999999909</v>
      </c>
      <c r="F438">
        <f t="shared" ca="1" si="47"/>
        <v>2.5137869620638917</v>
      </c>
      <c r="G438">
        <f t="shared" ca="1" si="48"/>
        <v>1.1583842528996005</v>
      </c>
      <c r="H438">
        <f t="shared" ca="1" si="45"/>
        <v>2.1700803992902404</v>
      </c>
      <c r="I438">
        <f t="shared" ca="1" si="46"/>
        <v>68.455058735296006</v>
      </c>
      <c r="J438">
        <v>30</v>
      </c>
      <c r="K438">
        <v>70</v>
      </c>
    </row>
    <row r="439" spans="1:11" x14ac:dyDescent="0.25">
      <c r="A439" vm="869">
        <f ca="1"/>
        <v>45930</v>
      </c>
      <c r="B439" vm="870">
        <f ca="1"/>
        <v>282.16000000000003</v>
      </c>
      <c r="C439">
        <f t="shared" ca="1" si="42"/>
        <v>2.3600000000000136</v>
      </c>
      <c r="D439">
        <f t="shared" ca="1" si="43"/>
        <v>2.3600000000000136</v>
      </c>
      <c r="E439">
        <f t="shared" ca="1" si="44"/>
        <v>0</v>
      </c>
      <c r="F439">
        <f t="shared" ca="1" si="47"/>
        <v>2.5028021790593291</v>
      </c>
      <c r="G439">
        <f t="shared" ca="1" si="48"/>
        <v>1.0756425205496289</v>
      </c>
      <c r="H439">
        <f t="shared" ca="1" si="45"/>
        <v>2.3267973618042301</v>
      </c>
      <c r="I439">
        <f t="shared" ca="1" si="46"/>
        <v>69.941060688539579</v>
      </c>
      <c r="J439">
        <v>30</v>
      </c>
      <c r="K439">
        <v>70</v>
      </c>
    </row>
    <row r="440" spans="1:11" x14ac:dyDescent="0.25">
      <c r="A440" vm="871">
        <f ca="1"/>
        <v>45931</v>
      </c>
      <c r="B440" vm="872">
        <f ca="1"/>
        <v>286.49</v>
      </c>
      <c r="C440">
        <f t="shared" ca="1" si="42"/>
        <v>4.3299999999999841</v>
      </c>
      <c r="D440">
        <f t="shared" ca="1" si="43"/>
        <v>4.3299999999999841</v>
      </c>
      <c r="E440">
        <f t="shared" ca="1" si="44"/>
        <v>0</v>
      </c>
      <c r="F440">
        <f t="shared" ca="1" si="47"/>
        <v>2.6333163091265184</v>
      </c>
      <c r="G440">
        <f t="shared" ca="1" si="48"/>
        <v>0.99881091193894112</v>
      </c>
      <c r="H440">
        <f t="shared" ca="1" si="45"/>
        <v>2.6364512818693524</v>
      </c>
      <c r="I440">
        <f t="shared" ca="1" si="46"/>
        <v>72.500662803161759</v>
      </c>
      <c r="J440">
        <v>30</v>
      </c>
      <c r="K440">
        <v>70</v>
      </c>
    </row>
    <row r="441" spans="1:11" x14ac:dyDescent="0.25">
      <c r="A441" vm="873">
        <f ca="1"/>
        <v>45932</v>
      </c>
      <c r="B441" vm="874">
        <f ca="1"/>
        <v>286.72000000000003</v>
      </c>
      <c r="C441">
        <f t="shared" ca="1" si="42"/>
        <v>0.23000000000001819</v>
      </c>
      <c r="D441">
        <f t="shared" ca="1" si="43"/>
        <v>0.23000000000001819</v>
      </c>
      <c r="E441">
        <f t="shared" ca="1" si="44"/>
        <v>0</v>
      </c>
      <c r="F441">
        <f t="shared" ca="1" si="47"/>
        <v>2.4616508584746257</v>
      </c>
      <c r="G441">
        <f t="shared" ca="1" si="48"/>
        <v>0.9274672753718739</v>
      </c>
      <c r="H441">
        <f t="shared" ca="1" si="45"/>
        <v>2.6541646523189848</v>
      </c>
      <c r="I441">
        <f t="shared" ca="1" si="46"/>
        <v>72.633964390045051</v>
      </c>
      <c r="J441">
        <v>30</v>
      </c>
      <c r="K441">
        <v>70</v>
      </c>
    </row>
    <row r="442" spans="1:11" x14ac:dyDescent="0.25">
      <c r="A442" vm="875">
        <f ca="1"/>
        <v>45933</v>
      </c>
      <c r="B442" vm="876">
        <f ca="1"/>
        <v>288.37</v>
      </c>
      <c r="C442">
        <f t="shared" ca="1" si="42"/>
        <v>1.6499999999999773</v>
      </c>
      <c r="D442">
        <f t="shared" ca="1" si="43"/>
        <v>1.6499999999999773</v>
      </c>
      <c r="E442">
        <f t="shared" ca="1" si="44"/>
        <v>0</v>
      </c>
      <c r="F442">
        <f t="shared" ca="1" si="47"/>
        <v>2.403675797155008</v>
      </c>
      <c r="G442">
        <f t="shared" ca="1" si="48"/>
        <v>0.86121961284531146</v>
      </c>
      <c r="H442">
        <f t="shared" ca="1" si="45"/>
        <v>2.7910137685017467</v>
      </c>
      <c r="I442">
        <f t="shared" ca="1" si="46"/>
        <v>73.62183149244504</v>
      </c>
      <c r="J442">
        <v>30</v>
      </c>
      <c r="K442">
        <v>70</v>
      </c>
    </row>
    <row r="443" spans="1:11" x14ac:dyDescent="0.25">
      <c r="A443" vm="877">
        <f ca="1"/>
        <v>45936</v>
      </c>
      <c r="B443" vm="878">
        <f ca="1"/>
        <v>289.42</v>
      </c>
      <c r="C443">
        <f t="shared" ca="1" si="42"/>
        <v>1.0500000000000114</v>
      </c>
      <c r="D443">
        <f t="shared" ca="1" si="43"/>
        <v>1.0500000000000114</v>
      </c>
      <c r="E443">
        <f t="shared" ca="1" si="44"/>
        <v>0</v>
      </c>
      <c r="F443">
        <f t="shared" ca="1" si="47"/>
        <v>2.3069846687867939</v>
      </c>
      <c r="G443">
        <f t="shared" ca="1" si="48"/>
        <v>0.7997039262135035</v>
      </c>
      <c r="H443">
        <f t="shared" ca="1" si="45"/>
        <v>2.8847984774941313</v>
      </c>
      <c r="I443">
        <f t="shared" ca="1" si="46"/>
        <v>74.258639005515548</v>
      </c>
      <c r="J443">
        <v>30</v>
      </c>
      <c r="K443">
        <v>70</v>
      </c>
    </row>
    <row r="444" spans="1:11" x14ac:dyDescent="0.25">
      <c r="A444" vm="879">
        <f ca="1"/>
        <v>45937</v>
      </c>
      <c r="B444" vm="880">
        <f ca="1"/>
        <v>293.87</v>
      </c>
      <c r="C444">
        <f t="shared" ca="1" si="42"/>
        <v>4.4499999999999886</v>
      </c>
      <c r="D444">
        <f t="shared" ca="1" si="43"/>
        <v>4.4499999999999886</v>
      </c>
      <c r="E444">
        <f t="shared" ca="1" si="44"/>
        <v>0</v>
      </c>
      <c r="F444">
        <f t="shared" ca="1" si="47"/>
        <v>2.4600571924448791</v>
      </c>
      <c r="G444">
        <f t="shared" ca="1" si="48"/>
        <v>0.74258221719825335</v>
      </c>
      <c r="H444">
        <f t="shared" ca="1" si="45"/>
        <v>3.3128415082798801</v>
      </c>
      <c r="I444">
        <f t="shared" ca="1" si="46"/>
        <v>76.813430354902223</v>
      </c>
      <c r="J444">
        <v>30</v>
      </c>
      <c r="K444">
        <v>70</v>
      </c>
    </row>
    <row r="445" spans="1:11" x14ac:dyDescent="0.25">
      <c r="A445" vm="881">
        <f ca="1"/>
        <v>45938</v>
      </c>
      <c r="B445" vm="882">
        <f ca="1"/>
        <v>289.45999999999998</v>
      </c>
      <c r="C445">
        <f t="shared" ca="1" si="42"/>
        <v>-4.410000000000025</v>
      </c>
      <c r="D445">
        <f t="shared" ca="1" si="43"/>
        <v>0</v>
      </c>
      <c r="E445">
        <f t="shared" ca="1" si="44"/>
        <v>4.410000000000025</v>
      </c>
      <c r="F445">
        <f t="shared" ca="1" si="47"/>
        <v>2.2843388215559592</v>
      </c>
      <c r="G445">
        <f t="shared" ca="1" si="48"/>
        <v>1.0045406302555226</v>
      </c>
      <c r="H445">
        <f t="shared" ca="1" si="45"/>
        <v>2.2740133676573113</v>
      </c>
      <c r="I445">
        <f t="shared" ca="1" si="46"/>
        <v>69.456447249769781</v>
      </c>
      <c r="J445">
        <v>30</v>
      </c>
      <c r="K445">
        <v>70</v>
      </c>
    </row>
    <row r="446" spans="1:11" x14ac:dyDescent="0.25">
      <c r="A446" vm="883">
        <f ca="1"/>
        <v>45939</v>
      </c>
      <c r="B446" vm="884">
        <f ca="1"/>
        <v>288.23</v>
      </c>
      <c r="C446">
        <f t="shared" ca="1" si="42"/>
        <v>-1.2299999999999613</v>
      </c>
      <c r="D446">
        <f t="shared" ca="1" si="43"/>
        <v>0</v>
      </c>
      <c r="E446">
        <f t="shared" ca="1" si="44"/>
        <v>1.2299999999999613</v>
      </c>
      <c r="F446">
        <f t="shared" ca="1" si="47"/>
        <v>2.1211717628733906</v>
      </c>
      <c r="G446">
        <f t="shared" ca="1" si="48"/>
        <v>1.0206448709515539</v>
      </c>
      <c r="H446">
        <f t="shared" ca="1" si="45"/>
        <v>2.0782662248582198</v>
      </c>
      <c r="I446">
        <f t="shared" ca="1" si="46"/>
        <v>67.514180809814178</v>
      </c>
      <c r="J446">
        <v>30</v>
      </c>
      <c r="K446">
        <v>70</v>
      </c>
    </row>
    <row r="447" spans="1:11" x14ac:dyDescent="0.25">
      <c r="A447" vm="885">
        <f ca="1"/>
        <v>45940</v>
      </c>
      <c r="B447" vm="886">
        <f ca="1"/>
        <v>277.82</v>
      </c>
      <c r="C447">
        <f t="shared" ca="1" si="42"/>
        <v>-10.410000000000025</v>
      </c>
      <c r="D447">
        <f t="shared" ca="1" si="43"/>
        <v>0</v>
      </c>
      <c r="E447">
        <f t="shared" ca="1" si="44"/>
        <v>10.410000000000025</v>
      </c>
      <c r="F447">
        <f t="shared" ca="1" si="47"/>
        <v>1.9696594940967198</v>
      </c>
      <c r="G447">
        <f t="shared" ca="1" si="48"/>
        <v>1.6913130944550159</v>
      </c>
      <c r="H447">
        <f t="shared" ca="1" si="45"/>
        <v>1.1645741409761829</v>
      </c>
      <c r="I447">
        <f t="shared" ca="1" si="46"/>
        <v>53.801536243567128</v>
      </c>
      <c r="J447">
        <v>30</v>
      </c>
      <c r="K447">
        <v>70</v>
      </c>
    </row>
    <row r="448" spans="1:11" x14ac:dyDescent="0.25">
      <c r="A448" vm="887">
        <f ca="1"/>
        <v>45943</v>
      </c>
      <c r="B448" vm="724">
        <f ca="1"/>
        <v>277.22000000000003</v>
      </c>
      <c r="C448">
        <f t="shared" ca="1" si="42"/>
        <v>-0.59999999999996589</v>
      </c>
      <c r="D448">
        <f t="shared" ca="1" si="43"/>
        <v>0</v>
      </c>
      <c r="E448">
        <f t="shared" ca="1" si="44"/>
        <v>0.59999999999996589</v>
      </c>
      <c r="F448">
        <f t="shared" ca="1" si="47"/>
        <v>1.8289695302326685</v>
      </c>
      <c r="G448">
        <f t="shared" ca="1" si="48"/>
        <v>1.6133621591367981</v>
      </c>
      <c r="H448">
        <f t="shared" ca="1" si="45"/>
        <v>1.1336385447463497</v>
      </c>
      <c r="I448">
        <f t="shared" ca="1" si="46"/>
        <v>53.131705346142333</v>
      </c>
      <c r="J448">
        <v>30</v>
      </c>
      <c r="K448">
        <v>70</v>
      </c>
    </row>
    <row r="449" spans="1:11" x14ac:dyDescent="0.25">
      <c r="A449" vm="888">
        <f ca="1"/>
        <v>45944</v>
      </c>
      <c r="B449" vm="889">
        <f ca="1"/>
        <v>276.14999999999998</v>
      </c>
      <c r="C449">
        <f t="shared" ca="1" si="42"/>
        <v>-1.07000000000005</v>
      </c>
      <c r="D449">
        <f t="shared" ca="1" si="43"/>
        <v>0</v>
      </c>
      <c r="E449">
        <f t="shared" ca="1" si="44"/>
        <v>1.07000000000005</v>
      </c>
      <c r="F449">
        <f t="shared" ca="1" si="47"/>
        <v>1.6983288495017637</v>
      </c>
      <c r="G449">
        <f t="shared" ca="1" si="48"/>
        <v>1.5745505763413161</v>
      </c>
      <c r="H449">
        <f t="shared" ca="1" si="45"/>
        <v>1.0786118115354943</v>
      </c>
      <c r="I449">
        <f t="shared" ca="1" si="46"/>
        <v>51.890969037586267</v>
      </c>
      <c r="J449">
        <v>30</v>
      </c>
      <c r="K449">
        <v>70</v>
      </c>
    </row>
    <row r="450" spans="1:11" x14ac:dyDescent="0.25">
      <c r="A450" vm="890">
        <f ca="1"/>
        <v>45945</v>
      </c>
      <c r="B450" vm="891">
        <f ca="1"/>
        <v>280.75</v>
      </c>
      <c r="C450">
        <f t="shared" ca="1" si="42"/>
        <v>4.6000000000000227</v>
      </c>
      <c r="D450">
        <f t="shared" ca="1" si="43"/>
        <v>4.6000000000000227</v>
      </c>
      <c r="E450">
        <f t="shared" ca="1" si="44"/>
        <v>0</v>
      </c>
      <c r="F450">
        <f t="shared" ca="1" si="47"/>
        <v>1.9055910745373537</v>
      </c>
      <c r="G450">
        <f t="shared" ca="1" si="48"/>
        <v>1.4620826780312222</v>
      </c>
      <c r="H450">
        <f t="shared" ca="1" si="45"/>
        <v>1.3033401620648026</v>
      </c>
      <c r="I450">
        <f t="shared" ca="1" si="46"/>
        <v>56.58478862698415</v>
      </c>
      <c r="J450">
        <v>30</v>
      </c>
      <c r="K450">
        <v>70</v>
      </c>
    </row>
    <row r="451" spans="1:11" x14ac:dyDescent="0.25">
      <c r="A451" vm="892">
        <f ca="1"/>
        <v>45946</v>
      </c>
      <c r="B451" vm="893">
        <f ca="1"/>
        <v>275.97000000000003</v>
      </c>
      <c r="C451">
        <f t="shared" ca="1" si="42"/>
        <v>-4.7799999999999727</v>
      </c>
      <c r="D451">
        <f t="shared" ca="1" si="43"/>
        <v>0</v>
      </c>
      <c r="E451">
        <f t="shared" ca="1" si="44"/>
        <v>4.7799999999999727</v>
      </c>
      <c r="F451">
        <f t="shared" ca="1" si="47"/>
        <v>1.7694774263561139</v>
      </c>
      <c r="G451">
        <f t="shared" ca="1" si="48"/>
        <v>1.6990767724575615</v>
      </c>
      <c r="H451">
        <f t="shared" ca="1" si="45"/>
        <v>1.0414346514764745</v>
      </c>
      <c r="I451">
        <f t="shared" ca="1" si="46"/>
        <v>51.014841485288457</v>
      </c>
      <c r="J451">
        <v>30</v>
      </c>
      <c r="K451">
        <v>70</v>
      </c>
    </row>
    <row r="452" spans="1:11" x14ac:dyDescent="0.25">
      <c r="A452" vm="894">
        <f ca="1"/>
        <v>45947</v>
      </c>
      <c r="B452" vm="895">
        <f ca="1"/>
        <v>281.27999999999997</v>
      </c>
      <c r="C452">
        <f t="shared" ref="C452:C496" ca="1" si="49">B452-B451</f>
        <v>5.3099999999999454</v>
      </c>
      <c r="D452">
        <f t="shared" ref="D452:D496" ca="1" si="50">MAX(C452,0)</f>
        <v>5.3099999999999454</v>
      </c>
      <c r="E452">
        <f t="shared" ref="E452:E496" ca="1" si="51">MAX(-C452,0)</f>
        <v>0</v>
      </c>
      <c r="F452">
        <f t="shared" ca="1" si="47"/>
        <v>2.022371895902102</v>
      </c>
      <c r="G452">
        <f t="shared" ca="1" si="48"/>
        <v>1.57771414585345</v>
      </c>
      <c r="H452">
        <f t="shared" ca="1" si="45"/>
        <v>1.281836701038209</v>
      </c>
      <c r="I452">
        <f t="shared" ca="1" si="46"/>
        <v>56.175654482855336</v>
      </c>
      <c r="J452">
        <v>30</v>
      </c>
      <c r="K452">
        <v>70</v>
      </c>
    </row>
    <row r="453" spans="1:11" x14ac:dyDescent="0.25">
      <c r="A453" vm="896">
        <f ca="1"/>
        <v>45950</v>
      </c>
      <c r="B453" vm="897">
        <f ca="1"/>
        <v>283.64999999999998</v>
      </c>
      <c r="C453">
        <f t="shared" ca="1" si="49"/>
        <v>2.3700000000000045</v>
      </c>
      <c r="D453">
        <f t="shared" ca="1" si="50"/>
        <v>2.3700000000000045</v>
      </c>
      <c r="E453">
        <f t="shared" ca="1" si="51"/>
        <v>0</v>
      </c>
      <c r="F453">
        <f t="shared" ca="1" si="47"/>
        <v>2.0472024747662378</v>
      </c>
      <c r="G453">
        <f t="shared" ca="1" si="48"/>
        <v>1.4650202782924893</v>
      </c>
      <c r="H453">
        <f t="shared" ca="1" si="45"/>
        <v>1.3973884901800087</v>
      </c>
      <c r="I453">
        <f t="shared" ca="1" si="46"/>
        <v>58.287945233068399</v>
      </c>
      <c r="J453">
        <v>30</v>
      </c>
      <c r="K453">
        <v>70</v>
      </c>
    </row>
    <row r="454" spans="1:11" x14ac:dyDescent="0.25">
      <c r="A454" vm="898">
        <f ca="1"/>
        <v>45951</v>
      </c>
      <c r="B454" vm="899">
        <f ca="1"/>
        <v>282.05</v>
      </c>
      <c r="C454">
        <f t="shared" ca="1" si="49"/>
        <v>-1.5999999999999659</v>
      </c>
      <c r="D454">
        <f t="shared" ca="1" si="50"/>
        <v>0</v>
      </c>
      <c r="E454">
        <f t="shared" ca="1" si="51"/>
        <v>1.5999999999999659</v>
      </c>
      <c r="F454">
        <f t="shared" ca="1" si="47"/>
        <v>1.9009737265686495</v>
      </c>
      <c r="G454">
        <f t="shared" ca="1" si="48"/>
        <v>1.4746616869858804</v>
      </c>
      <c r="H454">
        <f t="shared" ca="1" si="45"/>
        <v>1.2890914189641187</v>
      </c>
      <c r="I454">
        <f t="shared" ca="1" si="46"/>
        <v>56.314545076031543</v>
      </c>
      <c r="J454">
        <v>30</v>
      </c>
      <c r="K454">
        <v>70</v>
      </c>
    </row>
    <row r="455" spans="1:11" x14ac:dyDescent="0.25">
      <c r="A455" vm="900">
        <f ca="1"/>
        <v>45952</v>
      </c>
      <c r="B455" vm="901">
        <f ca="1"/>
        <v>287.51</v>
      </c>
      <c r="C455">
        <f t="shared" ca="1" si="49"/>
        <v>5.4599999999999795</v>
      </c>
      <c r="D455">
        <f t="shared" ca="1" si="50"/>
        <v>5.4599999999999795</v>
      </c>
      <c r="E455">
        <f t="shared" ca="1" si="51"/>
        <v>0</v>
      </c>
      <c r="F455">
        <f t="shared" ca="1" si="47"/>
        <v>2.1551898889566017</v>
      </c>
      <c r="G455">
        <f t="shared" ca="1" si="48"/>
        <v>1.3693287093440318</v>
      </c>
      <c r="H455">
        <f t="shared" ca="1" si="45"/>
        <v>1.5739025073015753</v>
      </c>
      <c r="I455">
        <f t="shared" ca="1" si="46"/>
        <v>61.148489612049111</v>
      </c>
      <c r="J455">
        <v>30</v>
      </c>
      <c r="K455">
        <v>70</v>
      </c>
    </row>
    <row r="456" spans="1:11" x14ac:dyDescent="0.25">
      <c r="A456" vm="902">
        <f ca="1"/>
        <v>45953</v>
      </c>
      <c r="B456" vm="903">
        <f ca="1"/>
        <v>285</v>
      </c>
      <c r="C456">
        <f t="shared" ca="1" si="49"/>
        <v>-2.5099999999999909</v>
      </c>
      <c r="D456">
        <f t="shared" ca="1" si="50"/>
        <v>0</v>
      </c>
      <c r="E456">
        <f t="shared" ca="1" si="51"/>
        <v>2.5099999999999909</v>
      </c>
      <c r="F456">
        <f t="shared" ca="1" si="47"/>
        <v>2.0012477540311302</v>
      </c>
      <c r="G456">
        <f t="shared" ca="1" si="48"/>
        <v>1.4508052301051717</v>
      </c>
      <c r="H456">
        <f t="shared" ca="1" si="45"/>
        <v>1.3794048384331064</v>
      </c>
      <c r="I456">
        <f t="shared" ca="1" si="46"/>
        <v>57.972683595174857</v>
      </c>
      <c r="J456">
        <v>30</v>
      </c>
      <c r="K456">
        <v>70</v>
      </c>
    </row>
    <row r="457" spans="1:11" x14ac:dyDescent="0.25">
      <c r="A457" vm="904">
        <f ca="1"/>
        <v>45954</v>
      </c>
      <c r="B457" vm="905">
        <f ca="1"/>
        <v>307.45999999999998</v>
      </c>
      <c r="C457">
        <f t="shared" ca="1" si="49"/>
        <v>22.45999999999998</v>
      </c>
      <c r="D457">
        <f t="shared" ca="1" si="50"/>
        <v>22.45999999999998</v>
      </c>
      <c r="E457">
        <f t="shared" ca="1" si="51"/>
        <v>0</v>
      </c>
      <c r="F457">
        <f t="shared" ca="1" si="47"/>
        <v>3.4625872001717619</v>
      </c>
      <c r="G457">
        <f t="shared" ca="1" si="48"/>
        <v>1.3471762850976596</v>
      </c>
      <c r="H457">
        <f t="shared" ca="1" si="45"/>
        <v>2.5702554583795632</v>
      </c>
      <c r="I457">
        <f t="shared" ca="1" si="46"/>
        <v>71.990799771681566</v>
      </c>
      <c r="J457">
        <v>30</v>
      </c>
      <c r="K457">
        <v>70</v>
      </c>
    </row>
    <row r="458" spans="1:11" x14ac:dyDescent="0.25">
      <c r="A458" vm="906">
        <f ca="1"/>
        <v>45957</v>
      </c>
      <c r="B458" vm="907">
        <f ca="1"/>
        <v>313.08999999999997</v>
      </c>
      <c r="C458">
        <f t="shared" ca="1" si="49"/>
        <v>5.6299999999999955</v>
      </c>
      <c r="D458">
        <f t="shared" ca="1" si="50"/>
        <v>5.6299999999999955</v>
      </c>
      <c r="E458">
        <f t="shared" ca="1" si="51"/>
        <v>0</v>
      </c>
      <c r="F458">
        <f t="shared" ca="1" si="47"/>
        <v>3.6174024001594929</v>
      </c>
      <c r="G458">
        <f t="shared" ca="1" si="48"/>
        <v>1.250949407590684</v>
      </c>
      <c r="H458">
        <f t="shared" ca="1" si="45"/>
        <v>2.8917255791555743</v>
      </c>
      <c r="I458">
        <f t="shared" ca="1" si="46"/>
        <v>74.304457504504214</v>
      </c>
      <c r="J458">
        <v>30</v>
      </c>
      <c r="K458">
        <v>70</v>
      </c>
    </row>
    <row r="459" spans="1:11" x14ac:dyDescent="0.25">
      <c r="A459" vm="908">
        <f ca="1"/>
        <v>45958</v>
      </c>
      <c r="B459" vm="909">
        <f ca="1"/>
        <v>312.57</v>
      </c>
      <c r="C459">
        <f t="shared" ca="1" si="49"/>
        <v>-0.51999999999998181</v>
      </c>
      <c r="D459">
        <f t="shared" ca="1" si="50"/>
        <v>0</v>
      </c>
      <c r="E459">
        <f t="shared" ca="1" si="51"/>
        <v>0.51999999999998181</v>
      </c>
      <c r="F459">
        <f t="shared" ca="1" si="47"/>
        <v>3.3590165144338147</v>
      </c>
      <c r="G459">
        <f t="shared" ca="1" si="48"/>
        <v>1.1987387356199195</v>
      </c>
      <c r="H459">
        <f t="shared" ca="1" si="45"/>
        <v>2.8021256130483865</v>
      </c>
      <c r="I459">
        <f t="shared" ca="1" si="46"/>
        <v>73.698922608760384</v>
      </c>
      <c r="J459">
        <v>30</v>
      </c>
      <c r="K459">
        <v>70</v>
      </c>
    </row>
    <row r="460" spans="1:11" x14ac:dyDescent="0.25">
      <c r="A460" vm="910">
        <f ca="1"/>
        <v>45959</v>
      </c>
      <c r="B460" vm="911">
        <f ca="1"/>
        <v>308.20999999999998</v>
      </c>
      <c r="C460">
        <f t="shared" ca="1" si="49"/>
        <v>-4.3600000000000136</v>
      </c>
      <c r="D460">
        <f t="shared" ca="1" si="50"/>
        <v>0</v>
      </c>
      <c r="E460">
        <f t="shared" ca="1" si="51"/>
        <v>4.3600000000000136</v>
      </c>
      <c r="F460">
        <f t="shared" ca="1" si="47"/>
        <v>3.1190867634028279</v>
      </c>
      <c r="G460">
        <f t="shared" ca="1" si="48"/>
        <v>1.424543111647069</v>
      </c>
      <c r="H460">
        <f t="shared" ca="1" si="45"/>
        <v>2.1895348325376496</v>
      </c>
      <c r="I460">
        <f t="shared" ca="1" si="46"/>
        <v>68.647465774675908</v>
      </c>
      <c r="J460">
        <v>30</v>
      </c>
      <c r="K460">
        <v>70</v>
      </c>
    </row>
    <row r="461" spans="1:11" x14ac:dyDescent="0.25">
      <c r="A461" vm="912">
        <f ca="1"/>
        <v>45960</v>
      </c>
      <c r="B461" vm="913">
        <f ca="1"/>
        <v>310.06</v>
      </c>
      <c r="C461">
        <f t="shared" ca="1" si="49"/>
        <v>1.8500000000000227</v>
      </c>
      <c r="D461">
        <f t="shared" ca="1" si="50"/>
        <v>1.8500000000000227</v>
      </c>
      <c r="E461">
        <f t="shared" ca="1" si="51"/>
        <v>0</v>
      </c>
      <c r="F461">
        <f t="shared" ca="1" si="47"/>
        <v>3.0284377088740557</v>
      </c>
      <c r="G461">
        <f t="shared" ca="1" si="48"/>
        <v>1.3227900322437069</v>
      </c>
      <c r="H461">
        <f t="shared" ca="1" si="45"/>
        <v>2.2894319091120163</v>
      </c>
      <c r="I461">
        <f t="shared" ca="1" si="46"/>
        <v>69.59961392634662</v>
      </c>
      <c r="J461">
        <v>30</v>
      </c>
      <c r="K461">
        <v>70</v>
      </c>
    </row>
    <row r="462" spans="1:11" x14ac:dyDescent="0.25">
      <c r="A462" vm="914">
        <f ca="1"/>
        <v>45961</v>
      </c>
      <c r="B462" vm="915">
        <f ca="1"/>
        <v>307.41000000000003</v>
      </c>
      <c r="C462">
        <f t="shared" ca="1" si="49"/>
        <v>-2.6499999999999773</v>
      </c>
      <c r="D462">
        <f t="shared" ca="1" si="50"/>
        <v>0</v>
      </c>
      <c r="E462">
        <f t="shared" ca="1" si="51"/>
        <v>2.6499999999999773</v>
      </c>
      <c r="F462">
        <f t="shared" ca="1" si="47"/>
        <v>2.812120729668766</v>
      </c>
      <c r="G462">
        <f t="shared" ca="1" si="48"/>
        <v>1.4175907442262976</v>
      </c>
      <c r="H462">
        <f t="shared" ca="1" si="45"/>
        <v>1.9837324285039577</v>
      </c>
      <c r="I462">
        <f t="shared" ca="1" si="46"/>
        <v>66.484930403045567</v>
      </c>
      <c r="J462">
        <v>30</v>
      </c>
      <c r="K462">
        <v>70</v>
      </c>
    </row>
    <row r="463" spans="1:11" x14ac:dyDescent="0.25">
      <c r="A463" vm="916">
        <f ca="1"/>
        <v>45964</v>
      </c>
      <c r="B463" vm="917">
        <f ca="1"/>
        <v>304.73</v>
      </c>
      <c r="C463">
        <f t="shared" ca="1" si="49"/>
        <v>-2.6800000000000068</v>
      </c>
      <c r="D463">
        <f t="shared" ca="1" si="50"/>
        <v>0</v>
      </c>
      <c r="E463">
        <f t="shared" ca="1" si="51"/>
        <v>2.6800000000000068</v>
      </c>
      <c r="F463">
        <f t="shared" ca="1" si="47"/>
        <v>2.6112549632638542</v>
      </c>
      <c r="G463">
        <f t="shared" ca="1" si="48"/>
        <v>1.5077628339244196</v>
      </c>
      <c r="H463">
        <f t="shared" ca="1" si="45"/>
        <v>1.7318738096675688</v>
      </c>
      <c r="I463">
        <f t="shared" ca="1" si="46"/>
        <v>63.395088145682465</v>
      </c>
      <c r="J463">
        <v>30</v>
      </c>
      <c r="K463">
        <v>70</v>
      </c>
    </row>
    <row r="464" spans="1:11" x14ac:dyDescent="0.25">
      <c r="A464" vm="918">
        <f ca="1"/>
        <v>45965</v>
      </c>
      <c r="B464" vm="919">
        <f ca="1"/>
        <v>300.85000000000002</v>
      </c>
      <c r="C464">
        <f t="shared" ca="1" si="49"/>
        <v>-3.8799999999999955</v>
      </c>
      <c r="D464">
        <f t="shared" ca="1" si="50"/>
        <v>0</v>
      </c>
      <c r="E464">
        <f t="shared" ca="1" si="51"/>
        <v>3.8799999999999955</v>
      </c>
      <c r="F464">
        <f t="shared" ca="1" si="47"/>
        <v>2.4247367516021505</v>
      </c>
      <c r="G464">
        <f t="shared" ca="1" si="48"/>
        <v>1.6772083457869607</v>
      </c>
      <c r="H464">
        <f t="shared" ca="1" si="45"/>
        <v>1.4456980003068391</v>
      </c>
      <c r="I464">
        <f t="shared" ca="1" si="46"/>
        <v>59.111877268798551</v>
      </c>
      <c r="J464">
        <v>30</v>
      </c>
      <c r="K464">
        <v>70</v>
      </c>
    </row>
    <row r="465" spans="1:11" x14ac:dyDescent="0.25">
      <c r="A465" vm="920">
        <f ca="1"/>
        <v>45966</v>
      </c>
      <c r="B465" vm="921">
        <f ca="1"/>
        <v>306.77</v>
      </c>
      <c r="C465">
        <f t="shared" ca="1" si="49"/>
        <v>5.9199999999999591</v>
      </c>
      <c r="D465">
        <f t="shared" ca="1" si="50"/>
        <v>5.9199999999999591</v>
      </c>
      <c r="E465">
        <f t="shared" ca="1" si="51"/>
        <v>0</v>
      </c>
      <c r="F465">
        <f t="shared" ca="1" si="47"/>
        <v>2.6743984122019944</v>
      </c>
      <c r="G465">
        <f t="shared" ca="1" si="48"/>
        <v>1.5574077496593206</v>
      </c>
      <c r="H465">
        <f t="shared" ref="H465:H495" ca="1" si="52">IF(G465=0,NA(),F465/G465)</f>
        <v>1.7172114449713076</v>
      </c>
      <c r="I465">
        <f t="shared" ref="I465:I496" ca="1" si="53">IF(H465=0,100,100-(100/(1+H465)))</f>
        <v>63.197564111152218</v>
      </c>
      <c r="J465">
        <v>30</v>
      </c>
      <c r="K465">
        <v>70</v>
      </c>
    </row>
    <row r="466" spans="1:11" x14ac:dyDescent="0.25">
      <c r="A466" vm="922">
        <f ca="1"/>
        <v>45967</v>
      </c>
      <c r="B466" vm="923">
        <f ca="1"/>
        <v>312.42</v>
      </c>
      <c r="C466">
        <f t="shared" ca="1" si="49"/>
        <v>5.6500000000000341</v>
      </c>
      <c r="D466">
        <f t="shared" ca="1" si="50"/>
        <v>5.6500000000000341</v>
      </c>
      <c r="E466">
        <f t="shared" ca="1" si="51"/>
        <v>0</v>
      </c>
      <c r="F466">
        <f t="shared" ref="F466:F496" ca="1" si="54">(F465*($E$1-1)+D466)/$E$1</f>
        <v>2.8869413827589971</v>
      </c>
      <c r="G466">
        <f t="shared" ref="G466:G496" ca="1" si="55">(G465*($E$1-1)+E466)/$E$1</f>
        <v>1.4461643389693692</v>
      </c>
      <c r="H466">
        <f t="shared" ca="1" si="52"/>
        <v>1.9962747697239025</v>
      </c>
      <c r="I466">
        <f t="shared" ca="1" si="53"/>
        <v>66.625223757694727</v>
      </c>
      <c r="J466">
        <v>30</v>
      </c>
      <c r="K466">
        <v>70</v>
      </c>
    </row>
    <row r="467" spans="1:11" x14ac:dyDescent="0.25">
      <c r="A467" vm="924">
        <f ca="1"/>
        <v>45968</v>
      </c>
      <c r="B467" vm="925">
        <f ca="1"/>
        <v>306.38</v>
      </c>
      <c r="C467">
        <f t="shared" ca="1" si="49"/>
        <v>-6.0400000000000205</v>
      </c>
      <c r="D467">
        <f t="shared" ca="1" si="50"/>
        <v>0</v>
      </c>
      <c r="E467">
        <f t="shared" ca="1" si="51"/>
        <v>6.0400000000000205</v>
      </c>
      <c r="F467">
        <f t="shared" ca="1" si="54"/>
        <v>2.6807312839904971</v>
      </c>
      <c r="G467">
        <f t="shared" ca="1" si="55"/>
        <v>1.7742954576144159</v>
      </c>
      <c r="H467">
        <f t="shared" ca="1" si="52"/>
        <v>1.5108708487563884</v>
      </c>
      <c r="I467">
        <f t="shared" ca="1" si="53"/>
        <v>60.173180532352312</v>
      </c>
      <c r="J467">
        <v>30</v>
      </c>
      <c r="K467">
        <v>70</v>
      </c>
    </row>
    <row r="468" spans="1:11" x14ac:dyDescent="0.25">
      <c r="A468" vm="926">
        <f ca="1"/>
        <v>45971</v>
      </c>
      <c r="B468" vm="927">
        <f ca="1"/>
        <v>309.13</v>
      </c>
      <c r="C468">
        <f t="shared" ca="1" si="49"/>
        <v>2.75</v>
      </c>
      <c r="D468">
        <f t="shared" ca="1" si="50"/>
        <v>2.75</v>
      </c>
      <c r="E468">
        <f t="shared" ca="1" si="51"/>
        <v>0</v>
      </c>
      <c r="F468">
        <f t="shared" ca="1" si="54"/>
        <v>2.6856790494197473</v>
      </c>
      <c r="G468">
        <f t="shared" ca="1" si="55"/>
        <v>1.6475600677848148</v>
      </c>
      <c r="H468">
        <f t="shared" ca="1" si="52"/>
        <v>1.6300947697953794</v>
      </c>
      <c r="I468">
        <f t="shared" ca="1" si="53"/>
        <v>61.978556381913194</v>
      </c>
      <c r="J468">
        <v>30</v>
      </c>
      <c r="K468">
        <v>70</v>
      </c>
    </row>
    <row r="469" spans="1:11" x14ac:dyDescent="0.25">
      <c r="A469" vm="928">
        <f ca="1"/>
        <v>45972</v>
      </c>
      <c r="B469" vm="929">
        <f ca="1"/>
        <v>313.72000000000003</v>
      </c>
      <c r="C469">
        <f t="shared" ca="1" si="49"/>
        <v>4.5900000000000318</v>
      </c>
      <c r="D469">
        <f t="shared" ca="1" si="50"/>
        <v>4.5900000000000318</v>
      </c>
      <c r="E469">
        <f t="shared" ca="1" si="51"/>
        <v>0</v>
      </c>
      <c r="F469">
        <f t="shared" ca="1" si="54"/>
        <v>2.8217019744611962</v>
      </c>
      <c r="G469">
        <f t="shared" ca="1" si="55"/>
        <v>1.529877205800185</v>
      </c>
      <c r="H469">
        <f t="shared" ca="1" si="52"/>
        <v>1.8443976835286835</v>
      </c>
      <c r="I469">
        <f t="shared" ca="1" si="53"/>
        <v>64.843172043389274</v>
      </c>
      <c r="J469">
        <v>30</v>
      </c>
      <c r="K469">
        <v>70</v>
      </c>
    </row>
    <row r="470" spans="1:11" x14ac:dyDescent="0.25">
      <c r="A470" vm="930">
        <f ca="1"/>
        <v>45973</v>
      </c>
      <c r="B470" vm="931">
        <f ca="1"/>
        <v>314.98</v>
      </c>
      <c r="C470">
        <f t="shared" ca="1" si="49"/>
        <v>1.2599999999999909</v>
      </c>
      <c r="D470">
        <f t="shared" ca="1" si="50"/>
        <v>1.2599999999999909</v>
      </c>
      <c r="E470">
        <f t="shared" ca="1" si="51"/>
        <v>0</v>
      </c>
      <c r="F470">
        <f t="shared" ca="1" si="54"/>
        <v>2.7101518334282528</v>
      </c>
      <c r="G470">
        <f t="shared" ca="1" si="55"/>
        <v>1.4206002625287433</v>
      </c>
      <c r="H470">
        <f t="shared" ca="1" si="52"/>
        <v>1.9077511844211825</v>
      </c>
      <c r="I470">
        <f t="shared" ca="1" si="53"/>
        <v>65.609161975148155</v>
      </c>
      <c r="J470">
        <v>30</v>
      </c>
      <c r="K470">
        <v>70</v>
      </c>
    </row>
    <row r="471" spans="1:11" x14ac:dyDescent="0.25">
      <c r="A471" vm="932">
        <f ca="1"/>
        <v>45974</v>
      </c>
      <c r="B471" vm="933">
        <f ca="1"/>
        <v>304.86</v>
      </c>
      <c r="C471">
        <f t="shared" ca="1" si="49"/>
        <v>-10.120000000000005</v>
      </c>
      <c r="D471">
        <f t="shared" ca="1" si="50"/>
        <v>0</v>
      </c>
      <c r="E471">
        <f t="shared" ca="1" si="51"/>
        <v>10.120000000000005</v>
      </c>
      <c r="F471">
        <f t="shared" ca="1" si="54"/>
        <v>2.5165695596119488</v>
      </c>
      <c r="G471">
        <f t="shared" ca="1" si="55"/>
        <v>2.0419859580624049</v>
      </c>
      <c r="H471">
        <f t="shared" ca="1" si="52"/>
        <v>1.2324127644833884</v>
      </c>
      <c r="I471">
        <f t="shared" ca="1" si="53"/>
        <v>55.205416493333217</v>
      </c>
      <c r="J471">
        <v>30</v>
      </c>
      <c r="K471">
        <v>70</v>
      </c>
    </row>
    <row r="472" spans="1:11" x14ac:dyDescent="0.25">
      <c r="A472" vm="934">
        <f ca="1"/>
        <v>45975</v>
      </c>
      <c r="B472" vm="935">
        <f ca="1"/>
        <v>305.69</v>
      </c>
      <c r="C472">
        <f t="shared" ca="1" si="49"/>
        <v>0.82999999999998408</v>
      </c>
      <c r="D472">
        <f t="shared" ca="1" si="50"/>
        <v>0.82999999999998408</v>
      </c>
      <c r="E472">
        <f t="shared" ca="1" si="51"/>
        <v>0</v>
      </c>
      <c r="F472">
        <f t="shared" ca="1" si="54"/>
        <v>2.3961003053539511</v>
      </c>
      <c r="G472">
        <f t="shared" ca="1" si="55"/>
        <v>1.8961298182008046</v>
      </c>
      <c r="H472">
        <f t="shared" ca="1" si="52"/>
        <v>1.2636794603164658</v>
      </c>
      <c r="I472">
        <f t="shared" ca="1" si="53"/>
        <v>55.824134223482396</v>
      </c>
      <c r="J472">
        <v>30</v>
      </c>
      <c r="K472">
        <v>70</v>
      </c>
    </row>
    <row r="473" spans="1:11" x14ac:dyDescent="0.25">
      <c r="A473" vm="936">
        <f ca="1"/>
        <v>45978</v>
      </c>
      <c r="B473" vm="937">
        <f ca="1"/>
        <v>297.17</v>
      </c>
      <c r="C473">
        <f t="shared" ca="1" si="49"/>
        <v>-8.5199999999999818</v>
      </c>
      <c r="D473">
        <f t="shared" ca="1" si="50"/>
        <v>0</v>
      </c>
      <c r="E473">
        <f t="shared" ca="1" si="51"/>
        <v>8.5199999999999818</v>
      </c>
      <c r="F473">
        <f t="shared" ca="1" si="54"/>
        <v>2.2249502835429547</v>
      </c>
      <c r="G473">
        <f t="shared" ca="1" si="55"/>
        <v>2.3692634026150317</v>
      </c>
      <c r="H473">
        <f t="shared" ca="1" si="52"/>
        <v>0.93908945754499307</v>
      </c>
      <c r="I473">
        <f t="shared" ca="1" si="53"/>
        <v>48.429403496109884</v>
      </c>
      <c r="J473">
        <v>30</v>
      </c>
      <c r="K473">
        <v>70</v>
      </c>
    </row>
    <row r="474" spans="1:11" x14ac:dyDescent="0.25">
      <c r="A474" vm="938">
        <f ca="1"/>
        <v>45979</v>
      </c>
      <c r="B474" vm="939">
        <f ca="1"/>
        <v>289.95</v>
      </c>
      <c r="C474">
        <f t="shared" ca="1" si="49"/>
        <v>-7.2200000000000273</v>
      </c>
      <c r="D474">
        <f t="shared" ca="1" si="50"/>
        <v>0</v>
      </c>
      <c r="E474">
        <f t="shared" ca="1" si="51"/>
        <v>7.2200000000000273</v>
      </c>
      <c r="F474">
        <f t="shared" ca="1" si="54"/>
        <v>2.0660252632898866</v>
      </c>
      <c r="G474">
        <f t="shared" ca="1" si="55"/>
        <v>2.7157445881425315</v>
      </c>
      <c r="H474">
        <f t="shared" ca="1" si="52"/>
        <v>0.76075831000844274</v>
      </c>
      <c r="I474">
        <f t="shared" ca="1" si="53"/>
        <v>43.206288204585839</v>
      </c>
      <c r="J474">
        <v>30</v>
      </c>
      <c r="K474">
        <v>70</v>
      </c>
    </row>
    <row r="475" spans="1:11" x14ac:dyDescent="0.25">
      <c r="A475" vm="940">
        <f ca="1"/>
        <v>45980</v>
      </c>
      <c r="B475" vm="941">
        <f ca="1"/>
        <v>288.52999999999997</v>
      </c>
      <c r="C475">
        <f t="shared" ca="1" si="49"/>
        <v>-1.4200000000000159</v>
      </c>
      <c r="D475">
        <f t="shared" ca="1" si="50"/>
        <v>0</v>
      </c>
      <c r="E475">
        <f t="shared" ca="1" si="51"/>
        <v>1.4200000000000159</v>
      </c>
      <c r="F475">
        <f t="shared" ca="1" si="54"/>
        <v>1.9184520301977519</v>
      </c>
      <c r="G475">
        <f t="shared" ca="1" si="55"/>
        <v>2.6231914032752086</v>
      </c>
      <c r="H475">
        <f t="shared" ca="1" si="52"/>
        <v>0.73134275592793263</v>
      </c>
      <c r="I475">
        <f t="shared" ca="1" si="53"/>
        <v>42.241361707489354</v>
      </c>
      <c r="J475">
        <v>30</v>
      </c>
      <c r="K475">
        <v>70</v>
      </c>
    </row>
    <row r="476" spans="1:11" x14ac:dyDescent="0.25">
      <c r="A476" vm="942">
        <f ca="1"/>
        <v>45981</v>
      </c>
      <c r="B476" vm="943">
        <f ca="1"/>
        <v>290.39999999999998</v>
      </c>
      <c r="C476">
        <f t="shared" ca="1" si="49"/>
        <v>1.8700000000000045</v>
      </c>
      <c r="D476">
        <f t="shared" ca="1" si="50"/>
        <v>1.8700000000000045</v>
      </c>
      <c r="E476">
        <f t="shared" ca="1" si="51"/>
        <v>0</v>
      </c>
      <c r="F476">
        <f t="shared" ca="1" si="54"/>
        <v>1.9149911708979128</v>
      </c>
      <c r="G476">
        <f t="shared" ca="1" si="55"/>
        <v>2.4358205887555506</v>
      </c>
      <c r="H476">
        <f t="shared" ca="1" si="52"/>
        <v>0.78617907235781792</v>
      </c>
      <c r="I476">
        <f t="shared" ca="1" si="53"/>
        <v>44.014571916355202</v>
      </c>
      <c r="J476">
        <v>30</v>
      </c>
      <c r="K476">
        <v>70</v>
      </c>
    </row>
    <row r="477" spans="1:11" x14ac:dyDescent="0.25">
      <c r="A477" vm="944">
        <f ca="1"/>
        <v>45982</v>
      </c>
      <c r="B477" vm="945">
        <f ca="1"/>
        <v>297.44</v>
      </c>
      <c r="C477">
        <f t="shared" ca="1" si="49"/>
        <v>7.0400000000000205</v>
      </c>
      <c r="D477">
        <f t="shared" ca="1" si="50"/>
        <v>7.0400000000000205</v>
      </c>
      <c r="E477">
        <f t="shared" ca="1" si="51"/>
        <v>0</v>
      </c>
      <c r="F477">
        <f t="shared" ca="1" si="54"/>
        <v>2.281063230119492</v>
      </c>
      <c r="G477">
        <f t="shared" ca="1" si="55"/>
        <v>2.2618334038444399</v>
      </c>
      <c r="H477">
        <f t="shared" ca="1" si="52"/>
        <v>1.0085018756210635</v>
      </c>
      <c r="I477">
        <f t="shared" ca="1" si="53"/>
        <v>50.211647191477844</v>
      </c>
      <c r="J477">
        <v>30</v>
      </c>
      <c r="K477">
        <v>70</v>
      </c>
    </row>
    <row r="478" spans="1:11" x14ac:dyDescent="0.25">
      <c r="A478" vm="946">
        <f ca="1"/>
        <v>45985</v>
      </c>
      <c r="B478" vm="947">
        <f ca="1"/>
        <v>304.12</v>
      </c>
      <c r="C478">
        <f t="shared" ca="1" si="49"/>
        <v>6.6800000000000068</v>
      </c>
      <c r="D478">
        <f t="shared" ca="1" si="50"/>
        <v>6.6800000000000068</v>
      </c>
      <c r="E478">
        <f t="shared" ca="1" si="51"/>
        <v>0</v>
      </c>
      <c r="F478">
        <f t="shared" ca="1" si="54"/>
        <v>2.5952729993966721</v>
      </c>
      <c r="G478">
        <f t="shared" ca="1" si="55"/>
        <v>2.1002738749984085</v>
      </c>
      <c r="H478">
        <f t="shared" ca="1" si="52"/>
        <v>1.2356831317528238</v>
      </c>
      <c r="I478">
        <f t="shared" ca="1" si="53"/>
        <v>55.270942210134294</v>
      </c>
      <c r="J478">
        <v>30</v>
      </c>
      <c r="K478">
        <v>70</v>
      </c>
    </row>
    <row r="479" spans="1:11" x14ac:dyDescent="0.25">
      <c r="A479" vm="948">
        <f ca="1"/>
        <v>45986</v>
      </c>
      <c r="B479" vm="949">
        <f ca="1"/>
        <v>304.48</v>
      </c>
      <c r="C479">
        <f t="shared" ca="1" si="49"/>
        <v>0.36000000000001364</v>
      </c>
      <c r="D479">
        <f t="shared" ca="1" si="50"/>
        <v>0.36000000000001364</v>
      </c>
      <c r="E479">
        <f t="shared" ca="1" si="51"/>
        <v>0</v>
      </c>
      <c r="F479">
        <f t="shared" ca="1" si="54"/>
        <v>2.4356106422969108</v>
      </c>
      <c r="G479">
        <f t="shared" ca="1" si="55"/>
        <v>1.9502543124985221</v>
      </c>
      <c r="H479">
        <f t="shared" ca="1" si="52"/>
        <v>1.2488682253836865</v>
      </c>
      <c r="I479">
        <f t="shared" ca="1" si="53"/>
        <v>55.533188262758848</v>
      </c>
      <c r="J479">
        <v>30</v>
      </c>
      <c r="K479">
        <v>70</v>
      </c>
    </row>
    <row r="480" spans="1:11" x14ac:dyDescent="0.25">
      <c r="A480" vm="950">
        <f ca="1"/>
        <v>45987</v>
      </c>
      <c r="B480" vm="951">
        <f ca="1"/>
        <v>303.20999999999998</v>
      </c>
      <c r="C480">
        <f t="shared" ca="1" si="49"/>
        <v>-1.2700000000000387</v>
      </c>
      <c r="D480">
        <f t="shared" ca="1" si="50"/>
        <v>0</v>
      </c>
      <c r="E480">
        <f t="shared" ca="1" si="51"/>
        <v>1.2700000000000387</v>
      </c>
      <c r="F480">
        <f t="shared" ca="1" si="54"/>
        <v>2.2616384535614169</v>
      </c>
      <c r="G480">
        <f t="shared" ca="1" si="55"/>
        <v>1.9016647187486304</v>
      </c>
      <c r="H480">
        <f t="shared" ca="1" si="52"/>
        <v>1.1892940071211202</v>
      </c>
      <c r="I480">
        <f t="shared" ca="1" si="53"/>
        <v>54.323174651403676</v>
      </c>
      <c r="J480">
        <v>30</v>
      </c>
      <c r="K480">
        <v>70</v>
      </c>
    </row>
    <row r="481" spans="1:11" x14ac:dyDescent="0.25">
      <c r="A481" vm="952">
        <f ca="1"/>
        <v>45989</v>
      </c>
      <c r="B481" vm="953">
        <f ca="1"/>
        <v>308.58</v>
      </c>
      <c r="C481">
        <f t="shared" ca="1" si="49"/>
        <v>5.3700000000000045</v>
      </c>
      <c r="D481">
        <f t="shared" ca="1" si="50"/>
        <v>5.3700000000000045</v>
      </c>
      <c r="E481">
        <f t="shared" ca="1" si="51"/>
        <v>0</v>
      </c>
      <c r="F481">
        <f t="shared" ca="1" si="54"/>
        <v>2.4836642783070304</v>
      </c>
      <c r="G481">
        <f t="shared" ca="1" si="55"/>
        <v>1.7658315245522995</v>
      </c>
      <c r="H481">
        <f t="shared" ca="1" si="52"/>
        <v>1.406512594080416</v>
      </c>
      <c r="I481">
        <f t="shared" ca="1" si="53"/>
        <v>58.446093219714768</v>
      </c>
      <c r="J481">
        <v>30</v>
      </c>
      <c r="K481">
        <v>70</v>
      </c>
    </row>
    <row r="482" spans="1:11" x14ac:dyDescent="0.25">
      <c r="A482" vm="954">
        <f ca="1"/>
        <v>45992</v>
      </c>
      <c r="B482" vm="955">
        <f ca="1"/>
        <v>305.67</v>
      </c>
      <c r="C482">
        <f t="shared" ca="1" si="49"/>
        <v>-2.9099999999999682</v>
      </c>
      <c r="D482">
        <f t="shared" ca="1" si="50"/>
        <v>0</v>
      </c>
      <c r="E482">
        <f t="shared" ca="1" si="51"/>
        <v>2.9099999999999682</v>
      </c>
      <c r="F482">
        <f t="shared" ca="1" si="54"/>
        <v>2.3062596869993857</v>
      </c>
      <c r="G482">
        <f t="shared" ca="1" si="55"/>
        <v>1.847557844227133</v>
      </c>
      <c r="H482">
        <f t="shared" ca="1" si="52"/>
        <v>1.2482746855290672</v>
      </c>
      <c r="I482">
        <f t="shared" ca="1" si="53"/>
        <v>55.521449116673274</v>
      </c>
      <c r="J482">
        <v>30</v>
      </c>
      <c r="K482">
        <v>70</v>
      </c>
    </row>
    <row r="483" spans="1:11" x14ac:dyDescent="0.25">
      <c r="A483" vm="956">
        <f ca="1"/>
        <v>45993</v>
      </c>
      <c r="B483" vm="957">
        <f ca="1"/>
        <v>301.77999999999997</v>
      </c>
      <c r="C483">
        <f t="shared" ca="1" si="49"/>
        <v>-3.8900000000000432</v>
      </c>
      <c r="D483">
        <f t="shared" ca="1" si="50"/>
        <v>0</v>
      </c>
      <c r="E483">
        <f t="shared" ca="1" si="51"/>
        <v>3.8900000000000432</v>
      </c>
      <c r="F483">
        <f t="shared" ca="1" si="54"/>
        <v>2.141526852213715</v>
      </c>
      <c r="G483">
        <f t="shared" ca="1" si="55"/>
        <v>1.9934465696394839</v>
      </c>
      <c r="H483">
        <f t="shared" ca="1" si="52"/>
        <v>1.0742835473142436</v>
      </c>
      <c r="I483">
        <f t="shared" ca="1" si="53"/>
        <v>51.790583245246893</v>
      </c>
      <c r="J483">
        <v>30</v>
      </c>
      <c r="K483">
        <v>70</v>
      </c>
    </row>
    <row r="484" spans="1:11" x14ac:dyDescent="0.25">
      <c r="A484" vm="958">
        <f ca="1"/>
        <v>45994</v>
      </c>
      <c r="B484" vm="959">
        <f ca="1"/>
        <v>302.62</v>
      </c>
      <c r="C484">
        <f t="shared" ca="1" si="49"/>
        <v>0.84000000000003183</v>
      </c>
      <c r="D484">
        <f t="shared" ca="1" si="50"/>
        <v>0.84000000000003183</v>
      </c>
      <c r="E484">
        <f t="shared" ca="1" si="51"/>
        <v>0</v>
      </c>
      <c r="F484">
        <f t="shared" ca="1" si="54"/>
        <v>2.0485606484841661</v>
      </c>
      <c r="G484">
        <f t="shared" ca="1" si="55"/>
        <v>1.8510575289509494</v>
      </c>
      <c r="H484">
        <f t="shared" ca="1" si="52"/>
        <v>1.1066974507513809</v>
      </c>
      <c r="I484">
        <f t="shared" ca="1" si="53"/>
        <v>52.532339200233181</v>
      </c>
      <c r="J484">
        <v>30</v>
      </c>
      <c r="K484">
        <v>70</v>
      </c>
    </row>
    <row r="485" spans="1:11" x14ac:dyDescent="0.25">
      <c r="A485" vm="960">
        <f ca="1"/>
        <v>45995</v>
      </c>
      <c r="B485" vm="961">
        <f ca="1"/>
        <v>307.99</v>
      </c>
      <c r="C485">
        <f t="shared" ca="1" si="49"/>
        <v>5.3700000000000045</v>
      </c>
      <c r="D485">
        <f t="shared" ca="1" si="50"/>
        <v>5.3700000000000045</v>
      </c>
      <c r="E485">
        <f t="shared" ca="1" si="51"/>
        <v>0</v>
      </c>
      <c r="F485">
        <f t="shared" ca="1" si="54"/>
        <v>2.2858063164495834</v>
      </c>
      <c r="G485">
        <f t="shared" ca="1" si="55"/>
        <v>1.7188391340258815</v>
      </c>
      <c r="H485">
        <f t="shared" ca="1" si="52"/>
        <v>1.3298547090301267</v>
      </c>
      <c r="I485">
        <f t="shared" ca="1" si="53"/>
        <v>57.078868646865942</v>
      </c>
      <c r="J485">
        <v>30</v>
      </c>
      <c r="K485">
        <v>70</v>
      </c>
    </row>
    <row r="486" spans="1:11" x14ac:dyDescent="0.25">
      <c r="A486" vm="962">
        <f ca="1"/>
        <v>45996</v>
      </c>
      <c r="B486" vm="963">
        <f ca="1"/>
        <v>307.94</v>
      </c>
      <c r="C486">
        <f t="shared" ca="1" si="49"/>
        <v>-5.0000000000011369E-2</v>
      </c>
      <c r="D486">
        <f t="shared" ca="1" si="50"/>
        <v>0</v>
      </c>
      <c r="E486">
        <f t="shared" ca="1" si="51"/>
        <v>5.0000000000011369E-2</v>
      </c>
      <c r="F486">
        <f t="shared" ca="1" si="54"/>
        <v>2.1225344367031846</v>
      </c>
      <c r="G486">
        <f t="shared" ca="1" si="55"/>
        <v>1.5996363387383195</v>
      </c>
      <c r="H486">
        <f t="shared" ca="1" si="52"/>
        <v>1.3268856084985481</v>
      </c>
      <c r="I486">
        <f t="shared" ca="1" si="53"/>
        <v>57.024101384800673</v>
      </c>
      <c r="J486">
        <v>30</v>
      </c>
      <c r="K486">
        <v>70</v>
      </c>
    </row>
    <row r="487" spans="1:11" x14ac:dyDescent="0.25">
      <c r="A487" vm="964">
        <f ca="1"/>
        <v>45999</v>
      </c>
      <c r="B487" vm="965">
        <f ca="1"/>
        <v>309.18</v>
      </c>
      <c r="C487">
        <f t="shared" ca="1" si="49"/>
        <v>1.2400000000000091</v>
      </c>
      <c r="D487">
        <f t="shared" ca="1" si="50"/>
        <v>1.2400000000000091</v>
      </c>
      <c r="E487">
        <f t="shared" ca="1" si="51"/>
        <v>0</v>
      </c>
      <c r="F487">
        <f t="shared" ca="1" si="54"/>
        <v>2.0594962626529578</v>
      </c>
      <c r="G487">
        <f t="shared" ca="1" si="55"/>
        <v>1.485376600257011</v>
      </c>
      <c r="H487">
        <f t="shared" ca="1" si="52"/>
        <v>1.3865145460731025</v>
      </c>
      <c r="I487">
        <f t="shared" ca="1" si="53"/>
        <v>58.097887915853974</v>
      </c>
      <c r="J487">
        <v>30</v>
      </c>
      <c r="K487">
        <v>70</v>
      </c>
    </row>
    <row r="488" spans="1:11" x14ac:dyDescent="0.25">
      <c r="A488" vm="966">
        <f ca="1"/>
        <v>46000</v>
      </c>
      <c r="B488" vm="967">
        <f ca="1"/>
        <v>310.48</v>
      </c>
      <c r="C488">
        <f t="shared" ca="1" si="49"/>
        <v>1.3000000000000114</v>
      </c>
      <c r="D488">
        <f t="shared" ca="1" si="50"/>
        <v>1.3000000000000114</v>
      </c>
      <c r="E488">
        <f t="shared" ca="1" si="51"/>
        <v>0</v>
      </c>
      <c r="F488">
        <f t="shared" ca="1" si="54"/>
        <v>2.0052465296063189</v>
      </c>
      <c r="G488">
        <f t="shared" ca="1" si="55"/>
        <v>1.3792782716672245</v>
      </c>
      <c r="H488">
        <f t="shared" ca="1" si="52"/>
        <v>1.4538375401088899</v>
      </c>
      <c r="I488">
        <f t="shared" ca="1" si="53"/>
        <v>59.247505849322664</v>
      </c>
      <c r="J488">
        <v>30</v>
      </c>
      <c r="K488">
        <v>70</v>
      </c>
    </row>
    <row r="489" spans="1:11" x14ac:dyDescent="0.25">
      <c r="A489" vm="968">
        <f ca="1"/>
        <v>46001</v>
      </c>
      <c r="B489" vm="969">
        <f ca="1"/>
        <v>312.67</v>
      </c>
      <c r="C489">
        <f t="shared" ca="1" si="49"/>
        <v>2.1899999999999977</v>
      </c>
      <c r="D489">
        <f t="shared" ca="1" si="50"/>
        <v>2.1899999999999977</v>
      </c>
      <c r="E489">
        <f t="shared" ca="1" si="51"/>
        <v>0</v>
      </c>
      <c r="F489">
        <f t="shared" ca="1" si="54"/>
        <v>2.0184432060630102</v>
      </c>
      <c r="G489">
        <f t="shared" ca="1" si="55"/>
        <v>1.2807583951195656</v>
      </c>
      <c r="H489">
        <f t="shared" ca="1" si="52"/>
        <v>1.5759749955607965</v>
      </c>
      <c r="I489">
        <f t="shared" ca="1" si="53"/>
        <v>61.179747407357986</v>
      </c>
      <c r="J489">
        <v>30</v>
      </c>
      <c r="K489">
        <v>70</v>
      </c>
    </row>
    <row r="490" spans="1:11" x14ac:dyDescent="0.25">
      <c r="A490" vm="970">
        <f ca="1"/>
        <v>46002</v>
      </c>
      <c r="B490" vm="971">
        <f ca="1"/>
        <v>310.74</v>
      </c>
      <c r="C490">
        <f t="shared" ca="1" si="49"/>
        <v>-1.9300000000000068</v>
      </c>
      <c r="D490">
        <f t="shared" ca="1" si="50"/>
        <v>0</v>
      </c>
      <c r="E490">
        <f t="shared" ca="1" si="51"/>
        <v>1.9300000000000068</v>
      </c>
      <c r="F490">
        <f t="shared" ca="1" si="54"/>
        <v>1.8742686913442237</v>
      </c>
      <c r="G490">
        <f t="shared" ca="1" si="55"/>
        <v>1.3271327954681684</v>
      </c>
      <c r="H490">
        <f t="shared" ca="1" si="52"/>
        <v>1.4122691397156257</v>
      </c>
      <c r="I490">
        <f t="shared" ca="1" si="53"/>
        <v>58.545255853254979</v>
      </c>
      <c r="J490">
        <v>30</v>
      </c>
      <c r="K490">
        <v>70</v>
      </c>
    </row>
    <row r="491" spans="1:11" x14ac:dyDescent="0.25">
      <c r="A491" vm="972">
        <f ca="1"/>
        <v>46003</v>
      </c>
      <c r="B491" vm="973">
        <f ca="1"/>
        <v>309.24</v>
      </c>
      <c r="C491">
        <f t="shared" ca="1" si="49"/>
        <v>-1.5</v>
      </c>
      <c r="D491">
        <f t="shared" ca="1" si="50"/>
        <v>0</v>
      </c>
      <c r="E491">
        <f t="shared" ca="1" si="51"/>
        <v>1.5</v>
      </c>
      <c r="F491">
        <f t="shared" ca="1" si="54"/>
        <v>1.7403923562482078</v>
      </c>
      <c r="G491">
        <f t="shared" ca="1" si="55"/>
        <v>1.3394804529347277</v>
      </c>
      <c r="H491">
        <f t="shared" ca="1" si="52"/>
        <v>1.2993040342134925</v>
      </c>
      <c r="I491">
        <f t="shared" ca="1" si="53"/>
        <v>56.508578895175852</v>
      </c>
      <c r="J491">
        <v>30</v>
      </c>
      <c r="K491">
        <v>70</v>
      </c>
    </row>
    <row r="492" spans="1:11" x14ac:dyDescent="0.25">
      <c r="A492" vm="974">
        <f ca="1"/>
        <v>46006</v>
      </c>
      <c r="B492" vm="975">
        <f ca="1"/>
        <v>308.66000000000003</v>
      </c>
      <c r="C492">
        <f t="shared" ca="1" si="49"/>
        <v>-0.57999999999998408</v>
      </c>
      <c r="D492">
        <f t="shared" ca="1" si="50"/>
        <v>0</v>
      </c>
      <c r="E492">
        <f t="shared" ca="1" si="51"/>
        <v>0.57999999999998408</v>
      </c>
      <c r="F492">
        <f t="shared" ca="1" si="54"/>
        <v>1.6160786165161929</v>
      </c>
      <c r="G492">
        <f t="shared" ca="1" si="55"/>
        <v>1.2852318491536747</v>
      </c>
      <c r="H492">
        <f t="shared" ca="1" si="52"/>
        <v>1.2574218555044219</v>
      </c>
      <c r="I492">
        <f t="shared" ca="1" si="53"/>
        <v>55.701678108518642</v>
      </c>
      <c r="J492">
        <v>30</v>
      </c>
      <c r="K492">
        <v>70</v>
      </c>
    </row>
    <row r="493" spans="1:11" x14ac:dyDescent="0.25">
      <c r="A493" vm="976">
        <f ca="1"/>
        <v>46007</v>
      </c>
      <c r="B493" vm="977">
        <f ca="1"/>
        <v>303.18</v>
      </c>
      <c r="C493">
        <f t="shared" ca="1" si="49"/>
        <v>-5.4800000000000182</v>
      </c>
      <c r="D493">
        <f t="shared" ca="1" si="50"/>
        <v>0</v>
      </c>
      <c r="E493">
        <f t="shared" ca="1" si="51"/>
        <v>5.4800000000000182</v>
      </c>
      <c r="F493">
        <f t="shared" ca="1" si="54"/>
        <v>1.500644429622179</v>
      </c>
      <c r="G493">
        <f t="shared" ca="1" si="55"/>
        <v>1.5848581456426991</v>
      </c>
      <c r="H493">
        <f t="shared" ca="1" si="52"/>
        <v>0.94686356236231517</v>
      </c>
      <c r="I493">
        <f t="shared" ca="1" si="53"/>
        <v>48.635332268142889</v>
      </c>
      <c r="J493">
        <v>30</v>
      </c>
      <c r="K493">
        <v>70</v>
      </c>
    </row>
    <row r="494" spans="1:11" x14ac:dyDescent="0.25">
      <c r="A494" vm="978">
        <f ca="1"/>
        <v>46008</v>
      </c>
      <c r="B494" vm="979">
        <f ca="1"/>
        <v>303.32</v>
      </c>
      <c r="C494">
        <f t="shared" ca="1" si="49"/>
        <v>0.13999999999998636</v>
      </c>
      <c r="D494">
        <f t="shared" ca="1" si="50"/>
        <v>0.13999999999998636</v>
      </c>
      <c r="E494">
        <f t="shared" ca="1" si="51"/>
        <v>0</v>
      </c>
      <c r="F494">
        <f t="shared" ca="1" si="54"/>
        <v>1.4034555417920223</v>
      </c>
      <c r="G494">
        <f t="shared" ca="1" si="55"/>
        <v>1.4716539923825063</v>
      </c>
      <c r="H494">
        <f t="shared" ca="1" si="52"/>
        <v>0.95365863787039007</v>
      </c>
      <c r="I494">
        <f t="shared" ca="1" si="53"/>
        <v>48.813985175523683</v>
      </c>
      <c r="J494">
        <v>30</v>
      </c>
      <c r="K494">
        <v>70</v>
      </c>
    </row>
    <row r="495" spans="1:11" x14ac:dyDescent="0.25">
      <c r="A495" vm="980">
        <f ca="1"/>
        <v>46009</v>
      </c>
      <c r="B495" vm="981">
        <f ca="1"/>
        <v>300.45</v>
      </c>
      <c r="C495">
        <f t="shared" ca="1" si="49"/>
        <v>-2.8700000000000045</v>
      </c>
      <c r="D495">
        <f t="shared" ca="1" si="50"/>
        <v>0</v>
      </c>
      <c r="E495">
        <f t="shared" ca="1" si="51"/>
        <v>2.8700000000000045</v>
      </c>
      <c r="F495">
        <f t="shared" ca="1" si="54"/>
        <v>1.3032087173783062</v>
      </c>
      <c r="G495">
        <f t="shared" ca="1" si="55"/>
        <v>1.5715358500694703</v>
      </c>
      <c r="H495">
        <f t="shared" ca="1" si="52"/>
        <v>0.82925802635727175</v>
      </c>
      <c r="I495">
        <f t="shared" ca="1" si="53"/>
        <v>45.333026528172773</v>
      </c>
      <c r="J495">
        <v>30</v>
      </c>
      <c r="K495">
        <v>70</v>
      </c>
    </row>
    <row r="496" spans="1:11" x14ac:dyDescent="0.25">
      <c r="A496" vm="982">
        <f ca="1"/>
        <v>46010</v>
      </c>
      <c r="B496" vm="983">
        <f ca="1"/>
        <v>300.98</v>
      </c>
      <c r="C496">
        <f t="shared" ca="1" si="49"/>
        <v>0.53000000000002956</v>
      </c>
      <c r="D496">
        <f t="shared" ca="1" si="50"/>
        <v>0.53000000000002956</v>
      </c>
      <c r="E496">
        <f t="shared" ca="1" si="51"/>
        <v>0</v>
      </c>
      <c r="F496">
        <f t="shared" ca="1" si="54"/>
        <v>1.2479795232798578</v>
      </c>
      <c r="G496">
        <f t="shared" ca="1" si="55"/>
        <v>1.4592832893502226</v>
      </c>
      <c r="I496">
        <f t="shared" si="53"/>
        <v>100</v>
      </c>
      <c r="J496">
        <v>30</v>
      </c>
      <c r="K496">
        <v>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7154-AE14-4DC6-9732-9E2028BCF39D}">
  <dimension ref="A1"/>
  <sheetViews>
    <sheetView topLeftCell="A5" zoomScale="85" zoomScaleNormal="85" workbookViewId="0">
      <selection activeCell="A14" sqref="A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ConEd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2025-12-20T18:08:47Z</dcterms:created>
  <dcterms:modified xsi:type="dcterms:W3CDTF">2025-12-23T02:51:09Z</dcterms:modified>
</cp:coreProperties>
</file>