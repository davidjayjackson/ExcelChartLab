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ChartLab\"/>
    </mc:Choice>
  </mc:AlternateContent>
  <xr:revisionPtr revIDLastSave="0" documentId="13_ncr:1_{BD003346-25B9-4C15-980D-0BF893385FD3}" xr6:coauthVersionLast="47" xr6:coauthVersionMax="47" xr10:uidLastSave="{00000000-0000-0000-0000-000000000000}"/>
  <bookViews>
    <workbookView xWindow="-105" yWindow="0" windowWidth="12750" windowHeight="10905" activeTab="1" xr2:uid="{1D416FC1-26C5-443F-8C65-BA313852096B}"/>
  </bookViews>
  <sheets>
    <sheet name="Stock Price Hist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J22" i="1" l="1"/>
  <c r="J30" i="1"/>
  <c r="J38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0" i="1"/>
  <c r="J158" i="1"/>
  <c r="J166" i="1"/>
  <c r="J174" i="1"/>
  <c r="J182" i="1"/>
  <c r="J190" i="1"/>
  <c r="J198" i="1"/>
  <c r="J206" i="1"/>
  <c r="J214" i="1"/>
  <c r="J222" i="1"/>
  <c r="J230" i="1"/>
  <c r="J238" i="1"/>
  <c r="J50" i="1"/>
  <c r="J66" i="1"/>
  <c r="J98" i="1"/>
  <c r="J130" i="1"/>
  <c r="J154" i="1"/>
  <c r="J186" i="1"/>
  <c r="J202" i="1"/>
  <c r="J234" i="1"/>
  <c r="J35" i="1"/>
  <c r="J67" i="1"/>
  <c r="J91" i="1"/>
  <c r="J131" i="1"/>
  <c r="J155" i="1"/>
  <c r="J187" i="1"/>
  <c r="J211" i="1"/>
  <c r="J28" i="1"/>
  <c r="J84" i="1"/>
  <c r="J116" i="1"/>
  <c r="J148" i="1"/>
  <c r="J180" i="1"/>
  <c r="J212" i="1"/>
  <c r="J37" i="1"/>
  <c r="J61" i="1"/>
  <c r="J101" i="1"/>
  <c r="J125" i="1"/>
  <c r="J165" i="1"/>
  <c r="J205" i="1"/>
  <c r="J237" i="1"/>
  <c r="J23" i="1"/>
  <c r="J31" i="1"/>
  <c r="J39" i="1"/>
  <c r="J47" i="1"/>
  <c r="J55" i="1"/>
  <c r="J63" i="1"/>
  <c r="J71" i="1"/>
  <c r="J79" i="1"/>
  <c r="J87" i="1"/>
  <c r="J95" i="1"/>
  <c r="J103" i="1"/>
  <c r="J111" i="1"/>
  <c r="J119" i="1"/>
  <c r="J127" i="1"/>
  <c r="J135" i="1"/>
  <c r="J143" i="1"/>
  <c r="J151" i="1"/>
  <c r="J159" i="1"/>
  <c r="J167" i="1"/>
  <c r="J175" i="1"/>
  <c r="J183" i="1"/>
  <c r="J191" i="1"/>
  <c r="J199" i="1"/>
  <c r="J207" i="1"/>
  <c r="J215" i="1"/>
  <c r="J223" i="1"/>
  <c r="J231" i="1"/>
  <c r="J239" i="1"/>
  <c r="J42" i="1"/>
  <c r="J74" i="1"/>
  <c r="J106" i="1"/>
  <c r="J146" i="1"/>
  <c r="J170" i="1"/>
  <c r="J218" i="1"/>
  <c r="J51" i="1"/>
  <c r="J75" i="1"/>
  <c r="J107" i="1"/>
  <c r="J163" i="1"/>
  <c r="J195" i="1"/>
  <c r="J235" i="1"/>
  <c r="J52" i="1"/>
  <c r="J60" i="1"/>
  <c r="J92" i="1"/>
  <c r="J124" i="1"/>
  <c r="J164" i="1"/>
  <c r="J196" i="1"/>
  <c r="J228" i="1"/>
  <c r="J53" i="1"/>
  <c r="J93" i="1"/>
  <c r="J133" i="1"/>
  <c r="J157" i="1"/>
  <c r="J181" i="1"/>
  <c r="J213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128" i="1"/>
  <c r="J136" i="1"/>
  <c r="J144" i="1"/>
  <c r="J152" i="1"/>
  <c r="J160" i="1"/>
  <c r="J168" i="1"/>
  <c r="J176" i="1"/>
  <c r="J184" i="1"/>
  <c r="J192" i="1"/>
  <c r="J200" i="1"/>
  <c r="J208" i="1"/>
  <c r="J216" i="1"/>
  <c r="J224" i="1"/>
  <c r="J232" i="1"/>
  <c r="J34" i="1"/>
  <c r="J82" i="1"/>
  <c r="J114" i="1"/>
  <c r="J138" i="1"/>
  <c r="J178" i="1"/>
  <c r="J210" i="1"/>
  <c r="J43" i="1"/>
  <c r="J83" i="1"/>
  <c r="J115" i="1"/>
  <c r="J147" i="1"/>
  <c r="J179" i="1"/>
  <c r="J219" i="1"/>
  <c r="J44" i="1"/>
  <c r="J76" i="1"/>
  <c r="J108" i="1"/>
  <c r="J132" i="1"/>
  <c r="J172" i="1"/>
  <c r="J204" i="1"/>
  <c r="J236" i="1"/>
  <c r="J45" i="1"/>
  <c r="J77" i="1"/>
  <c r="J117" i="1"/>
  <c r="J149" i="1"/>
  <c r="J189" i="1"/>
  <c r="J221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129" i="1"/>
  <c r="J137" i="1"/>
  <c r="J145" i="1"/>
  <c r="J153" i="1"/>
  <c r="J161" i="1"/>
  <c r="J169" i="1"/>
  <c r="J177" i="1"/>
  <c r="J185" i="1"/>
  <c r="J193" i="1"/>
  <c r="J201" i="1"/>
  <c r="J209" i="1"/>
  <c r="J217" i="1"/>
  <c r="J225" i="1"/>
  <c r="J233" i="1"/>
  <c r="J26" i="1"/>
  <c r="J58" i="1"/>
  <c r="J90" i="1"/>
  <c r="J122" i="1"/>
  <c r="J162" i="1"/>
  <c r="J194" i="1"/>
  <c r="J226" i="1"/>
  <c r="J27" i="1"/>
  <c r="J59" i="1"/>
  <c r="J99" i="1"/>
  <c r="J123" i="1"/>
  <c r="J139" i="1"/>
  <c r="J171" i="1"/>
  <c r="J203" i="1"/>
  <c r="J227" i="1"/>
  <c r="J36" i="1"/>
  <c r="J68" i="1"/>
  <c r="J100" i="1"/>
  <c r="J140" i="1"/>
  <c r="J156" i="1"/>
  <c r="J188" i="1"/>
  <c r="J220" i="1"/>
  <c r="J29" i="1"/>
  <c r="J69" i="1"/>
  <c r="J85" i="1"/>
  <c r="J109" i="1"/>
  <c r="J141" i="1"/>
  <c r="J173" i="1"/>
  <c r="J197" i="1"/>
  <c r="J229" i="1"/>
  <c r="J21" i="1"/>
  <c r="I22" i="1"/>
  <c r="I30" i="1"/>
  <c r="I38" i="1"/>
  <c r="I46" i="1"/>
  <c r="I54" i="1"/>
  <c r="I62" i="1"/>
  <c r="I70" i="1"/>
  <c r="I78" i="1"/>
  <c r="I86" i="1"/>
  <c r="I94" i="1"/>
  <c r="I102" i="1"/>
  <c r="I110" i="1"/>
  <c r="I118" i="1"/>
  <c r="I126" i="1"/>
  <c r="I134" i="1"/>
  <c r="I142" i="1"/>
  <c r="I150" i="1"/>
  <c r="I158" i="1"/>
  <c r="I166" i="1"/>
  <c r="I174" i="1"/>
  <c r="I182" i="1"/>
  <c r="I190" i="1"/>
  <c r="I198" i="1"/>
  <c r="I206" i="1"/>
  <c r="I214" i="1"/>
  <c r="I222" i="1"/>
  <c r="I230" i="1"/>
  <c r="I238" i="1"/>
  <c r="I52" i="1"/>
  <c r="I92" i="1"/>
  <c r="I148" i="1"/>
  <c r="I188" i="1"/>
  <c r="I220" i="1"/>
  <c r="I53" i="1"/>
  <c r="I109" i="1"/>
  <c r="I157" i="1"/>
  <c r="I205" i="1"/>
  <c r="I23" i="1"/>
  <c r="I31" i="1"/>
  <c r="I39" i="1"/>
  <c r="I47" i="1"/>
  <c r="I55" i="1"/>
  <c r="I63" i="1"/>
  <c r="I71" i="1"/>
  <c r="I79" i="1"/>
  <c r="I87" i="1"/>
  <c r="I95" i="1"/>
  <c r="I103" i="1"/>
  <c r="I111" i="1"/>
  <c r="I119" i="1"/>
  <c r="I127" i="1"/>
  <c r="I135" i="1"/>
  <c r="I143" i="1"/>
  <c r="I151" i="1"/>
  <c r="I159" i="1"/>
  <c r="I167" i="1"/>
  <c r="I175" i="1"/>
  <c r="I183" i="1"/>
  <c r="I191" i="1"/>
  <c r="I199" i="1"/>
  <c r="I207" i="1"/>
  <c r="I215" i="1"/>
  <c r="I223" i="1"/>
  <c r="I231" i="1"/>
  <c r="I239" i="1"/>
  <c r="I68" i="1"/>
  <c r="I132" i="1"/>
  <c r="I196" i="1"/>
  <c r="I37" i="1"/>
  <c r="I85" i="1"/>
  <c r="L85" i="1" s="1"/>
  <c r="I133" i="1"/>
  <c r="I181" i="1"/>
  <c r="I237" i="1"/>
  <c r="I24" i="1"/>
  <c r="I32" i="1"/>
  <c r="I40" i="1"/>
  <c r="I48" i="1"/>
  <c r="I56" i="1"/>
  <c r="I64" i="1"/>
  <c r="I72" i="1"/>
  <c r="I80" i="1"/>
  <c r="I88" i="1"/>
  <c r="I96" i="1"/>
  <c r="I104" i="1"/>
  <c r="I112" i="1"/>
  <c r="I120" i="1"/>
  <c r="I128" i="1"/>
  <c r="I136" i="1"/>
  <c r="I144" i="1"/>
  <c r="I152" i="1"/>
  <c r="I160" i="1"/>
  <c r="I168" i="1"/>
  <c r="I176" i="1"/>
  <c r="I184" i="1"/>
  <c r="I192" i="1"/>
  <c r="I200" i="1"/>
  <c r="I208" i="1"/>
  <c r="I216" i="1"/>
  <c r="I224" i="1"/>
  <c r="I232" i="1"/>
  <c r="I60" i="1"/>
  <c r="I76" i="1"/>
  <c r="I116" i="1"/>
  <c r="I172" i="1"/>
  <c r="I212" i="1"/>
  <c r="I45" i="1"/>
  <c r="I93" i="1"/>
  <c r="I141" i="1"/>
  <c r="I189" i="1"/>
  <c r="I229" i="1"/>
  <c r="I25" i="1"/>
  <c r="I33" i="1"/>
  <c r="I41" i="1"/>
  <c r="I49" i="1"/>
  <c r="I57" i="1"/>
  <c r="I65" i="1"/>
  <c r="I73" i="1"/>
  <c r="I81" i="1"/>
  <c r="I89" i="1"/>
  <c r="I97" i="1"/>
  <c r="I105" i="1"/>
  <c r="I113" i="1"/>
  <c r="I121" i="1"/>
  <c r="I129" i="1"/>
  <c r="I137" i="1"/>
  <c r="I145" i="1"/>
  <c r="I153" i="1"/>
  <c r="I161" i="1"/>
  <c r="I169" i="1"/>
  <c r="I177" i="1"/>
  <c r="I185" i="1"/>
  <c r="I193" i="1"/>
  <c r="I201" i="1"/>
  <c r="I209" i="1"/>
  <c r="I217" i="1"/>
  <c r="I225" i="1"/>
  <c r="I233" i="1"/>
  <c r="I44" i="1"/>
  <c r="I108" i="1"/>
  <c r="I156" i="1"/>
  <c r="I204" i="1"/>
  <c r="I29" i="1"/>
  <c r="I117" i="1"/>
  <c r="I173" i="1"/>
  <c r="I221" i="1"/>
  <c r="I26" i="1"/>
  <c r="I34" i="1"/>
  <c r="I42" i="1"/>
  <c r="I50" i="1"/>
  <c r="I58" i="1"/>
  <c r="I66" i="1"/>
  <c r="I74" i="1"/>
  <c r="I82" i="1"/>
  <c r="L82" i="1" s="1"/>
  <c r="I90" i="1"/>
  <c r="I98" i="1"/>
  <c r="I106" i="1"/>
  <c r="I114" i="1"/>
  <c r="I122" i="1"/>
  <c r="I130" i="1"/>
  <c r="I138" i="1"/>
  <c r="I146" i="1"/>
  <c r="I154" i="1"/>
  <c r="I162" i="1"/>
  <c r="I170" i="1"/>
  <c r="I178" i="1"/>
  <c r="I186" i="1"/>
  <c r="I194" i="1"/>
  <c r="I202" i="1"/>
  <c r="I210" i="1"/>
  <c r="I218" i="1"/>
  <c r="I226" i="1"/>
  <c r="I234" i="1"/>
  <c r="I36" i="1"/>
  <c r="I100" i="1"/>
  <c r="I140" i="1"/>
  <c r="I180" i="1"/>
  <c r="I236" i="1"/>
  <c r="I61" i="1"/>
  <c r="I101" i="1"/>
  <c r="I149" i="1"/>
  <c r="I197" i="1"/>
  <c r="I27" i="1"/>
  <c r="I35" i="1"/>
  <c r="L35" i="1" s="1"/>
  <c r="I43" i="1"/>
  <c r="I51" i="1"/>
  <c r="I59" i="1"/>
  <c r="I67" i="1"/>
  <c r="I75" i="1"/>
  <c r="I83" i="1"/>
  <c r="I91" i="1"/>
  <c r="I99" i="1"/>
  <c r="I107" i="1"/>
  <c r="I115" i="1"/>
  <c r="I123" i="1"/>
  <c r="I131" i="1"/>
  <c r="I139" i="1"/>
  <c r="I147" i="1"/>
  <c r="I155" i="1"/>
  <c r="I163" i="1"/>
  <c r="I171" i="1"/>
  <c r="I179" i="1"/>
  <c r="I187" i="1"/>
  <c r="I195" i="1"/>
  <c r="I203" i="1"/>
  <c r="I211" i="1"/>
  <c r="I219" i="1"/>
  <c r="I227" i="1"/>
  <c r="I235" i="1"/>
  <c r="I28" i="1"/>
  <c r="I84" i="1"/>
  <c r="I124" i="1"/>
  <c r="I164" i="1"/>
  <c r="I228" i="1"/>
  <c r="I69" i="1"/>
  <c r="I77" i="1"/>
  <c r="L77" i="1" s="1"/>
  <c r="I125" i="1"/>
  <c r="I165" i="1"/>
  <c r="I213" i="1"/>
  <c r="I21" i="1"/>
  <c r="F3" i="1"/>
  <c r="F11" i="1"/>
  <c r="F19" i="1"/>
  <c r="F27" i="1"/>
  <c r="F35" i="1"/>
  <c r="F43" i="1"/>
  <c r="F51" i="1"/>
  <c r="F59" i="1"/>
  <c r="F67" i="1"/>
  <c r="F75" i="1"/>
  <c r="F83" i="1"/>
  <c r="F91" i="1"/>
  <c r="F99" i="1"/>
  <c r="F107" i="1"/>
  <c r="F147" i="1"/>
  <c r="F235" i="1"/>
  <c r="F4" i="1"/>
  <c r="F12" i="1"/>
  <c r="F20" i="1"/>
  <c r="F28" i="1"/>
  <c r="F36" i="1"/>
  <c r="F44" i="1"/>
  <c r="F52" i="1"/>
  <c r="F60" i="1"/>
  <c r="F68" i="1"/>
  <c r="F76" i="1"/>
  <c r="F84" i="1"/>
  <c r="F92" i="1"/>
  <c r="F100" i="1"/>
  <c r="F108" i="1"/>
  <c r="F116" i="1"/>
  <c r="F124" i="1"/>
  <c r="F132" i="1"/>
  <c r="F140" i="1"/>
  <c r="F148" i="1"/>
  <c r="F156" i="1"/>
  <c r="F164" i="1"/>
  <c r="F172" i="1"/>
  <c r="F180" i="1"/>
  <c r="F188" i="1"/>
  <c r="F196" i="1"/>
  <c r="F204" i="1"/>
  <c r="F212" i="1"/>
  <c r="F220" i="1"/>
  <c r="F228" i="1"/>
  <c r="F236" i="1"/>
  <c r="F13" i="1"/>
  <c r="F21" i="1"/>
  <c r="F29" i="1"/>
  <c r="F37" i="1"/>
  <c r="F45" i="1"/>
  <c r="F53" i="1"/>
  <c r="F69" i="1"/>
  <c r="F77" i="1"/>
  <c r="F85" i="1"/>
  <c r="F101" i="1"/>
  <c r="F109" i="1"/>
  <c r="F125" i="1"/>
  <c r="F141" i="1"/>
  <c r="F149" i="1"/>
  <c r="F165" i="1"/>
  <c r="F173" i="1"/>
  <c r="F189" i="1"/>
  <c r="F197" i="1"/>
  <c r="F213" i="1"/>
  <c r="F229" i="1"/>
  <c r="F237" i="1"/>
  <c r="F131" i="1"/>
  <c r="F179" i="1"/>
  <c r="F219" i="1"/>
  <c r="F5" i="1"/>
  <c r="F61" i="1"/>
  <c r="F93" i="1"/>
  <c r="F117" i="1"/>
  <c r="F133" i="1"/>
  <c r="F157" i="1"/>
  <c r="F181" i="1"/>
  <c r="F205" i="1"/>
  <c r="F221" i="1"/>
  <c r="F155" i="1"/>
  <c r="F227" i="1"/>
  <c r="F6" i="1"/>
  <c r="F14" i="1"/>
  <c r="F22" i="1"/>
  <c r="F30" i="1"/>
  <c r="F38" i="1"/>
  <c r="F46" i="1"/>
  <c r="F54" i="1"/>
  <c r="F62" i="1"/>
  <c r="F70" i="1"/>
  <c r="F78" i="1"/>
  <c r="F86" i="1"/>
  <c r="F94" i="1"/>
  <c r="F102" i="1"/>
  <c r="F110" i="1"/>
  <c r="F118" i="1"/>
  <c r="F126" i="1"/>
  <c r="F134" i="1"/>
  <c r="F142" i="1"/>
  <c r="F150" i="1"/>
  <c r="F158" i="1"/>
  <c r="F166" i="1"/>
  <c r="F174" i="1"/>
  <c r="F182" i="1"/>
  <c r="F190" i="1"/>
  <c r="F198" i="1"/>
  <c r="F206" i="1"/>
  <c r="F214" i="1"/>
  <c r="F222" i="1"/>
  <c r="F230" i="1"/>
  <c r="F238" i="1"/>
  <c r="F15" i="1"/>
  <c r="F47" i="1"/>
  <c r="F55" i="1"/>
  <c r="F71" i="1"/>
  <c r="F79" i="1"/>
  <c r="F95" i="1"/>
  <c r="F103" i="1"/>
  <c r="F119" i="1"/>
  <c r="F127" i="1"/>
  <c r="F135" i="1"/>
  <c r="F151" i="1"/>
  <c r="F159" i="1"/>
  <c r="F175" i="1"/>
  <c r="F183" i="1"/>
  <c r="F199" i="1"/>
  <c r="F207" i="1"/>
  <c r="F223" i="1"/>
  <c r="F231" i="1"/>
  <c r="F113" i="1"/>
  <c r="F145" i="1"/>
  <c r="F161" i="1"/>
  <c r="F185" i="1"/>
  <c r="F201" i="1"/>
  <c r="F225" i="1"/>
  <c r="F202" i="1"/>
  <c r="F226" i="1"/>
  <c r="F123" i="1"/>
  <c r="F187" i="1"/>
  <c r="F7" i="1"/>
  <c r="F23" i="1"/>
  <c r="F31" i="1"/>
  <c r="F39" i="1"/>
  <c r="F63" i="1"/>
  <c r="F87" i="1"/>
  <c r="F111" i="1"/>
  <c r="F143" i="1"/>
  <c r="F167" i="1"/>
  <c r="F191" i="1"/>
  <c r="F215" i="1"/>
  <c r="F239" i="1"/>
  <c r="F137" i="1"/>
  <c r="F177" i="1"/>
  <c r="F209" i="1"/>
  <c r="F194" i="1"/>
  <c r="F234" i="1"/>
  <c r="F163" i="1"/>
  <c r="F195" i="1"/>
  <c r="F8" i="1"/>
  <c r="F16" i="1"/>
  <c r="F24" i="1"/>
  <c r="F32" i="1"/>
  <c r="F40" i="1"/>
  <c r="F48" i="1"/>
  <c r="F56" i="1"/>
  <c r="F64" i="1"/>
  <c r="F72" i="1"/>
  <c r="F80" i="1"/>
  <c r="F88" i="1"/>
  <c r="F96" i="1"/>
  <c r="F104" i="1"/>
  <c r="F112" i="1"/>
  <c r="F120" i="1"/>
  <c r="F128" i="1"/>
  <c r="F136" i="1"/>
  <c r="F144" i="1"/>
  <c r="F152" i="1"/>
  <c r="F160" i="1"/>
  <c r="F168" i="1"/>
  <c r="F176" i="1"/>
  <c r="F184" i="1"/>
  <c r="F192" i="1"/>
  <c r="F200" i="1"/>
  <c r="F208" i="1"/>
  <c r="F216" i="1"/>
  <c r="F224" i="1"/>
  <c r="F232" i="1"/>
  <c r="F9" i="1"/>
  <c r="F17" i="1"/>
  <c r="F25" i="1"/>
  <c r="F33" i="1"/>
  <c r="F41" i="1"/>
  <c r="F49" i="1"/>
  <c r="F57" i="1"/>
  <c r="F65" i="1"/>
  <c r="F73" i="1"/>
  <c r="F81" i="1"/>
  <c r="F89" i="1"/>
  <c r="F97" i="1"/>
  <c r="F105" i="1"/>
  <c r="F121" i="1"/>
  <c r="F129" i="1"/>
  <c r="F153" i="1"/>
  <c r="F169" i="1"/>
  <c r="F193" i="1"/>
  <c r="F217" i="1"/>
  <c r="F233" i="1"/>
  <c r="F210" i="1"/>
  <c r="F115" i="1"/>
  <c r="F171" i="1"/>
  <c r="F211" i="1"/>
  <c r="F10" i="1"/>
  <c r="F18" i="1"/>
  <c r="F26" i="1"/>
  <c r="F34" i="1"/>
  <c r="F42" i="1"/>
  <c r="F50" i="1"/>
  <c r="F58" i="1"/>
  <c r="F66" i="1"/>
  <c r="F74" i="1"/>
  <c r="F82" i="1"/>
  <c r="F90" i="1"/>
  <c r="F98" i="1"/>
  <c r="F106" i="1"/>
  <c r="F114" i="1"/>
  <c r="F122" i="1"/>
  <c r="F130" i="1"/>
  <c r="F138" i="1"/>
  <c r="F146" i="1"/>
  <c r="F154" i="1"/>
  <c r="F162" i="1"/>
  <c r="F170" i="1"/>
  <c r="F178" i="1"/>
  <c r="F186" i="1"/>
  <c r="F218" i="1"/>
  <c r="F139" i="1"/>
  <c r="F203" i="1"/>
  <c r="A1" i="1"/>
  <c r="D13" i="1"/>
  <c r="D77" i="1"/>
  <c r="D141" i="1"/>
  <c r="D205" i="1"/>
  <c r="D230" i="1"/>
  <c r="D10" i="1"/>
  <c r="D226" i="1"/>
  <c r="D131" i="1"/>
  <c r="D14" i="1"/>
  <c r="D78" i="1"/>
  <c r="D142" i="1"/>
  <c r="D238" i="1"/>
  <c r="D225" i="1"/>
  <c r="D194" i="1"/>
  <c r="D227" i="1"/>
  <c r="D23" i="1"/>
  <c r="D87" i="1"/>
  <c r="D151" i="1"/>
  <c r="D215" i="1"/>
  <c r="D97" i="1"/>
  <c r="D34" i="1"/>
  <c r="D210" i="1"/>
  <c r="D203" i="1"/>
  <c r="D148" i="1"/>
  <c r="D40" i="1"/>
  <c r="D104" i="1"/>
  <c r="D168" i="1"/>
  <c r="D232" i="1"/>
  <c r="D219" i="1"/>
  <c r="D156" i="1"/>
  <c r="D49" i="1"/>
  <c r="D36" i="1"/>
  <c r="D165" i="1"/>
  <c r="D38" i="1"/>
  <c r="D66" i="1"/>
  <c r="D175" i="1"/>
  <c r="D44" i="1"/>
  <c r="D52" i="1"/>
  <c r="D125" i="1"/>
  <c r="D177" i="1"/>
  <c r="D57" i="1"/>
  <c r="D216" i="1"/>
  <c r="D21" i="1"/>
  <c r="D85" i="1"/>
  <c r="D149" i="1"/>
  <c r="D213" i="1"/>
  <c r="D25" i="1"/>
  <c r="D58" i="1"/>
  <c r="D19" i="1"/>
  <c r="D171" i="1"/>
  <c r="D22" i="1"/>
  <c r="D86" i="1"/>
  <c r="D150" i="1"/>
  <c r="D33" i="1"/>
  <c r="D18" i="1"/>
  <c r="D218" i="1"/>
  <c r="D28" i="1"/>
  <c r="D31" i="1"/>
  <c r="D95" i="1"/>
  <c r="D159" i="1"/>
  <c r="D223" i="1"/>
  <c r="D113" i="1"/>
  <c r="D50" i="1"/>
  <c r="D234" i="1"/>
  <c r="D235" i="1"/>
  <c r="D188" i="1"/>
  <c r="D48" i="1"/>
  <c r="D112" i="1"/>
  <c r="D176" i="1"/>
  <c r="D17" i="1"/>
  <c r="D4" i="1"/>
  <c r="D172" i="1"/>
  <c r="D145" i="1"/>
  <c r="D212" i="1"/>
  <c r="D184" i="1"/>
  <c r="D196" i="1"/>
  <c r="D37" i="1"/>
  <c r="D105" i="1"/>
  <c r="D102" i="1"/>
  <c r="D132" i="1"/>
  <c r="D239" i="1"/>
  <c r="D64" i="1"/>
  <c r="D220" i="1"/>
  <c r="D228" i="1"/>
  <c r="D155" i="1"/>
  <c r="D170" i="1"/>
  <c r="D163" i="1"/>
  <c r="D29" i="1"/>
  <c r="D93" i="1"/>
  <c r="D157" i="1"/>
  <c r="D221" i="1"/>
  <c r="D65" i="1"/>
  <c r="D82" i="1"/>
  <c r="D27" i="1"/>
  <c r="D211" i="1"/>
  <c r="D30" i="1"/>
  <c r="D94" i="1"/>
  <c r="D158" i="1"/>
  <c r="D89" i="1"/>
  <c r="D42" i="1"/>
  <c r="D3" i="1"/>
  <c r="D84" i="1"/>
  <c r="D39" i="1"/>
  <c r="D103" i="1"/>
  <c r="D167" i="1"/>
  <c r="D231" i="1"/>
  <c r="D74" i="1"/>
  <c r="D11" i="1"/>
  <c r="D12" i="1"/>
  <c r="D56" i="1"/>
  <c r="D229" i="1"/>
  <c r="D20" i="1"/>
  <c r="D121" i="1"/>
  <c r="D111" i="1"/>
  <c r="D43" i="1"/>
  <c r="D128" i="1"/>
  <c r="D178" i="1"/>
  <c r="D138" i="1"/>
  <c r="D233" i="1"/>
  <c r="D88" i="1"/>
  <c r="D101" i="1"/>
  <c r="D35" i="1"/>
  <c r="D166" i="1"/>
  <c r="D47" i="1"/>
  <c r="D169" i="1"/>
  <c r="D236" i="1"/>
  <c r="D81" i="1"/>
  <c r="D189" i="1"/>
  <c r="D126" i="1"/>
  <c r="D135" i="1"/>
  <c r="D24" i="1"/>
  <c r="D45" i="1"/>
  <c r="D109" i="1"/>
  <c r="D173" i="1"/>
  <c r="D237" i="1"/>
  <c r="D129" i="1"/>
  <c r="D130" i="1"/>
  <c r="D59" i="1"/>
  <c r="D108" i="1"/>
  <c r="D46" i="1"/>
  <c r="D110" i="1"/>
  <c r="D182" i="1"/>
  <c r="D137" i="1"/>
  <c r="D90" i="1"/>
  <c r="D83" i="1"/>
  <c r="D164" i="1"/>
  <c r="D55" i="1"/>
  <c r="D119" i="1"/>
  <c r="D183" i="1"/>
  <c r="D9" i="1"/>
  <c r="D193" i="1"/>
  <c r="D122" i="1"/>
  <c r="D75" i="1"/>
  <c r="D60" i="1"/>
  <c r="D8" i="1"/>
  <c r="D72" i="1"/>
  <c r="D136" i="1"/>
  <c r="D200" i="1"/>
  <c r="D115" i="1"/>
  <c r="D68" i="1"/>
  <c r="D2" i="1"/>
  <c r="D208" i="1"/>
  <c r="D92" i="1"/>
  <c r="D198" i="1"/>
  <c r="D62" i="1"/>
  <c r="D71" i="1"/>
  <c r="D139" i="1"/>
  <c r="D124" i="1"/>
  <c r="D53" i="1"/>
  <c r="D117" i="1"/>
  <c r="D181" i="1"/>
  <c r="D174" i="1"/>
  <c r="D153" i="1"/>
  <c r="D154" i="1"/>
  <c r="D67" i="1"/>
  <c r="D180" i="1"/>
  <c r="D54" i="1"/>
  <c r="D118" i="1"/>
  <c r="D190" i="1"/>
  <c r="D161" i="1"/>
  <c r="D114" i="1"/>
  <c r="D123" i="1"/>
  <c r="D204" i="1"/>
  <c r="D63" i="1"/>
  <c r="D127" i="1"/>
  <c r="D191" i="1"/>
  <c r="D41" i="1"/>
  <c r="D217" i="1"/>
  <c r="D146" i="1"/>
  <c r="D107" i="1"/>
  <c r="D76" i="1"/>
  <c r="D16" i="1"/>
  <c r="D80" i="1"/>
  <c r="D144" i="1"/>
  <c r="D147" i="1"/>
  <c r="D185" i="1"/>
  <c r="D206" i="1"/>
  <c r="D199" i="1"/>
  <c r="D152" i="1"/>
  <c r="D5" i="1"/>
  <c r="D69" i="1"/>
  <c r="D133" i="1"/>
  <c r="D197" i="1"/>
  <c r="D214" i="1"/>
  <c r="D201" i="1"/>
  <c r="D202" i="1"/>
  <c r="D99" i="1"/>
  <c r="D6" i="1"/>
  <c r="D70" i="1"/>
  <c r="D134" i="1"/>
  <c r="D222" i="1"/>
  <c r="D209" i="1"/>
  <c r="D162" i="1"/>
  <c r="D187" i="1"/>
  <c r="D15" i="1"/>
  <c r="D79" i="1"/>
  <c r="D143" i="1"/>
  <c r="D207" i="1"/>
  <c r="D73" i="1"/>
  <c r="D26" i="1"/>
  <c r="D186" i="1"/>
  <c r="D179" i="1"/>
  <c r="D116" i="1"/>
  <c r="D32" i="1"/>
  <c r="D96" i="1"/>
  <c r="D160" i="1"/>
  <c r="D224" i="1"/>
  <c r="D195" i="1"/>
  <c r="D140" i="1"/>
  <c r="D120" i="1"/>
  <c r="D106" i="1"/>
  <c r="D51" i="1"/>
  <c r="D98" i="1"/>
  <c r="D192" i="1"/>
  <c r="D61" i="1"/>
  <c r="D91" i="1"/>
  <c r="D7" i="1"/>
  <c r="D100" i="1"/>
  <c r="L131" i="1" l="1"/>
  <c r="L53" i="1"/>
  <c r="L146" i="1"/>
  <c r="L237" i="1"/>
  <c r="L130" i="1"/>
  <c r="L122" i="1"/>
  <c r="L164" i="1"/>
  <c r="L203" i="1"/>
  <c r="L139" i="1"/>
  <c r="L170" i="1"/>
  <c r="L42" i="1"/>
  <c r="L156" i="1"/>
  <c r="L232" i="1"/>
  <c r="L168" i="1"/>
  <c r="L104" i="1"/>
  <c r="L40" i="1"/>
  <c r="L162" i="1"/>
  <c r="L34" i="1"/>
  <c r="L93" i="1"/>
  <c r="L132" i="1"/>
  <c r="L115" i="1"/>
  <c r="L221" i="1"/>
  <c r="L208" i="1"/>
  <c r="L144" i="1"/>
  <c r="L80" i="1"/>
  <c r="L220" i="1"/>
  <c r="L214" i="1"/>
  <c r="L86" i="1"/>
  <c r="L125" i="1"/>
  <c r="L235" i="1"/>
  <c r="L107" i="1"/>
  <c r="L180" i="1"/>
  <c r="L206" i="1"/>
  <c r="L142" i="1"/>
  <c r="L78" i="1"/>
  <c r="L171" i="1"/>
  <c r="L173" i="1"/>
  <c r="L172" i="1"/>
  <c r="L188" i="1"/>
  <c r="K71" i="1"/>
  <c r="L71" i="1"/>
  <c r="L228" i="1"/>
  <c r="K211" i="1"/>
  <c r="L211" i="1"/>
  <c r="K147" i="1"/>
  <c r="L147" i="1"/>
  <c r="K83" i="1"/>
  <c r="L83" i="1"/>
  <c r="K197" i="1"/>
  <c r="L197" i="1"/>
  <c r="K36" i="1"/>
  <c r="L36" i="1"/>
  <c r="K178" i="1"/>
  <c r="L178" i="1"/>
  <c r="K114" i="1"/>
  <c r="L114" i="1"/>
  <c r="K50" i="1"/>
  <c r="L50" i="1"/>
  <c r="K204" i="1"/>
  <c r="L204" i="1"/>
  <c r="K201" i="1"/>
  <c r="L201" i="1"/>
  <c r="K137" i="1"/>
  <c r="L137" i="1"/>
  <c r="K73" i="1"/>
  <c r="L73" i="1"/>
  <c r="K189" i="1"/>
  <c r="L189" i="1"/>
  <c r="K60" i="1"/>
  <c r="L60" i="1"/>
  <c r="K176" i="1"/>
  <c r="L176" i="1"/>
  <c r="K112" i="1"/>
  <c r="L112" i="1"/>
  <c r="K48" i="1"/>
  <c r="L48" i="1"/>
  <c r="K37" i="1"/>
  <c r="L37" i="1"/>
  <c r="K207" i="1"/>
  <c r="L207" i="1"/>
  <c r="K143" i="1"/>
  <c r="L143" i="1"/>
  <c r="K79" i="1"/>
  <c r="L79" i="1"/>
  <c r="L205" i="1"/>
  <c r="K52" i="1"/>
  <c r="L52" i="1"/>
  <c r="K182" i="1"/>
  <c r="L182" i="1"/>
  <c r="K118" i="1"/>
  <c r="L118" i="1"/>
  <c r="K54" i="1"/>
  <c r="L54" i="1"/>
  <c r="K141" i="1"/>
  <c r="L141" i="1"/>
  <c r="K199" i="1"/>
  <c r="L199" i="1"/>
  <c r="K174" i="1"/>
  <c r="L174" i="1"/>
  <c r="K124" i="1"/>
  <c r="L124" i="1"/>
  <c r="L195" i="1"/>
  <c r="K67" i="1"/>
  <c r="L67" i="1"/>
  <c r="K101" i="1"/>
  <c r="L101" i="1"/>
  <c r="K226" i="1"/>
  <c r="L226" i="1"/>
  <c r="L98" i="1"/>
  <c r="L108" i="1"/>
  <c r="K185" i="1"/>
  <c r="L185" i="1"/>
  <c r="K121" i="1"/>
  <c r="L121" i="1"/>
  <c r="K57" i="1"/>
  <c r="L57" i="1"/>
  <c r="L224" i="1"/>
  <c r="L160" i="1"/>
  <c r="L96" i="1"/>
  <c r="L32" i="1"/>
  <c r="K191" i="1"/>
  <c r="L191" i="1"/>
  <c r="K127" i="1"/>
  <c r="L127" i="1"/>
  <c r="K63" i="1"/>
  <c r="L63" i="1"/>
  <c r="K109" i="1"/>
  <c r="L109" i="1"/>
  <c r="K230" i="1"/>
  <c r="L230" i="1"/>
  <c r="K166" i="1"/>
  <c r="L166" i="1"/>
  <c r="K102" i="1"/>
  <c r="L102" i="1"/>
  <c r="K38" i="1"/>
  <c r="L38" i="1"/>
  <c r="K75" i="1"/>
  <c r="L75" i="1"/>
  <c r="K106" i="1"/>
  <c r="L106" i="1"/>
  <c r="K65" i="1"/>
  <c r="L65" i="1"/>
  <c r="K135" i="1"/>
  <c r="L135" i="1"/>
  <c r="K213" i="1"/>
  <c r="L213" i="1"/>
  <c r="K84" i="1"/>
  <c r="L84" i="1"/>
  <c r="K187" i="1"/>
  <c r="L187" i="1"/>
  <c r="L123" i="1"/>
  <c r="K59" i="1"/>
  <c r="L59" i="1"/>
  <c r="K61" i="1"/>
  <c r="L61" i="1"/>
  <c r="K218" i="1"/>
  <c r="L218" i="1"/>
  <c r="K154" i="1"/>
  <c r="L154" i="1"/>
  <c r="L90" i="1"/>
  <c r="K26" i="1"/>
  <c r="L26" i="1"/>
  <c r="K44" i="1"/>
  <c r="L44" i="1"/>
  <c r="K177" i="1"/>
  <c r="L177" i="1"/>
  <c r="K113" i="1"/>
  <c r="L113" i="1"/>
  <c r="K49" i="1"/>
  <c r="L49" i="1"/>
  <c r="K45" i="1"/>
  <c r="L45" i="1"/>
  <c r="K216" i="1"/>
  <c r="L216" i="1"/>
  <c r="K152" i="1"/>
  <c r="L152" i="1"/>
  <c r="K88" i="1"/>
  <c r="L88" i="1"/>
  <c r="K24" i="1"/>
  <c r="L24" i="1"/>
  <c r="K68" i="1"/>
  <c r="L68" i="1"/>
  <c r="K183" i="1"/>
  <c r="L183" i="1"/>
  <c r="K119" i="1"/>
  <c r="L119" i="1"/>
  <c r="K55" i="1"/>
  <c r="L55" i="1"/>
  <c r="K222" i="1"/>
  <c r="L222" i="1"/>
  <c r="K158" i="1"/>
  <c r="L158" i="1"/>
  <c r="K94" i="1"/>
  <c r="L94" i="1"/>
  <c r="K30" i="1"/>
  <c r="L30" i="1"/>
  <c r="K234" i="1"/>
  <c r="L234" i="1"/>
  <c r="K238" i="1"/>
  <c r="L238" i="1"/>
  <c r="K165" i="1"/>
  <c r="L165" i="1"/>
  <c r="K28" i="1"/>
  <c r="L28" i="1"/>
  <c r="K179" i="1"/>
  <c r="L179" i="1"/>
  <c r="K51" i="1"/>
  <c r="L51" i="1"/>
  <c r="K236" i="1"/>
  <c r="L236" i="1"/>
  <c r="K210" i="1"/>
  <c r="L210" i="1"/>
  <c r="K233" i="1"/>
  <c r="L233" i="1"/>
  <c r="K169" i="1"/>
  <c r="L169" i="1"/>
  <c r="K105" i="1"/>
  <c r="L105" i="1"/>
  <c r="K41" i="1"/>
  <c r="L41" i="1"/>
  <c r="K212" i="1"/>
  <c r="L212" i="1"/>
  <c r="K239" i="1"/>
  <c r="L239" i="1"/>
  <c r="K175" i="1"/>
  <c r="L175" i="1"/>
  <c r="K111" i="1"/>
  <c r="L111" i="1"/>
  <c r="K47" i="1"/>
  <c r="L47" i="1"/>
  <c r="K150" i="1"/>
  <c r="L150" i="1"/>
  <c r="K22" i="1"/>
  <c r="L22" i="1"/>
  <c r="K193" i="1"/>
  <c r="L193" i="1"/>
  <c r="K157" i="1"/>
  <c r="L157" i="1"/>
  <c r="L43" i="1"/>
  <c r="K202" i="1"/>
  <c r="L202" i="1"/>
  <c r="K138" i="1"/>
  <c r="L138" i="1"/>
  <c r="K74" i="1"/>
  <c r="L74" i="1"/>
  <c r="K225" i="1"/>
  <c r="L225" i="1"/>
  <c r="K161" i="1"/>
  <c r="L161" i="1"/>
  <c r="K97" i="1"/>
  <c r="L97" i="1"/>
  <c r="K33" i="1"/>
  <c r="L33" i="1"/>
  <c r="K200" i="1"/>
  <c r="L200" i="1"/>
  <c r="K136" i="1"/>
  <c r="L136" i="1"/>
  <c r="K72" i="1"/>
  <c r="L72" i="1"/>
  <c r="K181" i="1"/>
  <c r="L181" i="1"/>
  <c r="K231" i="1"/>
  <c r="L231" i="1"/>
  <c r="K167" i="1"/>
  <c r="L167" i="1"/>
  <c r="K103" i="1"/>
  <c r="L103" i="1"/>
  <c r="K39" i="1"/>
  <c r="L39" i="1"/>
  <c r="K149" i="1"/>
  <c r="L149" i="1"/>
  <c r="K46" i="1"/>
  <c r="L46" i="1"/>
  <c r="K227" i="1"/>
  <c r="L227" i="1"/>
  <c r="K163" i="1"/>
  <c r="L163" i="1"/>
  <c r="K99" i="1"/>
  <c r="L99" i="1"/>
  <c r="L140" i="1"/>
  <c r="K194" i="1"/>
  <c r="L194" i="1"/>
  <c r="K66" i="1"/>
  <c r="L66" i="1"/>
  <c r="K117" i="1"/>
  <c r="L117" i="1"/>
  <c r="K217" i="1"/>
  <c r="L217" i="1"/>
  <c r="K153" i="1"/>
  <c r="L153" i="1"/>
  <c r="K89" i="1"/>
  <c r="L89" i="1"/>
  <c r="K25" i="1"/>
  <c r="L25" i="1"/>
  <c r="K116" i="1"/>
  <c r="L116" i="1"/>
  <c r="K192" i="1"/>
  <c r="L192" i="1"/>
  <c r="K128" i="1"/>
  <c r="L128" i="1"/>
  <c r="K64" i="1"/>
  <c r="L64" i="1"/>
  <c r="K133" i="1"/>
  <c r="L133" i="1"/>
  <c r="K223" i="1"/>
  <c r="L223" i="1"/>
  <c r="K159" i="1"/>
  <c r="L159" i="1"/>
  <c r="K95" i="1"/>
  <c r="L95" i="1"/>
  <c r="K31" i="1"/>
  <c r="L31" i="1"/>
  <c r="L148" i="1"/>
  <c r="L198" i="1"/>
  <c r="L134" i="1"/>
  <c r="L70" i="1"/>
  <c r="K129" i="1"/>
  <c r="L129" i="1"/>
  <c r="K196" i="1"/>
  <c r="L196" i="1"/>
  <c r="K110" i="1"/>
  <c r="L110" i="1"/>
  <c r="K69" i="1"/>
  <c r="L69" i="1"/>
  <c r="K219" i="1"/>
  <c r="L219" i="1"/>
  <c r="K155" i="1"/>
  <c r="L155" i="1"/>
  <c r="L91" i="1"/>
  <c r="K27" i="1"/>
  <c r="L27" i="1"/>
  <c r="K100" i="1"/>
  <c r="L100" i="1"/>
  <c r="K186" i="1"/>
  <c r="L186" i="1"/>
  <c r="K58" i="1"/>
  <c r="L58" i="1"/>
  <c r="K29" i="1"/>
  <c r="L29" i="1"/>
  <c r="K209" i="1"/>
  <c r="L209" i="1"/>
  <c r="K145" i="1"/>
  <c r="L145" i="1"/>
  <c r="K81" i="1"/>
  <c r="L81" i="1"/>
  <c r="K229" i="1"/>
  <c r="L229" i="1"/>
  <c r="K76" i="1"/>
  <c r="L76" i="1"/>
  <c r="K184" i="1"/>
  <c r="L184" i="1"/>
  <c r="K120" i="1"/>
  <c r="L120" i="1"/>
  <c r="K56" i="1"/>
  <c r="L56" i="1"/>
  <c r="K215" i="1"/>
  <c r="L215" i="1"/>
  <c r="K151" i="1"/>
  <c r="L151" i="1"/>
  <c r="K87" i="1"/>
  <c r="L87" i="1"/>
  <c r="K23" i="1"/>
  <c r="L23" i="1"/>
  <c r="K92" i="1"/>
  <c r="L92" i="1"/>
  <c r="K190" i="1"/>
  <c r="L190" i="1"/>
  <c r="K126" i="1"/>
  <c r="L126" i="1"/>
  <c r="K62" i="1"/>
  <c r="L62" i="1"/>
  <c r="K164" i="1"/>
  <c r="K203" i="1"/>
  <c r="K170" i="1"/>
  <c r="K42" i="1"/>
  <c r="K162" i="1"/>
  <c r="K34" i="1"/>
  <c r="K93" i="1"/>
  <c r="K115" i="1"/>
  <c r="K82" i="1"/>
  <c r="K221" i="1"/>
  <c r="K220" i="1"/>
  <c r="K214" i="1"/>
  <c r="K86" i="1"/>
  <c r="K171" i="1"/>
  <c r="K172" i="1"/>
  <c r="K188" i="1"/>
  <c r="K228" i="1"/>
  <c r="K139" i="1"/>
  <c r="K156" i="1"/>
  <c r="K232" i="1"/>
  <c r="K168" i="1"/>
  <c r="K104" i="1"/>
  <c r="K40" i="1"/>
  <c r="K21" i="1"/>
  <c r="L21" i="1"/>
  <c r="K208" i="1"/>
  <c r="K144" i="1"/>
  <c r="K80" i="1"/>
  <c r="K125" i="1"/>
  <c r="K107" i="1"/>
  <c r="K77" i="1"/>
  <c r="K35" i="1"/>
  <c r="K205" i="1"/>
  <c r="K195" i="1"/>
  <c r="K131" i="1"/>
  <c r="K98" i="1"/>
  <c r="K108" i="1"/>
  <c r="K224" i="1"/>
  <c r="K160" i="1"/>
  <c r="K96" i="1"/>
  <c r="K32" i="1"/>
  <c r="K132" i="1"/>
  <c r="K123" i="1"/>
  <c r="K90" i="1"/>
  <c r="K53" i="1"/>
  <c r="K146" i="1"/>
  <c r="K237" i="1"/>
  <c r="K235" i="1"/>
  <c r="K43" i="1"/>
  <c r="K180" i="1"/>
  <c r="K173" i="1"/>
  <c r="K206" i="1"/>
  <c r="K142" i="1"/>
  <c r="K78" i="1"/>
  <c r="K140" i="1"/>
  <c r="K130" i="1"/>
  <c r="K148" i="1"/>
  <c r="K198" i="1"/>
  <c r="K134" i="1"/>
  <c r="K70" i="1"/>
  <c r="K91" i="1"/>
  <c r="K122" i="1"/>
  <c r="K85" i="1"/>
  <c r="E2" i="1"/>
  <c r="E60" i="1"/>
  <c r="E124" i="1"/>
  <c r="E188" i="1"/>
  <c r="E7" i="1"/>
  <c r="E223" i="1"/>
  <c r="E200" i="1"/>
  <c r="E5" i="1"/>
  <c r="E69" i="1"/>
  <c r="E133" i="1"/>
  <c r="E197" i="1"/>
  <c r="E23" i="1"/>
  <c r="E215" i="1"/>
  <c r="E136" i="1"/>
  <c r="E91" i="1"/>
  <c r="E22" i="1"/>
  <c r="E86" i="1"/>
  <c r="E150" i="1"/>
  <c r="E230" i="1"/>
  <c r="E167" i="1"/>
  <c r="E120" i="1"/>
  <c r="E155" i="1"/>
  <c r="E49" i="1"/>
  <c r="E113" i="1"/>
  <c r="E177" i="1"/>
  <c r="E10" i="1"/>
  <c r="E74" i="1"/>
  <c r="E138" i="1"/>
  <c r="E202" i="1"/>
  <c r="E75" i="1"/>
  <c r="E107" i="1"/>
  <c r="E137" i="1"/>
  <c r="E226" i="1"/>
  <c r="E17" i="1"/>
  <c r="E106" i="1"/>
  <c r="E103" i="1"/>
  <c r="E114" i="1"/>
  <c r="E44" i="1"/>
  <c r="E206" i="1"/>
  <c r="E134" i="1"/>
  <c r="E161" i="1"/>
  <c r="E4" i="1"/>
  <c r="E68" i="1"/>
  <c r="E132" i="1"/>
  <c r="E196" i="1"/>
  <c r="E47" i="1"/>
  <c r="E8" i="1"/>
  <c r="E224" i="1"/>
  <c r="E13" i="1"/>
  <c r="E77" i="1"/>
  <c r="E141" i="1"/>
  <c r="E205" i="1"/>
  <c r="E31" i="1"/>
  <c r="E239" i="1"/>
  <c r="E160" i="1"/>
  <c r="E115" i="1"/>
  <c r="E30" i="1"/>
  <c r="E94" i="1"/>
  <c r="E158" i="1"/>
  <c r="E15" i="1"/>
  <c r="E191" i="1"/>
  <c r="E152" i="1"/>
  <c r="E187" i="1"/>
  <c r="E57" i="1"/>
  <c r="E121" i="1"/>
  <c r="E185" i="1"/>
  <c r="E18" i="1"/>
  <c r="E82" i="1"/>
  <c r="E146" i="1"/>
  <c r="E210" i="1"/>
  <c r="E73" i="1"/>
  <c r="E98" i="1"/>
  <c r="E179" i="1"/>
  <c r="E81" i="1"/>
  <c r="E42" i="1"/>
  <c r="E195" i="1"/>
  <c r="E27" i="1"/>
  <c r="E50" i="1"/>
  <c r="E175" i="1"/>
  <c r="E159" i="1"/>
  <c r="E198" i="1"/>
  <c r="E225" i="1"/>
  <c r="E12" i="1"/>
  <c r="E76" i="1"/>
  <c r="E140" i="1"/>
  <c r="E204" i="1"/>
  <c r="E71" i="1"/>
  <c r="E48" i="1"/>
  <c r="E19" i="1"/>
  <c r="E21" i="1"/>
  <c r="E85" i="1"/>
  <c r="E149" i="1"/>
  <c r="E213" i="1"/>
  <c r="E55" i="1"/>
  <c r="E16" i="1"/>
  <c r="E184" i="1"/>
  <c r="E139" i="1"/>
  <c r="E38" i="1"/>
  <c r="E102" i="1"/>
  <c r="E166" i="1"/>
  <c r="E39" i="1"/>
  <c r="E207" i="1"/>
  <c r="E168" i="1"/>
  <c r="E219" i="1"/>
  <c r="E65" i="1"/>
  <c r="E129" i="1"/>
  <c r="E193" i="1"/>
  <c r="E26" i="1"/>
  <c r="E90" i="1"/>
  <c r="E154" i="1"/>
  <c r="E218" i="1"/>
  <c r="E147" i="1"/>
  <c r="E201" i="1"/>
  <c r="E162" i="1"/>
  <c r="E24" i="1"/>
  <c r="E170" i="1"/>
  <c r="E40" i="1"/>
  <c r="E217" i="1"/>
  <c r="E172" i="1"/>
  <c r="E43" i="1"/>
  <c r="E83" i="1"/>
  <c r="E122" i="1"/>
  <c r="E20" i="1"/>
  <c r="E84" i="1"/>
  <c r="E148" i="1"/>
  <c r="E212" i="1"/>
  <c r="E95" i="1"/>
  <c r="E80" i="1"/>
  <c r="E67" i="1"/>
  <c r="E29" i="1"/>
  <c r="E93" i="1"/>
  <c r="E157" i="1"/>
  <c r="E221" i="1"/>
  <c r="E79" i="1"/>
  <c r="E32" i="1"/>
  <c r="E208" i="1"/>
  <c r="E163" i="1"/>
  <c r="E46" i="1"/>
  <c r="E110" i="1"/>
  <c r="E174" i="1"/>
  <c r="E63" i="1"/>
  <c r="E231" i="1"/>
  <c r="E192" i="1"/>
  <c r="E9" i="1"/>
  <c r="E34" i="1"/>
  <c r="E216" i="1"/>
  <c r="E209" i="1"/>
  <c r="E234" i="1"/>
  <c r="E153" i="1"/>
  <c r="E3" i="1"/>
  <c r="E108" i="1"/>
  <c r="E96" i="1"/>
  <c r="E64" i="1"/>
  <c r="E186" i="1"/>
  <c r="E28" i="1"/>
  <c r="E92" i="1"/>
  <c r="E156" i="1"/>
  <c r="E220" i="1"/>
  <c r="E119" i="1"/>
  <c r="E104" i="1"/>
  <c r="E99" i="1"/>
  <c r="E37" i="1"/>
  <c r="E101" i="1"/>
  <c r="E165" i="1"/>
  <c r="E229" i="1"/>
  <c r="E111" i="1"/>
  <c r="E56" i="1"/>
  <c r="E232" i="1"/>
  <c r="E203" i="1"/>
  <c r="E54" i="1"/>
  <c r="E118" i="1"/>
  <c r="E182" i="1"/>
  <c r="E87" i="1"/>
  <c r="E145" i="1"/>
  <c r="E25" i="1"/>
  <c r="E178" i="1"/>
  <c r="E236" i="1"/>
  <c r="E171" i="1"/>
  <c r="E117" i="1"/>
  <c r="E70" i="1"/>
  <c r="E97" i="1"/>
  <c r="E36" i="1"/>
  <c r="E100" i="1"/>
  <c r="E164" i="1"/>
  <c r="E228" i="1"/>
  <c r="E143" i="1"/>
  <c r="E128" i="1"/>
  <c r="E131" i="1"/>
  <c r="E45" i="1"/>
  <c r="E109" i="1"/>
  <c r="E173" i="1"/>
  <c r="E237" i="1"/>
  <c r="E135" i="1"/>
  <c r="E72" i="1"/>
  <c r="E11" i="1"/>
  <c r="E235" i="1"/>
  <c r="E62" i="1"/>
  <c r="E126" i="1"/>
  <c r="E190" i="1"/>
  <c r="E89" i="1"/>
  <c r="E227" i="1"/>
  <c r="E144" i="1"/>
  <c r="E53" i="1"/>
  <c r="E181" i="1"/>
  <c r="E6" i="1"/>
  <c r="E127" i="1"/>
  <c r="E58" i="1"/>
  <c r="E52" i="1"/>
  <c r="E116" i="1"/>
  <c r="E180" i="1"/>
  <c r="E214" i="1"/>
  <c r="E199" i="1"/>
  <c r="E176" i="1"/>
  <c r="E211" i="1"/>
  <c r="E61" i="1"/>
  <c r="E125" i="1"/>
  <c r="E189" i="1"/>
  <c r="E238" i="1"/>
  <c r="E183" i="1"/>
  <c r="E112" i="1"/>
  <c r="E59" i="1"/>
  <c r="E14" i="1"/>
  <c r="E78" i="1"/>
  <c r="E142" i="1"/>
  <c r="E222" i="1"/>
  <c r="E151" i="1"/>
  <c r="E88" i="1"/>
  <c r="E123" i="1"/>
  <c r="E41" i="1"/>
  <c r="E105" i="1"/>
  <c r="E169" i="1"/>
  <c r="E233" i="1"/>
  <c r="E66" i="1"/>
  <c r="E130" i="1"/>
  <c r="E194" i="1"/>
  <c r="E51" i="1"/>
  <c r="E33" i="1"/>
  <c r="E35" i="1"/>
  <c r="G89" i="1" l="1"/>
  <c r="H89" i="1"/>
  <c r="G104" i="1"/>
  <c r="H104" i="1"/>
  <c r="G184" i="1"/>
  <c r="H184" i="1"/>
  <c r="G115" i="1"/>
  <c r="H115" i="1"/>
  <c r="G5" i="1"/>
  <c r="H5" i="1"/>
  <c r="G58" i="1"/>
  <c r="H58" i="1"/>
  <c r="G56" i="1"/>
  <c r="H56" i="1"/>
  <c r="H95" i="1"/>
  <c r="G95" i="1"/>
  <c r="H172" i="1"/>
  <c r="G172" i="1"/>
  <c r="G218" i="1"/>
  <c r="H218" i="1"/>
  <c r="G168" i="1"/>
  <c r="H168" i="1"/>
  <c r="H16" i="1"/>
  <c r="G16" i="1"/>
  <c r="H71" i="1"/>
  <c r="G71" i="1"/>
  <c r="G175" i="1"/>
  <c r="H175" i="1"/>
  <c r="G73" i="1"/>
  <c r="H73" i="1"/>
  <c r="G187" i="1"/>
  <c r="H187" i="1"/>
  <c r="G160" i="1"/>
  <c r="H160" i="1"/>
  <c r="G8" i="1"/>
  <c r="H8" i="1"/>
  <c r="H206" i="1"/>
  <c r="G206" i="1"/>
  <c r="G107" i="1"/>
  <c r="H107" i="1"/>
  <c r="G49" i="1"/>
  <c r="H49" i="1"/>
  <c r="G91" i="1"/>
  <c r="H91" i="1"/>
  <c r="G200" i="1"/>
  <c r="H200" i="1"/>
  <c r="G237" i="1"/>
  <c r="H237" i="1"/>
  <c r="G96" i="1"/>
  <c r="H96" i="1"/>
  <c r="G147" i="1"/>
  <c r="H147" i="1"/>
  <c r="G134" i="1"/>
  <c r="H134" i="1"/>
  <c r="G78" i="1"/>
  <c r="H78" i="1"/>
  <c r="G119" i="1"/>
  <c r="H119" i="1"/>
  <c r="H127" i="1"/>
  <c r="G127" i="1"/>
  <c r="G111" i="1"/>
  <c r="H111" i="1"/>
  <c r="G3" i="1"/>
  <c r="H3" i="1"/>
  <c r="G79" i="1"/>
  <c r="H79" i="1"/>
  <c r="G210" i="1"/>
  <c r="H210" i="1"/>
  <c r="G152" i="1"/>
  <c r="H152" i="1"/>
  <c r="G239" i="1"/>
  <c r="H239" i="1"/>
  <c r="G47" i="1"/>
  <c r="H47" i="1"/>
  <c r="G44" i="1"/>
  <c r="H44" i="1"/>
  <c r="H75" i="1"/>
  <c r="G75" i="1"/>
  <c r="G155" i="1"/>
  <c r="H155" i="1"/>
  <c r="G136" i="1"/>
  <c r="H136" i="1"/>
  <c r="G223" i="1"/>
  <c r="H223" i="1"/>
  <c r="G142" i="1"/>
  <c r="H142" i="1"/>
  <c r="G164" i="1"/>
  <c r="H164" i="1"/>
  <c r="G9" i="1"/>
  <c r="H9" i="1"/>
  <c r="G224" i="1"/>
  <c r="H224" i="1"/>
  <c r="G190" i="1"/>
  <c r="H190" i="1"/>
  <c r="G25" i="1"/>
  <c r="H25" i="1"/>
  <c r="G105" i="1"/>
  <c r="H105" i="1"/>
  <c r="G145" i="1"/>
  <c r="H145" i="1"/>
  <c r="H212" i="1"/>
  <c r="G212" i="1"/>
  <c r="G55" i="1"/>
  <c r="H55" i="1"/>
  <c r="G59" i="1"/>
  <c r="H59" i="1"/>
  <c r="H45" i="1"/>
  <c r="G45" i="1"/>
  <c r="H87" i="1"/>
  <c r="G87" i="1"/>
  <c r="G221" i="1"/>
  <c r="H221" i="1"/>
  <c r="G148" i="1"/>
  <c r="H148" i="1"/>
  <c r="H40" i="1"/>
  <c r="G40" i="1"/>
  <c r="G90" i="1"/>
  <c r="H90" i="1"/>
  <c r="G39" i="1"/>
  <c r="H39" i="1"/>
  <c r="H213" i="1"/>
  <c r="G213" i="1"/>
  <c r="G140" i="1"/>
  <c r="H140" i="1"/>
  <c r="G27" i="1"/>
  <c r="H27" i="1"/>
  <c r="H146" i="1"/>
  <c r="G146" i="1"/>
  <c r="G191" i="1"/>
  <c r="H191" i="1"/>
  <c r="G31" i="1"/>
  <c r="H31" i="1"/>
  <c r="G196" i="1"/>
  <c r="H196" i="1"/>
  <c r="G114" i="1"/>
  <c r="H114" i="1"/>
  <c r="G202" i="1"/>
  <c r="H202" i="1"/>
  <c r="G120" i="1"/>
  <c r="H120" i="1"/>
  <c r="G215" i="1"/>
  <c r="H215" i="1"/>
  <c r="H7" i="1"/>
  <c r="G7" i="1"/>
  <c r="G232" i="1"/>
  <c r="H232" i="1"/>
  <c r="G80" i="1"/>
  <c r="H80" i="1"/>
  <c r="G159" i="1"/>
  <c r="H159" i="1"/>
  <c r="G113" i="1"/>
  <c r="H113" i="1"/>
  <c r="G173" i="1"/>
  <c r="H173" i="1"/>
  <c r="G211" i="1"/>
  <c r="H211" i="1"/>
  <c r="H231" i="1"/>
  <c r="G231" i="1"/>
  <c r="G204" i="1"/>
  <c r="H204" i="1"/>
  <c r="G33" i="1"/>
  <c r="H33" i="1"/>
  <c r="H62" i="1"/>
  <c r="G62" i="1"/>
  <c r="H153" i="1"/>
  <c r="G153" i="1"/>
  <c r="G123" i="1"/>
  <c r="H123" i="1"/>
  <c r="G181" i="1"/>
  <c r="H181" i="1"/>
  <c r="G165" i="1"/>
  <c r="H165" i="1"/>
  <c r="H157" i="1"/>
  <c r="G157" i="1"/>
  <c r="G170" i="1"/>
  <c r="H170" i="1"/>
  <c r="G26" i="1"/>
  <c r="H26" i="1"/>
  <c r="G166" i="1"/>
  <c r="H166" i="1"/>
  <c r="G149" i="1"/>
  <c r="H149" i="1"/>
  <c r="G76" i="1"/>
  <c r="H76" i="1"/>
  <c r="G195" i="1"/>
  <c r="H195" i="1"/>
  <c r="G82" i="1"/>
  <c r="H82" i="1"/>
  <c r="G15" i="1"/>
  <c r="H15" i="1"/>
  <c r="H205" i="1"/>
  <c r="G205" i="1"/>
  <c r="G132" i="1"/>
  <c r="H132" i="1"/>
  <c r="G103" i="1"/>
  <c r="H103" i="1"/>
  <c r="G138" i="1"/>
  <c r="H138" i="1"/>
  <c r="G167" i="1"/>
  <c r="H167" i="1"/>
  <c r="G23" i="1"/>
  <c r="H23" i="1"/>
  <c r="H188" i="1"/>
  <c r="G188" i="1"/>
  <c r="G137" i="1"/>
  <c r="H137" i="1"/>
  <c r="G61" i="1"/>
  <c r="H61" i="1"/>
  <c r="G108" i="1"/>
  <c r="H108" i="1"/>
  <c r="G109" i="1"/>
  <c r="H109" i="1"/>
  <c r="G154" i="1"/>
  <c r="H154" i="1"/>
  <c r="H229" i="1"/>
  <c r="G229" i="1"/>
  <c r="G112" i="1"/>
  <c r="H112" i="1"/>
  <c r="G182" i="1"/>
  <c r="H182" i="1"/>
  <c r="G92" i="1"/>
  <c r="H92" i="1"/>
  <c r="H214" i="1"/>
  <c r="G214" i="1"/>
  <c r="G11" i="1"/>
  <c r="H11" i="1"/>
  <c r="G101" i="1"/>
  <c r="H101" i="1"/>
  <c r="G110" i="1"/>
  <c r="H110" i="1"/>
  <c r="H20" i="1"/>
  <c r="G20" i="1"/>
  <c r="G85" i="1"/>
  <c r="H85" i="1"/>
  <c r="G141" i="1"/>
  <c r="H141" i="1"/>
  <c r="G106" i="1"/>
  <c r="H106" i="1"/>
  <c r="G74" i="1"/>
  <c r="H74" i="1"/>
  <c r="G230" i="1"/>
  <c r="H230" i="1"/>
  <c r="H197" i="1"/>
  <c r="G197" i="1"/>
  <c r="G124" i="1"/>
  <c r="H124" i="1"/>
  <c r="G125" i="1"/>
  <c r="H125" i="1"/>
  <c r="H178" i="1"/>
  <c r="G178" i="1"/>
  <c r="G219" i="1"/>
  <c r="H219" i="1"/>
  <c r="G48" i="1"/>
  <c r="H48" i="1"/>
  <c r="G57" i="1"/>
  <c r="H57" i="1"/>
  <c r="G22" i="1"/>
  <c r="H22" i="1"/>
  <c r="G192" i="1"/>
  <c r="H192" i="1"/>
  <c r="G35" i="1"/>
  <c r="H35" i="1"/>
  <c r="G14" i="1"/>
  <c r="H14" i="1"/>
  <c r="G220" i="1"/>
  <c r="H220" i="1"/>
  <c r="G207" i="1"/>
  <c r="H207" i="1"/>
  <c r="G50" i="1"/>
  <c r="H50" i="1"/>
  <c r="G41" i="1"/>
  <c r="H41" i="1"/>
  <c r="H6" i="1"/>
  <c r="G6" i="1"/>
  <c r="H97" i="1"/>
  <c r="G97" i="1"/>
  <c r="H63" i="1"/>
  <c r="G63" i="1"/>
  <c r="G199" i="1"/>
  <c r="H199" i="1"/>
  <c r="G131" i="1"/>
  <c r="H131" i="1"/>
  <c r="G70" i="1"/>
  <c r="H70" i="1"/>
  <c r="G174" i="1"/>
  <c r="H174" i="1"/>
  <c r="H194" i="1"/>
  <c r="G194" i="1"/>
  <c r="H88" i="1"/>
  <c r="G88" i="1"/>
  <c r="G53" i="1"/>
  <c r="H53" i="1"/>
  <c r="G117" i="1"/>
  <c r="H117" i="1"/>
  <c r="G118" i="1"/>
  <c r="H118" i="1"/>
  <c r="G28" i="1"/>
  <c r="H28" i="1"/>
  <c r="G93" i="1"/>
  <c r="H93" i="1"/>
  <c r="G24" i="1"/>
  <c r="H24" i="1"/>
  <c r="G102" i="1"/>
  <c r="H102" i="1"/>
  <c r="G12" i="1"/>
  <c r="H12" i="1"/>
  <c r="H42" i="1"/>
  <c r="G42" i="1"/>
  <c r="G18" i="1"/>
  <c r="H18" i="1"/>
  <c r="G68" i="1"/>
  <c r="H68" i="1"/>
  <c r="H130" i="1"/>
  <c r="G130" i="1"/>
  <c r="G151" i="1"/>
  <c r="H151" i="1"/>
  <c r="H238" i="1"/>
  <c r="G238" i="1"/>
  <c r="H180" i="1"/>
  <c r="G180" i="1"/>
  <c r="G144" i="1"/>
  <c r="H144" i="1"/>
  <c r="G72" i="1"/>
  <c r="H72" i="1"/>
  <c r="G143" i="1"/>
  <c r="H143" i="1"/>
  <c r="H171" i="1"/>
  <c r="G171" i="1"/>
  <c r="G54" i="1"/>
  <c r="H54" i="1"/>
  <c r="G37" i="1"/>
  <c r="H37" i="1"/>
  <c r="G186" i="1"/>
  <c r="H186" i="1"/>
  <c r="G216" i="1"/>
  <c r="H216" i="1"/>
  <c r="G46" i="1"/>
  <c r="H46" i="1"/>
  <c r="H29" i="1"/>
  <c r="G29" i="1"/>
  <c r="H122" i="1"/>
  <c r="G122" i="1"/>
  <c r="G162" i="1"/>
  <c r="H162" i="1"/>
  <c r="G129" i="1"/>
  <c r="H129" i="1"/>
  <c r="G38" i="1"/>
  <c r="H38" i="1"/>
  <c r="G21" i="1"/>
  <c r="H21" i="1"/>
  <c r="G225" i="1"/>
  <c r="H225" i="1"/>
  <c r="G81" i="1"/>
  <c r="H81" i="1"/>
  <c r="G185" i="1"/>
  <c r="H185" i="1"/>
  <c r="G94" i="1"/>
  <c r="H94" i="1"/>
  <c r="H77" i="1"/>
  <c r="G77" i="1"/>
  <c r="G4" i="1"/>
  <c r="H4" i="1"/>
  <c r="H17" i="1"/>
  <c r="G17" i="1"/>
  <c r="H10" i="1"/>
  <c r="G10" i="1"/>
  <c r="G150" i="1"/>
  <c r="H150" i="1"/>
  <c r="G133" i="1"/>
  <c r="H133" i="1"/>
  <c r="G60" i="1"/>
  <c r="H60" i="1"/>
  <c r="G233" i="1"/>
  <c r="H233" i="1"/>
  <c r="G52" i="1"/>
  <c r="H52" i="1"/>
  <c r="G208" i="1"/>
  <c r="H208" i="1"/>
  <c r="G43" i="1"/>
  <c r="H43" i="1"/>
  <c r="G98" i="1"/>
  <c r="H98" i="1"/>
  <c r="G169" i="1"/>
  <c r="H169" i="1"/>
  <c r="G100" i="1"/>
  <c r="H100" i="1"/>
  <c r="H32" i="1"/>
  <c r="G32" i="1"/>
  <c r="G126" i="1"/>
  <c r="H126" i="1"/>
  <c r="G36" i="1"/>
  <c r="H36" i="1"/>
  <c r="G217" i="1"/>
  <c r="H217" i="1"/>
  <c r="G176" i="1"/>
  <c r="H176" i="1"/>
  <c r="H156" i="1"/>
  <c r="G156" i="1"/>
  <c r="G51" i="1"/>
  <c r="H51" i="1"/>
  <c r="G235" i="1"/>
  <c r="H235" i="1"/>
  <c r="H234" i="1"/>
  <c r="G234" i="1"/>
  <c r="G84" i="1"/>
  <c r="H84" i="1"/>
  <c r="H183" i="1"/>
  <c r="G183" i="1"/>
  <c r="G128" i="1"/>
  <c r="H128" i="1"/>
  <c r="H209" i="1"/>
  <c r="G209" i="1"/>
  <c r="H193" i="1"/>
  <c r="G193" i="1"/>
  <c r="G158" i="1"/>
  <c r="H158" i="1"/>
  <c r="G66" i="1"/>
  <c r="H66" i="1"/>
  <c r="H222" i="1"/>
  <c r="G222" i="1"/>
  <c r="G189" i="1"/>
  <c r="H189" i="1"/>
  <c r="G116" i="1"/>
  <c r="H116" i="1"/>
  <c r="G227" i="1"/>
  <c r="H227" i="1"/>
  <c r="H135" i="1"/>
  <c r="G135" i="1"/>
  <c r="H228" i="1"/>
  <c r="G228" i="1"/>
  <c r="G236" i="1"/>
  <c r="H236" i="1"/>
  <c r="H203" i="1"/>
  <c r="G203" i="1"/>
  <c r="H99" i="1"/>
  <c r="G99" i="1"/>
  <c r="G64" i="1"/>
  <c r="H64" i="1"/>
  <c r="G34" i="1"/>
  <c r="H34" i="1"/>
  <c r="G163" i="1"/>
  <c r="H163" i="1"/>
  <c r="G67" i="1"/>
  <c r="H67" i="1"/>
  <c r="G83" i="1"/>
  <c r="H83" i="1"/>
  <c r="G201" i="1"/>
  <c r="H201" i="1"/>
  <c r="H65" i="1"/>
  <c r="G65" i="1"/>
  <c r="G139" i="1"/>
  <c r="H139" i="1"/>
  <c r="H19" i="1"/>
  <c r="G19" i="1"/>
  <c r="G198" i="1"/>
  <c r="H198" i="1"/>
  <c r="H179" i="1"/>
  <c r="G179" i="1"/>
  <c r="G121" i="1"/>
  <c r="H121" i="1"/>
  <c r="G30" i="1"/>
  <c r="H30" i="1"/>
  <c r="G13" i="1"/>
  <c r="H13" i="1"/>
  <c r="G161" i="1"/>
  <c r="H161" i="1"/>
  <c r="G226" i="1"/>
  <c r="H226" i="1"/>
  <c r="G177" i="1"/>
  <c r="H177" i="1"/>
  <c r="G86" i="1"/>
  <c r="H86" i="1"/>
  <c r="G69" i="1"/>
  <c r="H6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9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</futureMetadata>
  <cellMetadata count="1">
    <bk>
      <rc t="1" v="0"/>
    </bk>
  </cellMetadata>
  <valueMetadata count="69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</valueMetadata>
</metadata>
</file>

<file path=xl/sharedStrings.xml><?xml version="1.0" encoding="utf-8"?>
<sst xmlns="http://schemas.openxmlformats.org/spreadsheetml/2006/main" count="9" uniqueCount="8">
  <si>
    <t>Pr x Vol</t>
  </si>
  <si>
    <t>VWAP</t>
  </si>
  <si>
    <t>StDev</t>
  </si>
  <si>
    <t>VWAP + 2 SD</t>
  </si>
  <si>
    <t>VWAP – 2 SD</t>
  </si>
  <si>
    <t>20d SMA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</si>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</sst>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42" applyFont="1"/>
    <xf numFmtId="164" fontId="0" fillId="0" borderId="0" xfId="42" applyNumberFormat="1" applyFont="1"/>
    <xf numFmtId="0" fontId="16" fillId="33" borderId="0" xfId="0" applyFont="1" applyFill="1" applyAlignment="1">
      <alignment horizontal="center"/>
    </xf>
    <xf numFmtId="43" fontId="16" fillId="33" borderId="0" xfId="42" applyFont="1" applyFill="1" applyAlignment="1">
      <alignment horizontal="center"/>
    </xf>
    <xf numFmtId="164" fontId="13" fillId="34" borderId="0" xfId="42" applyNumberFormat="1" applyFont="1" applyFill="1" applyAlignment="1">
      <alignment horizontal="center"/>
    </xf>
    <xf numFmtId="43" fontId="13" fillId="34" borderId="0" xfId="42" applyFont="1" applyFill="1" applyAlignment="1">
      <alignment horizontal="center"/>
    </xf>
    <xf numFmtId="43" fontId="13" fillId="35" borderId="0" xfId="42" applyFont="1" applyFill="1" applyAlignment="1">
      <alignment horizontal="center"/>
    </xf>
    <xf numFmtId="0" fontId="13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Price Hist'!$B$1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'Stock Price Hist'!$A$2:$A$239</c:f>
              <c:numCache>
                <c:formatCode>m/d/yyyy</c:formatCode>
                <c:ptCount val="238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</c:numCache>
            </c:numRef>
          </c:cat>
          <c:val>
            <c:numRef>
              <c:f>'Stock Price Hist'!$B$2:$B$239</c:f>
              <c:numCache>
                <c:formatCode>_([$$-409]* #,##0.00_);_([$$-409]* \(#,##0.00\);_([$$-409]* "-"??_);_(@_)</c:formatCode>
                <c:ptCount val="238"/>
                <c:pt idx="0">
                  <c:v>89.03</c:v>
                </c:pt>
                <c:pt idx="1">
                  <c:v>89.24</c:v>
                </c:pt>
                <c:pt idx="2">
                  <c:v>88.37</c:v>
                </c:pt>
                <c:pt idx="3">
                  <c:v>88</c:v>
                </c:pt>
                <c:pt idx="4">
                  <c:v>89.01</c:v>
                </c:pt>
                <c:pt idx="5">
                  <c:v>88.15</c:v>
                </c:pt>
                <c:pt idx="6">
                  <c:v>88.47</c:v>
                </c:pt>
                <c:pt idx="7">
                  <c:v>89.37</c:v>
                </c:pt>
                <c:pt idx="8">
                  <c:v>90.23</c:v>
                </c:pt>
                <c:pt idx="9">
                  <c:v>92.22</c:v>
                </c:pt>
                <c:pt idx="10">
                  <c:v>93.65</c:v>
                </c:pt>
                <c:pt idx="11">
                  <c:v>93.21</c:v>
                </c:pt>
                <c:pt idx="12">
                  <c:v>90.77</c:v>
                </c:pt>
                <c:pt idx="13">
                  <c:v>90.76</c:v>
                </c:pt>
                <c:pt idx="14">
                  <c:v>90.6</c:v>
                </c:pt>
                <c:pt idx="15">
                  <c:v>94.89</c:v>
                </c:pt>
                <c:pt idx="16">
                  <c:v>93.39</c:v>
                </c:pt>
                <c:pt idx="17">
                  <c:v>92.57</c:v>
                </c:pt>
                <c:pt idx="18">
                  <c:v>93.86</c:v>
                </c:pt>
                <c:pt idx="19">
                  <c:v>93.74</c:v>
                </c:pt>
                <c:pt idx="20">
                  <c:v>95.62</c:v>
                </c:pt>
                <c:pt idx="21">
                  <c:v>94.91</c:v>
                </c:pt>
                <c:pt idx="22">
                  <c:v>96.19</c:v>
                </c:pt>
                <c:pt idx="23">
                  <c:v>95.42</c:v>
                </c:pt>
                <c:pt idx="24">
                  <c:v>96.08</c:v>
                </c:pt>
                <c:pt idx="25">
                  <c:v>96.7</c:v>
                </c:pt>
                <c:pt idx="26">
                  <c:v>96.31</c:v>
                </c:pt>
                <c:pt idx="27">
                  <c:v>94.57</c:v>
                </c:pt>
                <c:pt idx="28">
                  <c:v>95.66</c:v>
                </c:pt>
                <c:pt idx="29">
                  <c:v>94.92</c:v>
                </c:pt>
                <c:pt idx="30">
                  <c:v>95.76</c:v>
                </c:pt>
                <c:pt idx="31">
                  <c:v>95.26</c:v>
                </c:pt>
                <c:pt idx="32">
                  <c:v>95.76</c:v>
                </c:pt>
                <c:pt idx="33">
                  <c:v>98.26</c:v>
                </c:pt>
                <c:pt idx="34">
                  <c:v>99.68</c:v>
                </c:pt>
                <c:pt idx="35">
                  <c:v>100.97</c:v>
                </c:pt>
                <c:pt idx="36">
                  <c:v>99.96</c:v>
                </c:pt>
                <c:pt idx="37">
                  <c:v>99.92</c:v>
                </c:pt>
                <c:pt idx="38">
                  <c:v>101.52</c:v>
                </c:pt>
                <c:pt idx="39">
                  <c:v>104.02</c:v>
                </c:pt>
                <c:pt idx="40">
                  <c:v>102.15</c:v>
                </c:pt>
                <c:pt idx="41">
                  <c:v>100.2</c:v>
                </c:pt>
                <c:pt idx="42">
                  <c:v>100.91</c:v>
                </c:pt>
                <c:pt idx="43">
                  <c:v>103.64</c:v>
                </c:pt>
                <c:pt idx="44">
                  <c:v>106.66</c:v>
                </c:pt>
                <c:pt idx="45">
                  <c:v>103.77</c:v>
                </c:pt>
                <c:pt idx="46">
                  <c:v>102.64</c:v>
                </c:pt>
                <c:pt idx="47">
                  <c:v>104.57</c:v>
                </c:pt>
                <c:pt idx="48">
                  <c:v>106.41</c:v>
                </c:pt>
                <c:pt idx="49">
                  <c:v>107.62</c:v>
                </c:pt>
                <c:pt idx="50">
                  <c:v>107.81</c:v>
                </c:pt>
                <c:pt idx="51">
                  <c:v>107.49</c:v>
                </c:pt>
                <c:pt idx="52">
                  <c:v>108.48</c:v>
                </c:pt>
                <c:pt idx="53">
                  <c:v>107.8</c:v>
                </c:pt>
                <c:pt idx="54">
                  <c:v>106.83</c:v>
                </c:pt>
                <c:pt idx="55">
                  <c:v>105.55</c:v>
                </c:pt>
                <c:pt idx="56">
                  <c:v>107.46</c:v>
                </c:pt>
                <c:pt idx="57">
                  <c:v>107.89</c:v>
                </c:pt>
                <c:pt idx="58">
                  <c:v>108.77</c:v>
                </c:pt>
                <c:pt idx="59">
                  <c:v>110.59</c:v>
                </c:pt>
                <c:pt idx="60">
                  <c:v>110.06</c:v>
                </c:pt>
                <c:pt idx="61">
                  <c:v>109.58</c:v>
                </c:pt>
                <c:pt idx="62">
                  <c:v>112.72</c:v>
                </c:pt>
                <c:pt idx="63">
                  <c:v>109.32</c:v>
                </c:pt>
                <c:pt idx="64">
                  <c:v>105.4</c:v>
                </c:pt>
                <c:pt idx="65">
                  <c:v>106.05</c:v>
                </c:pt>
                <c:pt idx="66">
                  <c:v>105.77</c:v>
                </c:pt>
                <c:pt idx="67">
                  <c:v>108.3</c:v>
                </c:pt>
                <c:pt idx="68">
                  <c:v>109.84</c:v>
                </c:pt>
                <c:pt idx="69">
                  <c:v>112.25</c:v>
                </c:pt>
                <c:pt idx="70">
                  <c:v>111.81</c:v>
                </c:pt>
                <c:pt idx="71">
                  <c:v>111.44</c:v>
                </c:pt>
                <c:pt idx="72">
                  <c:v>112.1</c:v>
                </c:pt>
                <c:pt idx="73">
                  <c:v>110.96</c:v>
                </c:pt>
                <c:pt idx="74">
                  <c:v>113.3</c:v>
                </c:pt>
                <c:pt idx="75">
                  <c:v>112.52</c:v>
                </c:pt>
                <c:pt idx="76">
                  <c:v>111.29</c:v>
                </c:pt>
                <c:pt idx="77">
                  <c:v>110.45</c:v>
                </c:pt>
                <c:pt idx="78">
                  <c:v>111.13</c:v>
                </c:pt>
                <c:pt idx="79">
                  <c:v>112.13</c:v>
                </c:pt>
                <c:pt idx="80">
                  <c:v>112.75</c:v>
                </c:pt>
                <c:pt idx="81">
                  <c:v>112.56</c:v>
                </c:pt>
                <c:pt idx="82">
                  <c:v>110.03</c:v>
                </c:pt>
                <c:pt idx="83">
                  <c:v>109.52</c:v>
                </c:pt>
                <c:pt idx="84">
                  <c:v>110.47</c:v>
                </c:pt>
                <c:pt idx="85">
                  <c:v>111.04</c:v>
                </c:pt>
                <c:pt idx="86">
                  <c:v>107.75</c:v>
                </c:pt>
                <c:pt idx="87">
                  <c:v>107.68</c:v>
                </c:pt>
                <c:pt idx="88">
                  <c:v>103.54</c:v>
                </c:pt>
                <c:pt idx="89">
                  <c:v>100.58</c:v>
                </c:pt>
                <c:pt idx="90">
                  <c:v>99.27</c:v>
                </c:pt>
                <c:pt idx="91">
                  <c:v>102.01</c:v>
                </c:pt>
                <c:pt idx="92">
                  <c:v>104.29</c:v>
                </c:pt>
                <c:pt idx="93">
                  <c:v>105.38</c:v>
                </c:pt>
                <c:pt idx="94">
                  <c:v>105.71</c:v>
                </c:pt>
                <c:pt idx="95">
                  <c:v>105.22</c:v>
                </c:pt>
                <c:pt idx="96">
                  <c:v>103.42</c:v>
                </c:pt>
                <c:pt idx="97">
                  <c:v>104.1</c:v>
                </c:pt>
                <c:pt idx="98">
                  <c:v>103.97</c:v>
                </c:pt>
                <c:pt idx="99">
                  <c:v>102.11</c:v>
                </c:pt>
                <c:pt idx="100">
                  <c:v>103.38</c:v>
                </c:pt>
                <c:pt idx="101">
                  <c:v>104.49</c:v>
                </c:pt>
                <c:pt idx="102">
                  <c:v>103.86</c:v>
                </c:pt>
                <c:pt idx="103">
                  <c:v>103.24</c:v>
                </c:pt>
                <c:pt idx="104">
                  <c:v>102.21</c:v>
                </c:pt>
                <c:pt idx="105">
                  <c:v>102.27</c:v>
                </c:pt>
                <c:pt idx="106">
                  <c:v>101.61</c:v>
                </c:pt>
                <c:pt idx="107">
                  <c:v>101.11</c:v>
                </c:pt>
                <c:pt idx="108">
                  <c:v>102.4</c:v>
                </c:pt>
                <c:pt idx="109">
                  <c:v>102.55</c:v>
                </c:pt>
                <c:pt idx="110">
                  <c:v>103.76</c:v>
                </c:pt>
                <c:pt idx="111">
                  <c:v>103.96</c:v>
                </c:pt>
                <c:pt idx="112">
                  <c:v>101.63</c:v>
                </c:pt>
                <c:pt idx="113">
                  <c:v>101.35</c:v>
                </c:pt>
                <c:pt idx="114">
                  <c:v>100.73</c:v>
                </c:pt>
                <c:pt idx="115">
                  <c:v>100.97</c:v>
                </c:pt>
                <c:pt idx="116">
                  <c:v>101.15</c:v>
                </c:pt>
                <c:pt idx="117">
                  <c:v>100.19</c:v>
                </c:pt>
                <c:pt idx="118">
                  <c:v>98.05</c:v>
                </c:pt>
                <c:pt idx="119">
                  <c:v>98.41</c:v>
                </c:pt>
                <c:pt idx="120">
                  <c:v>98.15</c:v>
                </c:pt>
                <c:pt idx="121">
                  <c:v>100.35</c:v>
                </c:pt>
                <c:pt idx="122">
                  <c:v>100.78</c:v>
                </c:pt>
                <c:pt idx="123">
                  <c:v>99.92</c:v>
                </c:pt>
                <c:pt idx="124">
                  <c:v>100.31</c:v>
                </c:pt>
                <c:pt idx="125">
                  <c:v>99.71</c:v>
                </c:pt>
                <c:pt idx="126">
                  <c:v>99.31</c:v>
                </c:pt>
                <c:pt idx="127">
                  <c:v>99.97</c:v>
                </c:pt>
                <c:pt idx="128">
                  <c:v>101.07</c:v>
                </c:pt>
                <c:pt idx="129">
                  <c:v>100.59</c:v>
                </c:pt>
                <c:pt idx="130">
                  <c:v>101.01</c:v>
                </c:pt>
                <c:pt idx="131">
                  <c:v>99.95</c:v>
                </c:pt>
                <c:pt idx="132">
                  <c:v>100.46</c:v>
                </c:pt>
                <c:pt idx="133">
                  <c:v>100.6</c:v>
                </c:pt>
                <c:pt idx="134">
                  <c:v>101.08</c:v>
                </c:pt>
                <c:pt idx="135">
                  <c:v>102.07</c:v>
                </c:pt>
                <c:pt idx="136">
                  <c:v>103.59</c:v>
                </c:pt>
                <c:pt idx="137">
                  <c:v>102.55</c:v>
                </c:pt>
                <c:pt idx="138">
                  <c:v>102.05</c:v>
                </c:pt>
                <c:pt idx="139">
                  <c:v>102.26</c:v>
                </c:pt>
                <c:pt idx="140">
                  <c:v>100.98</c:v>
                </c:pt>
                <c:pt idx="141">
                  <c:v>102.24</c:v>
                </c:pt>
                <c:pt idx="142">
                  <c:v>102.59</c:v>
                </c:pt>
                <c:pt idx="143">
                  <c:v>103.5</c:v>
                </c:pt>
                <c:pt idx="144">
                  <c:v>104.44</c:v>
                </c:pt>
                <c:pt idx="145">
                  <c:v>105.36</c:v>
                </c:pt>
                <c:pt idx="146">
                  <c:v>104.18</c:v>
                </c:pt>
                <c:pt idx="147">
                  <c:v>104.15</c:v>
                </c:pt>
                <c:pt idx="148">
                  <c:v>105</c:v>
                </c:pt>
                <c:pt idx="149">
                  <c:v>104.48</c:v>
                </c:pt>
                <c:pt idx="150">
                  <c:v>104.12</c:v>
                </c:pt>
                <c:pt idx="151">
                  <c:v>103.69</c:v>
                </c:pt>
                <c:pt idx="152">
                  <c:v>103.66</c:v>
                </c:pt>
                <c:pt idx="153">
                  <c:v>102.86</c:v>
                </c:pt>
                <c:pt idx="154">
                  <c:v>100.77</c:v>
                </c:pt>
                <c:pt idx="155">
                  <c:v>99.74</c:v>
                </c:pt>
                <c:pt idx="156">
                  <c:v>101.1</c:v>
                </c:pt>
                <c:pt idx="157">
                  <c:v>101.76</c:v>
                </c:pt>
                <c:pt idx="158">
                  <c:v>101.5</c:v>
                </c:pt>
                <c:pt idx="159">
                  <c:v>101.65</c:v>
                </c:pt>
                <c:pt idx="160">
                  <c:v>99.95</c:v>
                </c:pt>
                <c:pt idx="161">
                  <c:v>99.72</c:v>
                </c:pt>
                <c:pt idx="162">
                  <c:v>100.07</c:v>
                </c:pt>
                <c:pt idx="163">
                  <c:v>98.17</c:v>
                </c:pt>
                <c:pt idx="164">
                  <c:v>98.23</c:v>
                </c:pt>
                <c:pt idx="165">
                  <c:v>97.2</c:v>
                </c:pt>
                <c:pt idx="166">
                  <c:v>97.85</c:v>
                </c:pt>
                <c:pt idx="167">
                  <c:v>97.8</c:v>
                </c:pt>
                <c:pt idx="168">
                  <c:v>98.05</c:v>
                </c:pt>
                <c:pt idx="169">
                  <c:v>96.65</c:v>
                </c:pt>
                <c:pt idx="170">
                  <c:v>96.98</c:v>
                </c:pt>
                <c:pt idx="171">
                  <c:v>97.08</c:v>
                </c:pt>
                <c:pt idx="172">
                  <c:v>97.7</c:v>
                </c:pt>
                <c:pt idx="173">
                  <c:v>97.55</c:v>
                </c:pt>
                <c:pt idx="174">
                  <c:v>97</c:v>
                </c:pt>
                <c:pt idx="175">
                  <c:v>95.57</c:v>
                </c:pt>
                <c:pt idx="176">
                  <c:v>96.4</c:v>
                </c:pt>
                <c:pt idx="177">
                  <c:v>96.35</c:v>
                </c:pt>
                <c:pt idx="178">
                  <c:v>96.33</c:v>
                </c:pt>
                <c:pt idx="179">
                  <c:v>96.62</c:v>
                </c:pt>
                <c:pt idx="180">
                  <c:v>98.55</c:v>
                </c:pt>
                <c:pt idx="181">
                  <c:v>98.81</c:v>
                </c:pt>
                <c:pt idx="182">
                  <c:v>98.35</c:v>
                </c:pt>
                <c:pt idx="183">
                  <c:v>99.62</c:v>
                </c:pt>
                <c:pt idx="184">
                  <c:v>99.57</c:v>
                </c:pt>
                <c:pt idx="185">
                  <c:v>100.52</c:v>
                </c:pt>
                <c:pt idx="186">
                  <c:v>98.17</c:v>
                </c:pt>
                <c:pt idx="187">
                  <c:v>97.64</c:v>
                </c:pt>
                <c:pt idx="188">
                  <c:v>98.81</c:v>
                </c:pt>
                <c:pt idx="189">
                  <c:v>99.33</c:v>
                </c:pt>
                <c:pt idx="190">
                  <c:v>100.04</c:v>
                </c:pt>
                <c:pt idx="191">
                  <c:v>100.83</c:v>
                </c:pt>
                <c:pt idx="192">
                  <c:v>100.8</c:v>
                </c:pt>
                <c:pt idx="193">
                  <c:v>102.39</c:v>
                </c:pt>
                <c:pt idx="194">
                  <c:v>100.86</c:v>
                </c:pt>
                <c:pt idx="195">
                  <c:v>101.89</c:v>
                </c:pt>
                <c:pt idx="196">
                  <c:v>102.29</c:v>
                </c:pt>
                <c:pt idx="197">
                  <c:v>101.07</c:v>
                </c:pt>
                <c:pt idx="198">
                  <c:v>101.19</c:v>
                </c:pt>
                <c:pt idx="199">
                  <c:v>101.72</c:v>
                </c:pt>
                <c:pt idx="200">
                  <c:v>101.56</c:v>
                </c:pt>
                <c:pt idx="201">
                  <c:v>101.94</c:v>
                </c:pt>
                <c:pt idx="202">
                  <c:v>100.77</c:v>
                </c:pt>
                <c:pt idx="203">
                  <c:v>100.04</c:v>
                </c:pt>
                <c:pt idx="204">
                  <c:v>100.22</c:v>
                </c:pt>
                <c:pt idx="205">
                  <c:v>98.55</c:v>
                </c:pt>
                <c:pt idx="206">
                  <c:v>97</c:v>
                </c:pt>
                <c:pt idx="207">
                  <c:v>98.19</c:v>
                </c:pt>
                <c:pt idx="208">
                  <c:v>97.41</c:v>
                </c:pt>
                <c:pt idx="209">
                  <c:v>96.64</c:v>
                </c:pt>
                <c:pt idx="210">
                  <c:v>97.96</c:v>
                </c:pt>
                <c:pt idx="211">
                  <c:v>96.11</c:v>
                </c:pt>
                <c:pt idx="212">
                  <c:v>96.99</c:v>
                </c:pt>
                <c:pt idx="213">
                  <c:v>98.52</c:v>
                </c:pt>
                <c:pt idx="214">
                  <c:v>98.24</c:v>
                </c:pt>
                <c:pt idx="215">
                  <c:v>99.59</c:v>
                </c:pt>
                <c:pt idx="216">
                  <c:v>100.19</c:v>
                </c:pt>
                <c:pt idx="217">
                  <c:v>100.95</c:v>
                </c:pt>
                <c:pt idx="218">
                  <c:v>101.66</c:v>
                </c:pt>
                <c:pt idx="219">
                  <c:v>103.85</c:v>
                </c:pt>
                <c:pt idx="220">
                  <c:v>102.91</c:v>
                </c:pt>
                <c:pt idx="221">
                  <c:v>100.38</c:v>
                </c:pt>
                <c:pt idx="222">
                  <c:v>100.95</c:v>
                </c:pt>
                <c:pt idx="223">
                  <c:v>100.16</c:v>
                </c:pt>
                <c:pt idx="224">
                  <c:v>98.92</c:v>
                </c:pt>
                <c:pt idx="225">
                  <c:v>98.85</c:v>
                </c:pt>
                <c:pt idx="226">
                  <c:v>100.14</c:v>
                </c:pt>
                <c:pt idx="227">
                  <c:v>100.36</c:v>
                </c:pt>
                <c:pt idx="228">
                  <c:v>97.88</c:v>
                </c:pt>
                <c:pt idx="229">
                  <c:v>96.87</c:v>
                </c:pt>
                <c:pt idx="230">
                  <c:v>96.45</c:v>
                </c:pt>
                <c:pt idx="231">
                  <c:v>96.22</c:v>
                </c:pt>
                <c:pt idx="232">
                  <c:v>96.6</c:v>
                </c:pt>
                <c:pt idx="233">
                  <c:v>95.45</c:v>
                </c:pt>
                <c:pt idx="234">
                  <c:v>95.82</c:v>
                </c:pt>
                <c:pt idx="235">
                  <c:v>95.41</c:v>
                </c:pt>
                <c:pt idx="236">
                  <c:v>95.64</c:v>
                </c:pt>
                <c:pt idx="237">
                  <c:v>97.53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2D-4A03-8B82-1C5E7B4B27C3}"/>
            </c:ext>
          </c:extLst>
        </c:ser>
        <c:ser>
          <c:idx val="1"/>
          <c:order val="1"/>
          <c:tx>
            <c:strRef>
              <c:f>'Stock Price Hist'!$E$1</c:f>
              <c:strCache>
                <c:ptCount val="1"/>
                <c:pt idx="0">
                  <c:v> VWAP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'Stock Price Hist'!$A$2:$A$239</c:f>
              <c:numCache>
                <c:formatCode>m/d/yyyy</c:formatCode>
                <c:ptCount val="238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</c:numCache>
            </c:numRef>
          </c:cat>
          <c:val>
            <c:numRef>
              <c:f>'Stock Price Hist'!$E$2:$E$239</c:f>
              <c:numCache>
                <c:formatCode>_(* #,##0.00_);_(* \(#,##0.00\);_(* "-"??_);_(@_)</c:formatCode>
                <c:ptCount val="238"/>
                <c:pt idx="0">
                  <c:v>89.03</c:v>
                </c:pt>
                <c:pt idx="1">
                  <c:v>89.146860643970015</c:v>
                </c:pt>
                <c:pt idx="2">
                  <c:v>88.866702480561813</c:v>
                </c:pt>
                <c:pt idx="3">
                  <c:v>88.569901291139615</c:v>
                </c:pt>
                <c:pt idx="4">
                  <c:v>88.647667299770447</c:v>
                </c:pt>
                <c:pt idx="5">
                  <c:v>88.557577417596363</c:v>
                </c:pt>
                <c:pt idx="6">
                  <c:v>88.546021038422282</c:v>
                </c:pt>
                <c:pt idx="7">
                  <c:v>88.651864164441804</c:v>
                </c:pt>
                <c:pt idx="8">
                  <c:v>88.821450089464975</c:v>
                </c:pt>
                <c:pt idx="9">
                  <c:v>89.170059245307215</c:v>
                </c:pt>
                <c:pt idx="10">
                  <c:v>89.827460700574292</c:v>
                </c:pt>
                <c:pt idx="11">
                  <c:v>90.176953302709848</c:v>
                </c:pt>
                <c:pt idx="12">
                  <c:v>90.214478944742424</c:v>
                </c:pt>
                <c:pt idx="13">
                  <c:v>90.24429662448388</c:v>
                </c:pt>
                <c:pt idx="14">
                  <c:v>90.272477698928029</c:v>
                </c:pt>
                <c:pt idx="15">
                  <c:v>90.779560613462479</c:v>
                </c:pt>
                <c:pt idx="16">
                  <c:v>90.943692410484061</c:v>
                </c:pt>
                <c:pt idx="17">
                  <c:v>91.020053210722565</c:v>
                </c:pt>
                <c:pt idx="18">
                  <c:v>91.168520937488552</c:v>
                </c:pt>
                <c:pt idx="19">
                  <c:v>91.483505155990812</c:v>
                </c:pt>
                <c:pt idx="20">
                  <c:v>91.736882155657284</c:v>
                </c:pt>
                <c:pt idx="21">
                  <c:v>91.863029603727568</c:v>
                </c:pt>
                <c:pt idx="22">
                  <c:v>92.005614637010169</c:v>
                </c:pt>
                <c:pt idx="23">
                  <c:v>92.098307764076338</c:v>
                </c:pt>
                <c:pt idx="24">
                  <c:v>92.19921428503784</c:v>
                </c:pt>
                <c:pt idx="25">
                  <c:v>92.314064667775298</c:v>
                </c:pt>
                <c:pt idx="26">
                  <c:v>92.509339727662308</c:v>
                </c:pt>
                <c:pt idx="27">
                  <c:v>92.620906916736132</c:v>
                </c:pt>
                <c:pt idx="28">
                  <c:v>92.701354815788292</c:v>
                </c:pt>
                <c:pt idx="29">
                  <c:v>92.76120108173204</c:v>
                </c:pt>
                <c:pt idx="30">
                  <c:v>92.864183269056028</c:v>
                </c:pt>
                <c:pt idx="31">
                  <c:v>92.922243205827925</c:v>
                </c:pt>
                <c:pt idx="32">
                  <c:v>93.01465544301449</c:v>
                </c:pt>
                <c:pt idx="33">
                  <c:v>93.291508227916381</c:v>
                </c:pt>
                <c:pt idx="34">
                  <c:v>93.508646746923802</c:v>
                </c:pt>
                <c:pt idx="35">
                  <c:v>93.797038171831886</c:v>
                </c:pt>
                <c:pt idx="36">
                  <c:v>93.935670500476448</c:v>
                </c:pt>
                <c:pt idx="37">
                  <c:v>94.143435149484489</c:v>
                </c:pt>
                <c:pt idx="38">
                  <c:v>94.528305328969921</c:v>
                </c:pt>
                <c:pt idx="39">
                  <c:v>94.852006958448783</c:v>
                </c:pt>
                <c:pt idx="40">
                  <c:v>95.09505057597309</c:v>
                </c:pt>
                <c:pt idx="41">
                  <c:v>95.34314746315917</c:v>
                </c:pt>
                <c:pt idx="42">
                  <c:v>95.548669191683118</c:v>
                </c:pt>
                <c:pt idx="43">
                  <c:v>95.740970361327385</c:v>
                </c:pt>
                <c:pt idx="44">
                  <c:v>96.046563068451263</c:v>
                </c:pt>
                <c:pt idx="45">
                  <c:v>96.212946207519735</c:v>
                </c:pt>
                <c:pt idx="46">
                  <c:v>96.397066892643778</c:v>
                </c:pt>
                <c:pt idx="47">
                  <c:v>96.544160027646996</c:v>
                </c:pt>
                <c:pt idx="48">
                  <c:v>96.816917660389677</c:v>
                </c:pt>
                <c:pt idx="49">
                  <c:v>97.118883049759319</c:v>
                </c:pt>
                <c:pt idx="50">
                  <c:v>97.362251290577177</c:v>
                </c:pt>
                <c:pt idx="51">
                  <c:v>97.521142688510849</c:v>
                </c:pt>
                <c:pt idx="52">
                  <c:v>97.661460320016005</c:v>
                </c:pt>
                <c:pt idx="53">
                  <c:v>97.954997202939722</c:v>
                </c:pt>
                <c:pt idx="54">
                  <c:v>98.064088627115254</c:v>
                </c:pt>
                <c:pt idx="55">
                  <c:v>98.185418069477734</c:v>
                </c:pt>
                <c:pt idx="56">
                  <c:v>98.297799617277533</c:v>
                </c:pt>
                <c:pt idx="57">
                  <c:v>98.408749690697263</c:v>
                </c:pt>
                <c:pt idx="58">
                  <c:v>98.560704125698891</c:v>
                </c:pt>
                <c:pt idx="59">
                  <c:v>98.772277912211678</c:v>
                </c:pt>
                <c:pt idx="60">
                  <c:v>98.940210741133242</c:v>
                </c:pt>
                <c:pt idx="61">
                  <c:v>99.065915419703799</c:v>
                </c:pt>
                <c:pt idx="62">
                  <c:v>99.39218273321687</c:v>
                </c:pt>
                <c:pt idx="63">
                  <c:v>99.742725666040087</c:v>
                </c:pt>
                <c:pt idx="64">
                  <c:v>99.877049104954907</c:v>
                </c:pt>
                <c:pt idx="65">
                  <c:v>99.965040319545153</c:v>
                </c:pt>
                <c:pt idx="66">
                  <c:v>100.11269643775749</c:v>
                </c:pt>
                <c:pt idx="67">
                  <c:v>100.25360518281812</c:v>
                </c:pt>
                <c:pt idx="68">
                  <c:v>100.37959847501976</c:v>
                </c:pt>
                <c:pt idx="69">
                  <c:v>100.50541519050138</c:v>
                </c:pt>
                <c:pt idx="70">
                  <c:v>100.63393301181027</c:v>
                </c:pt>
                <c:pt idx="71">
                  <c:v>100.74597658755954</c:v>
                </c:pt>
                <c:pt idx="72">
                  <c:v>100.85828601431962</c:v>
                </c:pt>
                <c:pt idx="73">
                  <c:v>100.97049756428643</c:v>
                </c:pt>
                <c:pt idx="74">
                  <c:v>101.07716748507254</c:v>
                </c:pt>
                <c:pt idx="75">
                  <c:v>101.18934767248383</c:v>
                </c:pt>
                <c:pt idx="76">
                  <c:v>101.30085243256035</c:v>
                </c:pt>
                <c:pt idx="77">
                  <c:v>101.41856304793953</c:v>
                </c:pt>
                <c:pt idx="78">
                  <c:v>101.54698655419644</c:v>
                </c:pt>
                <c:pt idx="79">
                  <c:v>101.64141684791406</c:v>
                </c:pt>
                <c:pt idx="80">
                  <c:v>101.88095426240987</c:v>
                </c:pt>
                <c:pt idx="81">
                  <c:v>102.03101010465852</c:v>
                </c:pt>
                <c:pt idx="82">
                  <c:v>102.14707636726183</c:v>
                </c:pt>
                <c:pt idx="83">
                  <c:v>102.24655273573227</c:v>
                </c:pt>
                <c:pt idx="84">
                  <c:v>102.32110150347071</c:v>
                </c:pt>
                <c:pt idx="85">
                  <c:v>102.44773119392615</c:v>
                </c:pt>
                <c:pt idx="86">
                  <c:v>102.52568307435101</c:v>
                </c:pt>
                <c:pt idx="87">
                  <c:v>102.57192223512145</c:v>
                </c:pt>
                <c:pt idx="88">
                  <c:v>102.58682103350965</c:v>
                </c:pt>
                <c:pt idx="89">
                  <c:v>102.55199888858608</c:v>
                </c:pt>
                <c:pt idx="90">
                  <c:v>102.5096882122872</c:v>
                </c:pt>
                <c:pt idx="91">
                  <c:v>102.50311795065889</c:v>
                </c:pt>
                <c:pt idx="92">
                  <c:v>102.52146189108589</c:v>
                </c:pt>
                <c:pt idx="93">
                  <c:v>102.54307971998061</c:v>
                </c:pt>
                <c:pt idx="94">
                  <c:v>102.56834451599764</c:v>
                </c:pt>
                <c:pt idx="95">
                  <c:v>102.59471172811342</c:v>
                </c:pt>
                <c:pt idx="96">
                  <c:v>102.60143951150172</c:v>
                </c:pt>
                <c:pt idx="97">
                  <c:v>102.61276188810105</c:v>
                </c:pt>
                <c:pt idx="98">
                  <c:v>102.62542992791612</c:v>
                </c:pt>
                <c:pt idx="99">
                  <c:v>102.62190710386113</c:v>
                </c:pt>
                <c:pt idx="100">
                  <c:v>102.62919387073275</c:v>
                </c:pt>
                <c:pt idx="101">
                  <c:v>102.66971451060597</c:v>
                </c:pt>
                <c:pt idx="102">
                  <c:v>102.6789280971572</c:v>
                </c:pt>
                <c:pt idx="103">
                  <c:v>102.68328335253094</c:v>
                </c:pt>
                <c:pt idx="104">
                  <c:v>102.68037436573563</c:v>
                </c:pt>
                <c:pt idx="105">
                  <c:v>102.67667122724991</c:v>
                </c:pt>
                <c:pt idx="106">
                  <c:v>102.67073939456239</c:v>
                </c:pt>
                <c:pt idx="107">
                  <c:v>102.66166628870458</c:v>
                </c:pt>
                <c:pt idx="108">
                  <c:v>102.65970737550987</c:v>
                </c:pt>
                <c:pt idx="109">
                  <c:v>102.65884765662361</c:v>
                </c:pt>
                <c:pt idx="110">
                  <c:v>102.66553763255786</c:v>
                </c:pt>
                <c:pt idx="111">
                  <c:v>102.67918743541215</c:v>
                </c:pt>
                <c:pt idx="112">
                  <c:v>102.67018877453991</c:v>
                </c:pt>
                <c:pt idx="113">
                  <c:v>102.65852760569447</c:v>
                </c:pt>
                <c:pt idx="114">
                  <c:v>102.64296270444225</c:v>
                </c:pt>
                <c:pt idx="115">
                  <c:v>102.60517158790189</c:v>
                </c:pt>
                <c:pt idx="116">
                  <c:v>102.5880390990599</c:v>
                </c:pt>
                <c:pt idx="117">
                  <c:v>102.56715765191896</c:v>
                </c:pt>
                <c:pt idx="118">
                  <c:v>102.50933455176872</c:v>
                </c:pt>
                <c:pt idx="119">
                  <c:v>102.47788635382409</c:v>
                </c:pt>
                <c:pt idx="120">
                  <c:v>102.442176000654</c:v>
                </c:pt>
                <c:pt idx="121">
                  <c:v>102.42475695916221</c:v>
                </c:pt>
                <c:pt idx="122">
                  <c:v>102.41201005785254</c:v>
                </c:pt>
                <c:pt idx="123">
                  <c:v>102.39466810949428</c:v>
                </c:pt>
                <c:pt idx="124">
                  <c:v>102.38701284471124</c:v>
                </c:pt>
                <c:pt idx="125">
                  <c:v>102.37363463619928</c:v>
                </c:pt>
                <c:pt idx="126">
                  <c:v>102.34456958766853</c:v>
                </c:pt>
                <c:pt idx="127">
                  <c:v>102.3265444887991</c:v>
                </c:pt>
                <c:pt idx="128">
                  <c:v>102.32022855504788</c:v>
                </c:pt>
                <c:pt idx="129">
                  <c:v>102.31156643564506</c:v>
                </c:pt>
                <c:pt idx="130">
                  <c:v>102.30662927418361</c:v>
                </c:pt>
                <c:pt idx="131">
                  <c:v>102.29570268584568</c:v>
                </c:pt>
                <c:pt idx="132">
                  <c:v>102.28657796961934</c:v>
                </c:pt>
                <c:pt idx="133">
                  <c:v>102.27705163809452</c:v>
                </c:pt>
                <c:pt idx="134">
                  <c:v>102.27132725446585</c:v>
                </c:pt>
                <c:pt idx="135">
                  <c:v>102.27044571408051</c:v>
                </c:pt>
                <c:pt idx="136">
                  <c:v>102.27618496583331</c:v>
                </c:pt>
                <c:pt idx="137">
                  <c:v>102.27800731300265</c:v>
                </c:pt>
                <c:pt idx="138">
                  <c:v>102.27655554551895</c:v>
                </c:pt>
                <c:pt idx="139">
                  <c:v>102.2764969888092</c:v>
                </c:pt>
                <c:pt idx="140">
                  <c:v>102.26988024941677</c:v>
                </c:pt>
                <c:pt idx="141">
                  <c:v>102.26978387507252</c:v>
                </c:pt>
                <c:pt idx="142">
                  <c:v>102.27105667336058</c:v>
                </c:pt>
                <c:pt idx="143">
                  <c:v>102.28183194390171</c:v>
                </c:pt>
                <c:pt idx="144">
                  <c:v>102.29410761963264</c:v>
                </c:pt>
                <c:pt idx="145">
                  <c:v>102.31199832036613</c:v>
                </c:pt>
                <c:pt idx="146">
                  <c:v>102.32361997548423</c:v>
                </c:pt>
                <c:pt idx="147">
                  <c:v>102.33257750965697</c:v>
                </c:pt>
                <c:pt idx="148">
                  <c:v>102.34939007628239</c:v>
                </c:pt>
                <c:pt idx="149">
                  <c:v>102.36385990253109</c:v>
                </c:pt>
                <c:pt idx="150">
                  <c:v>102.37385578965504</c:v>
                </c:pt>
                <c:pt idx="151">
                  <c:v>102.38200076624783</c:v>
                </c:pt>
                <c:pt idx="152">
                  <c:v>102.39031418727112</c:v>
                </c:pt>
                <c:pt idx="153">
                  <c:v>102.39273362979085</c:v>
                </c:pt>
                <c:pt idx="154">
                  <c:v>102.38089368503636</c:v>
                </c:pt>
                <c:pt idx="155">
                  <c:v>102.36366222592213</c:v>
                </c:pt>
                <c:pt idx="156">
                  <c:v>102.35209772477523</c:v>
                </c:pt>
                <c:pt idx="157">
                  <c:v>102.34771622452416</c:v>
                </c:pt>
                <c:pt idx="158">
                  <c:v>102.34328747857657</c:v>
                </c:pt>
                <c:pt idx="159">
                  <c:v>102.33894658834761</c:v>
                </c:pt>
                <c:pt idx="160">
                  <c:v>102.325446258116</c:v>
                </c:pt>
                <c:pt idx="161">
                  <c:v>102.30609133251011</c:v>
                </c:pt>
                <c:pt idx="162">
                  <c:v>102.28464672345292</c:v>
                </c:pt>
                <c:pt idx="163">
                  <c:v>102.26280791815601</c:v>
                </c:pt>
                <c:pt idx="164">
                  <c:v>102.225521228392</c:v>
                </c:pt>
                <c:pt idx="165">
                  <c:v>102.19249586309928</c:v>
                </c:pt>
                <c:pt idx="166">
                  <c:v>102.15216963312288</c:v>
                </c:pt>
                <c:pt idx="167">
                  <c:v>102.13317135785471</c:v>
                </c:pt>
                <c:pt idx="168">
                  <c:v>102.1181086239998</c:v>
                </c:pt>
                <c:pt idx="169">
                  <c:v>102.09262077455502</c:v>
                </c:pt>
                <c:pt idx="170">
                  <c:v>102.07869704999374</c:v>
                </c:pt>
                <c:pt idx="171">
                  <c:v>102.06173174639784</c:v>
                </c:pt>
                <c:pt idx="172">
                  <c:v>102.04618982796798</c:v>
                </c:pt>
                <c:pt idx="173">
                  <c:v>102.03437611390953</c:v>
                </c:pt>
                <c:pt idx="174">
                  <c:v>102.0201044340985</c:v>
                </c:pt>
                <c:pt idx="175">
                  <c:v>101.99160151088108</c:v>
                </c:pt>
                <c:pt idx="176">
                  <c:v>101.96974408234286</c:v>
                </c:pt>
                <c:pt idx="177">
                  <c:v>101.94860499371742</c:v>
                </c:pt>
                <c:pt idx="178">
                  <c:v>101.90137815929562</c:v>
                </c:pt>
                <c:pt idx="179">
                  <c:v>101.88042471630736</c:v>
                </c:pt>
                <c:pt idx="180">
                  <c:v>101.86547107790527</c:v>
                </c:pt>
                <c:pt idx="181">
                  <c:v>101.85547245179499</c:v>
                </c:pt>
                <c:pt idx="182">
                  <c:v>101.84236595514724</c:v>
                </c:pt>
                <c:pt idx="183">
                  <c:v>101.83364690692592</c:v>
                </c:pt>
                <c:pt idx="184">
                  <c:v>101.82512646124724</c:v>
                </c:pt>
                <c:pt idx="185">
                  <c:v>101.81939070554792</c:v>
                </c:pt>
                <c:pt idx="186">
                  <c:v>101.80268063292068</c:v>
                </c:pt>
                <c:pt idx="187">
                  <c:v>101.79071287362545</c:v>
                </c:pt>
                <c:pt idx="188">
                  <c:v>101.78083572027104</c:v>
                </c:pt>
                <c:pt idx="189">
                  <c:v>101.77229081376335</c:v>
                </c:pt>
                <c:pt idx="190">
                  <c:v>101.76643399997829</c:v>
                </c:pt>
                <c:pt idx="191">
                  <c:v>101.76355527788624</c:v>
                </c:pt>
                <c:pt idx="192">
                  <c:v>101.76014224231949</c:v>
                </c:pt>
                <c:pt idx="193">
                  <c:v>101.76266177511989</c:v>
                </c:pt>
                <c:pt idx="194">
                  <c:v>101.76001184942045</c:v>
                </c:pt>
                <c:pt idx="195">
                  <c:v>101.76036919824318</c:v>
                </c:pt>
                <c:pt idx="196">
                  <c:v>101.7619568534388</c:v>
                </c:pt>
                <c:pt idx="197">
                  <c:v>101.75988589645213</c:v>
                </c:pt>
                <c:pt idx="198">
                  <c:v>101.75814321073445</c:v>
                </c:pt>
                <c:pt idx="199">
                  <c:v>101.75806093594592</c:v>
                </c:pt>
                <c:pt idx="200">
                  <c:v>101.75763929286363</c:v>
                </c:pt>
                <c:pt idx="201">
                  <c:v>101.75816226274767</c:v>
                </c:pt>
                <c:pt idx="202">
                  <c:v>101.75572162098516</c:v>
                </c:pt>
                <c:pt idx="203">
                  <c:v>101.75235733495832</c:v>
                </c:pt>
                <c:pt idx="204">
                  <c:v>101.74791241703545</c:v>
                </c:pt>
                <c:pt idx="205">
                  <c:v>101.74094888514185</c:v>
                </c:pt>
                <c:pt idx="206">
                  <c:v>101.72490205142635</c:v>
                </c:pt>
                <c:pt idx="207">
                  <c:v>101.71120577978107</c:v>
                </c:pt>
                <c:pt idx="208">
                  <c:v>101.68904843978852</c:v>
                </c:pt>
                <c:pt idx="209">
                  <c:v>101.6732135861357</c:v>
                </c:pt>
                <c:pt idx="210">
                  <c:v>101.66213497478019</c:v>
                </c:pt>
                <c:pt idx="211">
                  <c:v>101.6389041484037</c:v>
                </c:pt>
                <c:pt idx="212">
                  <c:v>101.61283597600872</c:v>
                </c:pt>
                <c:pt idx="213">
                  <c:v>101.59637403712381</c:v>
                </c:pt>
                <c:pt idx="214">
                  <c:v>101.5830555539391</c:v>
                </c:pt>
                <c:pt idx="215">
                  <c:v>101.57664574805848</c:v>
                </c:pt>
                <c:pt idx="216">
                  <c:v>101.57329564243683</c:v>
                </c:pt>
                <c:pt idx="217">
                  <c:v>101.57108133150371</c:v>
                </c:pt>
                <c:pt idx="218">
                  <c:v>101.57146985632627</c:v>
                </c:pt>
                <c:pt idx="219">
                  <c:v>101.58366074033651</c:v>
                </c:pt>
                <c:pt idx="220">
                  <c:v>101.5897329101966</c:v>
                </c:pt>
                <c:pt idx="221">
                  <c:v>101.5832142132903</c:v>
                </c:pt>
                <c:pt idx="222">
                  <c:v>101.58048009752446</c:v>
                </c:pt>
                <c:pt idx="223">
                  <c:v>101.56881502899267</c:v>
                </c:pt>
                <c:pt idx="224">
                  <c:v>101.53377713500262</c:v>
                </c:pt>
                <c:pt idx="225">
                  <c:v>101.52401569432624</c:v>
                </c:pt>
                <c:pt idx="226">
                  <c:v>101.52093273911559</c:v>
                </c:pt>
                <c:pt idx="227">
                  <c:v>101.51883049506637</c:v>
                </c:pt>
                <c:pt idx="228">
                  <c:v>101.50190056784506</c:v>
                </c:pt>
                <c:pt idx="229">
                  <c:v>101.48038525067258</c:v>
                </c:pt>
                <c:pt idx="230">
                  <c:v>101.46547500636936</c:v>
                </c:pt>
                <c:pt idx="231">
                  <c:v>101.44522763898986</c:v>
                </c:pt>
                <c:pt idx="232">
                  <c:v>101.43085228860451</c:v>
                </c:pt>
                <c:pt idx="233">
                  <c:v>101.41004806741986</c:v>
                </c:pt>
                <c:pt idx="234">
                  <c:v>101.39312995123707</c:v>
                </c:pt>
                <c:pt idx="235">
                  <c:v>101.37482393012132</c:v>
                </c:pt>
                <c:pt idx="236">
                  <c:v>101.36159927385863</c:v>
                </c:pt>
                <c:pt idx="237">
                  <c:v>101.34498271725037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2D-4A03-8B82-1C5E7B4B27C3}"/>
            </c:ext>
          </c:extLst>
        </c:ser>
        <c:ser>
          <c:idx val="2"/>
          <c:order val="2"/>
          <c:tx>
            <c:strRef>
              <c:f>'Stock Price Hist'!$G$1</c:f>
              <c:strCache>
                <c:ptCount val="1"/>
                <c:pt idx="0">
                  <c:v> VWAP + 2 SD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'Stock Price Hist'!$A$2:$A$239</c:f>
              <c:numCache>
                <c:formatCode>m/d/yyyy</c:formatCode>
                <c:ptCount val="238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</c:numCache>
            </c:numRef>
          </c:cat>
          <c:val>
            <c:numRef>
              <c:f>'Stock Price Hist'!$G$2:$G$239</c:f>
              <c:numCache>
                <c:formatCode>_(* #,##0.00_);_(* \(#,##0.00\);_(* "-"??_);_(@_)</c:formatCode>
                <c:ptCount val="238"/>
                <c:pt idx="1">
                  <c:v>89.443845492068363</c:v>
                </c:pt>
                <c:pt idx="2">
                  <c:v>89.774667237587096</c:v>
                </c:pt>
                <c:pt idx="3">
                  <c:v>89.720553280231016</c:v>
                </c:pt>
                <c:pt idx="4">
                  <c:v>89.69217675401201</c:v>
                </c:pt>
                <c:pt idx="5">
                  <c:v>89.604986920449306</c:v>
                </c:pt>
                <c:pt idx="6">
                  <c:v>89.510109554413759</c:v>
                </c:pt>
                <c:pt idx="7">
                  <c:v>89.693730621472511</c:v>
                </c:pt>
                <c:pt idx="8">
                  <c:v>90.229786381375078</c:v>
                </c:pt>
                <c:pt idx="9">
                  <c:v>91.66808424295813</c:v>
                </c:pt>
                <c:pt idx="10">
                  <c:v>93.403481851620143</c:v>
                </c:pt>
                <c:pt idx="11">
                  <c:v>94.169301666085147</c:v>
                </c:pt>
                <c:pt idx="12">
                  <c:v>94.066342962365113</c:v>
                </c:pt>
                <c:pt idx="13">
                  <c:v>93.968551546649479</c:v>
                </c:pt>
                <c:pt idx="14">
                  <c:v>93.873130020779882</c:v>
                </c:pt>
                <c:pt idx="15">
                  <c:v>95.010832880759864</c:v>
                </c:pt>
                <c:pt idx="16">
                  <c:v>95.294120381317711</c:v>
                </c:pt>
                <c:pt idx="17">
                  <c:v>95.346615794442997</c:v>
                </c:pt>
                <c:pt idx="18">
                  <c:v>95.621748953892137</c:v>
                </c:pt>
                <c:pt idx="19">
                  <c:v>96.008975878817097</c:v>
                </c:pt>
                <c:pt idx="20">
                  <c:v>96.591051105176462</c:v>
                </c:pt>
                <c:pt idx="21">
                  <c:v>96.857695503053307</c:v>
                </c:pt>
                <c:pt idx="22">
                  <c:v>97.28380213283738</c:v>
                </c:pt>
                <c:pt idx="23">
                  <c:v>97.493731952582095</c:v>
                </c:pt>
                <c:pt idx="24">
                  <c:v>97.759481065208249</c:v>
                </c:pt>
                <c:pt idx="25">
                  <c:v>98.076856138795364</c:v>
                </c:pt>
                <c:pt idx="26">
                  <c:v>98.388579556812076</c:v>
                </c:pt>
                <c:pt idx="27">
                  <c:v>98.456481225510501</c:v>
                </c:pt>
                <c:pt idx="28">
                  <c:v>98.563459214406208</c:v>
                </c:pt>
                <c:pt idx="29">
                  <c:v>98.591647881511406</c:v>
                </c:pt>
                <c:pt idx="30">
                  <c:v>98.712847706252333</c:v>
                </c:pt>
                <c:pt idx="31">
                  <c:v>98.750199433385106</c:v>
                </c:pt>
                <c:pt idx="32">
                  <c:v>98.847870160423227</c:v>
                </c:pt>
                <c:pt idx="33">
                  <c:v>99.332307628451417</c:v>
                </c:pt>
                <c:pt idx="34">
                  <c:v>99.87770868067561</c:v>
                </c:pt>
                <c:pt idx="35">
                  <c:v>100.59275801993982</c:v>
                </c:pt>
                <c:pt idx="36">
                  <c:v>100.97717845220342</c:v>
                </c:pt>
                <c:pt idx="37">
                  <c:v>101.38956530812504</c:v>
                </c:pt>
                <c:pt idx="38">
                  <c:v>102.10191762686756</c:v>
                </c:pt>
                <c:pt idx="39">
                  <c:v>102.98119078855065</c:v>
                </c:pt>
                <c:pt idx="40">
                  <c:v>103.49955532045388</c:v>
                </c:pt>
                <c:pt idx="41">
                  <c:v>103.83725813726853</c:v>
                </c:pt>
                <c:pt idx="42">
                  <c:v>104.16514823970147</c:v>
                </c:pt>
                <c:pt idx="43">
                  <c:v>104.67695694573912</c:v>
                </c:pt>
                <c:pt idx="44">
                  <c:v>105.55498651104344</c:v>
                </c:pt>
                <c:pt idx="45">
                  <c:v>105.95467557219071</c:v>
                </c:pt>
                <c:pt idx="46">
                  <c:v>106.26663887241219</c:v>
                </c:pt>
                <c:pt idx="47">
                  <c:v>106.65553933461405</c:v>
                </c:pt>
                <c:pt idx="48">
                  <c:v>107.28343825709996</c:v>
                </c:pt>
                <c:pt idx="49">
                  <c:v>107.99750142692093</c:v>
                </c:pt>
                <c:pt idx="50">
                  <c:v>108.61883240355021</c:v>
                </c:pt>
                <c:pt idx="51">
                  <c:v>109.08779076226764</c:v>
                </c:pt>
                <c:pt idx="52">
                  <c:v>109.57556857942157</c:v>
                </c:pt>
                <c:pt idx="53">
                  <c:v>110.13130250305868</c:v>
                </c:pt>
                <c:pt idx="54">
                  <c:v>110.41586424614108</c:v>
                </c:pt>
                <c:pt idx="55">
                  <c:v>110.62792893960547</c:v>
                </c:pt>
                <c:pt idx="56">
                  <c:v>110.91827189652994</c:v>
                </c:pt>
                <c:pt idx="57">
                  <c:v>111.21262786528717</c:v>
                </c:pt>
                <c:pt idx="58">
                  <c:v>111.57857411659761</c:v>
                </c:pt>
                <c:pt idx="59">
                  <c:v>112.0913691928649</c:v>
                </c:pt>
                <c:pt idx="60">
                  <c:v>112.49996278200169</c:v>
                </c:pt>
                <c:pt idx="61">
                  <c:v>112.81760276773613</c:v>
                </c:pt>
                <c:pt idx="62">
                  <c:v>113.49848750470808</c:v>
                </c:pt>
                <c:pt idx="63">
                  <c:v>113.98735772377739</c:v>
                </c:pt>
                <c:pt idx="64">
                  <c:v>114.10325844249049</c:v>
                </c:pt>
                <c:pt idx="65">
                  <c:v>114.18938559802453</c:v>
                </c:pt>
                <c:pt idx="66">
                  <c:v>114.32400503637112</c:v>
                </c:pt>
                <c:pt idx="67">
                  <c:v>114.53191146199323</c:v>
                </c:pt>
                <c:pt idx="68">
                  <c:v>114.7785198966894</c:v>
                </c:pt>
                <c:pt idx="69">
                  <c:v>115.12397749926332</c:v>
                </c:pt>
                <c:pt idx="70">
                  <c:v>115.43319452473611</c:v>
                </c:pt>
                <c:pt idx="71">
                  <c:v>115.69484262920773</c:v>
                </c:pt>
                <c:pt idx="72">
                  <c:v>115.97272857673661</c:v>
                </c:pt>
                <c:pt idx="73">
                  <c:v>116.19108816972545</c:v>
                </c:pt>
                <c:pt idx="74">
                  <c:v>116.49121909245191</c:v>
                </c:pt>
                <c:pt idx="75">
                  <c:v>116.74899756707032</c:v>
                </c:pt>
                <c:pt idx="76">
                  <c:v>116.94861248531197</c:v>
                </c:pt>
                <c:pt idx="77">
                  <c:v>117.11912688585646</c:v>
                </c:pt>
                <c:pt idx="78">
                  <c:v>117.31667955270218</c:v>
                </c:pt>
                <c:pt idx="79">
                  <c:v>117.50759203088455</c:v>
                </c:pt>
                <c:pt idx="80">
                  <c:v>117.85758333176469</c:v>
                </c:pt>
                <c:pt idx="81">
                  <c:v>118.1030839304324</c:v>
                </c:pt>
                <c:pt idx="82">
                  <c:v>118.23243005050108</c:v>
                </c:pt>
                <c:pt idx="83">
                  <c:v>118.32977924259065</c:v>
                </c:pt>
                <c:pt idx="84">
                  <c:v>118.42333393564358</c:v>
                </c:pt>
                <c:pt idx="85">
                  <c:v>118.58072731801322</c:v>
                </c:pt>
                <c:pt idx="86">
                  <c:v>118.61482678729186</c:v>
                </c:pt>
                <c:pt idx="87">
                  <c:v>118.61582206773946</c:v>
                </c:pt>
                <c:pt idx="88">
                  <c:v>118.54281812574285</c:v>
                </c:pt>
                <c:pt idx="89">
                  <c:v>118.42083847793883</c:v>
                </c:pt>
                <c:pt idx="90">
                  <c:v>118.30021275080286</c:v>
                </c:pt>
                <c:pt idx="91">
                  <c:v>118.20664997718015</c:v>
                </c:pt>
                <c:pt idx="92">
                  <c:v>118.14706013339674</c:v>
                </c:pt>
                <c:pt idx="93">
                  <c:v>118.10045786897278</c:v>
                </c:pt>
                <c:pt idx="94">
                  <c:v>118.06151216668107</c:v>
                </c:pt>
                <c:pt idx="95">
                  <c:v>118.01983354798554</c:v>
                </c:pt>
                <c:pt idx="96">
                  <c:v>117.94846962313643</c:v>
                </c:pt>
                <c:pt idx="97">
                  <c:v>117.88592410813436</c:v>
                </c:pt>
                <c:pt idx="98">
                  <c:v>117.82510637208496</c:v>
                </c:pt>
                <c:pt idx="99">
                  <c:v>117.74462282384592</c:v>
                </c:pt>
                <c:pt idx="100">
                  <c:v>117.67819253746427</c:v>
                </c:pt>
                <c:pt idx="101">
                  <c:v>117.65129892607244</c:v>
                </c:pt>
                <c:pt idx="102">
                  <c:v>117.59067228599956</c:v>
                </c:pt>
                <c:pt idx="103">
                  <c:v>117.52393946668005</c:v>
                </c:pt>
                <c:pt idx="104">
                  <c:v>117.44950975748353</c:v>
                </c:pt>
                <c:pt idx="105">
                  <c:v>117.37531877063539</c:v>
                </c:pt>
                <c:pt idx="106">
                  <c:v>117.3003107206704</c:v>
                </c:pt>
                <c:pt idx="107">
                  <c:v>117.22416759891328</c:v>
                </c:pt>
                <c:pt idx="108">
                  <c:v>117.15470046749385</c:v>
                </c:pt>
                <c:pt idx="109">
                  <c:v>117.08737766023293</c:v>
                </c:pt>
                <c:pt idx="110">
                  <c:v>117.03148670128884</c:v>
                </c:pt>
                <c:pt idx="111">
                  <c:v>116.98419517158784</c:v>
                </c:pt>
                <c:pt idx="112">
                  <c:v>116.91160207453544</c:v>
                </c:pt>
                <c:pt idx="113">
                  <c:v>116.83767881503114</c:v>
                </c:pt>
                <c:pt idx="114">
                  <c:v>116.76242104278215</c:v>
                </c:pt>
                <c:pt idx="115">
                  <c:v>116.66490066669695</c:v>
                </c:pt>
                <c:pt idx="116">
                  <c:v>116.58830251075388</c:v>
                </c:pt>
                <c:pt idx="117">
                  <c:v>116.51218146196412</c:v>
                </c:pt>
                <c:pt idx="118">
                  <c:v>116.41541091655499</c:v>
                </c:pt>
                <c:pt idx="119">
                  <c:v>116.34187036496117</c:v>
                </c:pt>
                <c:pt idx="120">
                  <c:v>116.26673546787789</c:v>
                </c:pt>
                <c:pt idx="121">
                  <c:v>116.19549576295469</c:v>
                </c:pt>
                <c:pt idx="122">
                  <c:v>116.12805356148638</c:v>
                </c:pt>
                <c:pt idx="123">
                  <c:v>116.06005646546447</c:v>
                </c:pt>
                <c:pt idx="124">
                  <c:v>116.00056372562018</c:v>
                </c:pt>
                <c:pt idx="125">
                  <c:v>115.93871301286484</c:v>
                </c:pt>
                <c:pt idx="126">
                  <c:v>115.86397525540403</c:v>
                </c:pt>
                <c:pt idx="127">
                  <c:v>115.79717725588429</c:v>
                </c:pt>
                <c:pt idx="128">
                  <c:v>115.73900644276925</c:v>
                </c:pt>
                <c:pt idx="129">
                  <c:v>115.68029888753833</c:v>
                </c:pt>
                <c:pt idx="130">
                  <c:v>115.62479293910958</c:v>
                </c:pt>
                <c:pt idx="131">
                  <c:v>115.5673350699669</c:v>
                </c:pt>
                <c:pt idx="132">
                  <c:v>115.5101947631731</c:v>
                </c:pt>
                <c:pt idx="133">
                  <c:v>115.45273844853138</c:v>
                </c:pt>
                <c:pt idx="134">
                  <c:v>115.39847671409048</c:v>
                </c:pt>
                <c:pt idx="135">
                  <c:v>115.34893001177549</c:v>
                </c:pt>
                <c:pt idx="136">
                  <c:v>115.30980030999085</c:v>
                </c:pt>
                <c:pt idx="137">
                  <c:v>115.26446031275832</c:v>
                </c:pt>
                <c:pt idx="138">
                  <c:v>115.21589896762437</c:v>
                </c:pt>
                <c:pt idx="139">
                  <c:v>115.1693624489734</c:v>
                </c:pt>
                <c:pt idx="140">
                  <c:v>115.11753987804684</c:v>
                </c:pt>
                <c:pt idx="141">
                  <c:v>115.07193994036433</c:v>
                </c:pt>
                <c:pt idx="142">
                  <c:v>115.02859206033894</c:v>
                </c:pt>
                <c:pt idx="143">
                  <c:v>114.99749619957834</c:v>
                </c:pt>
                <c:pt idx="144">
                  <c:v>114.97252997456157</c:v>
                </c:pt>
                <c:pt idx="145">
                  <c:v>114.95942275341956</c:v>
                </c:pt>
                <c:pt idx="146">
                  <c:v>114.93303727233859</c:v>
                </c:pt>
                <c:pt idx="147">
                  <c:v>114.90417773371031</c:v>
                </c:pt>
                <c:pt idx="148">
                  <c:v>114.88823224757371</c:v>
                </c:pt>
                <c:pt idx="149">
                  <c:v>114.86712852215598</c:v>
                </c:pt>
                <c:pt idx="150">
                  <c:v>114.8400903599666</c:v>
                </c:pt>
                <c:pt idx="151">
                  <c:v>114.80981288941335</c:v>
                </c:pt>
                <c:pt idx="152">
                  <c:v>114.77995094139789</c:v>
                </c:pt>
                <c:pt idx="153">
                  <c:v>114.74250586405412</c:v>
                </c:pt>
                <c:pt idx="154">
                  <c:v>114.69223398404955</c:v>
                </c:pt>
                <c:pt idx="155">
                  <c:v>114.64078069278813</c:v>
                </c:pt>
                <c:pt idx="156">
                  <c:v>114.59070670468745</c:v>
                </c:pt>
                <c:pt idx="157">
                  <c:v>114.54735974818212</c:v>
                </c:pt>
                <c:pt idx="158">
                  <c:v>114.50454731237518</c:v>
                </c:pt>
                <c:pt idx="159">
                  <c:v>114.46204487985439</c:v>
                </c:pt>
                <c:pt idx="160">
                  <c:v>114.41499749972967</c:v>
                </c:pt>
                <c:pt idx="161">
                  <c:v>114.3633889546529</c:v>
                </c:pt>
                <c:pt idx="162">
                  <c:v>114.30844112123199</c:v>
                </c:pt>
                <c:pt idx="163">
                  <c:v>114.2644196184926</c:v>
                </c:pt>
                <c:pt idx="164">
                  <c:v>114.20454630942808</c:v>
                </c:pt>
                <c:pt idx="165">
                  <c:v>114.15775195787865</c:v>
                </c:pt>
                <c:pt idx="166">
                  <c:v>114.09783054418682</c:v>
                </c:pt>
                <c:pt idx="167">
                  <c:v>114.05964958811629</c:v>
                </c:pt>
                <c:pt idx="168">
                  <c:v>114.02345229471017</c:v>
                </c:pt>
                <c:pt idx="169">
                  <c:v>113.98929744300187</c:v>
                </c:pt>
                <c:pt idx="170">
                  <c:v>113.96325333830062</c:v>
                </c:pt>
                <c:pt idx="171">
                  <c:v>113.93310266172269</c:v>
                </c:pt>
                <c:pt idx="172">
                  <c:v>113.89899591451498</c:v>
                </c:pt>
                <c:pt idx="173">
                  <c:v>113.86981498178159</c:v>
                </c:pt>
                <c:pt idx="174">
                  <c:v>113.84286506626547</c:v>
                </c:pt>
                <c:pt idx="175">
                  <c:v>113.81639456197922</c:v>
                </c:pt>
                <c:pt idx="176">
                  <c:v>113.78717254999538</c:v>
                </c:pt>
                <c:pt idx="177">
                  <c:v>113.7589521711169</c:v>
                </c:pt>
                <c:pt idx="178">
                  <c:v>113.70462525995138</c:v>
                </c:pt>
                <c:pt idx="179">
                  <c:v>113.67358499559892</c:v>
                </c:pt>
                <c:pt idx="180">
                  <c:v>113.63413114413416</c:v>
                </c:pt>
                <c:pt idx="181">
                  <c:v>113.59838626271983</c:v>
                </c:pt>
                <c:pt idx="182">
                  <c:v>113.562185342856</c:v>
                </c:pt>
                <c:pt idx="183">
                  <c:v>113.52460086114648</c:v>
                </c:pt>
                <c:pt idx="184">
                  <c:v>113.48759730901233</c:v>
                </c:pt>
                <c:pt idx="185">
                  <c:v>113.4511063240698</c:v>
                </c:pt>
                <c:pt idx="186">
                  <c:v>113.41299875845118</c:v>
                </c:pt>
                <c:pt idx="187">
                  <c:v>113.38314999130932</c:v>
                </c:pt>
                <c:pt idx="188">
                  <c:v>113.34859574945393</c:v>
                </c:pt>
                <c:pt idx="189">
                  <c:v>113.31330975134057</c:v>
                </c:pt>
                <c:pt idx="190">
                  <c:v>113.27869299171675</c:v>
                </c:pt>
                <c:pt idx="191">
                  <c:v>113.24591260551291</c:v>
                </c:pt>
                <c:pt idx="192">
                  <c:v>113.21286022074122</c:v>
                </c:pt>
                <c:pt idx="193">
                  <c:v>113.18660180009115</c:v>
                </c:pt>
                <c:pt idx="194">
                  <c:v>113.15471374260177</c:v>
                </c:pt>
                <c:pt idx="195">
                  <c:v>113.12605265133278</c:v>
                </c:pt>
                <c:pt idx="196">
                  <c:v>113.09935136663589</c:v>
                </c:pt>
                <c:pt idx="197">
                  <c:v>113.06855687389279</c:v>
                </c:pt>
                <c:pt idx="198">
                  <c:v>113.03825384917371</c:v>
                </c:pt>
                <c:pt idx="199">
                  <c:v>113.00989563212551</c:v>
                </c:pt>
                <c:pt idx="200">
                  <c:v>112.98133681682839</c:v>
                </c:pt>
                <c:pt idx="201">
                  <c:v>112.95417848558807</c:v>
                </c:pt>
                <c:pt idx="202">
                  <c:v>112.92432635163605</c:v>
                </c:pt>
                <c:pt idx="203">
                  <c:v>112.89500851331471</c:v>
                </c:pt>
                <c:pt idx="204">
                  <c:v>112.86439523508102</c:v>
                </c:pt>
                <c:pt idx="205">
                  <c:v>112.83725377129429</c:v>
                </c:pt>
                <c:pt idx="206">
                  <c:v>112.81080631985266</c:v>
                </c:pt>
                <c:pt idx="207">
                  <c:v>112.77890723809752</c:v>
                </c:pt>
                <c:pt idx="208">
                  <c:v>112.74336753866505</c:v>
                </c:pt>
                <c:pt idx="209">
                  <c:v>112.71981823290017</c:v>
                </c:pt>
                <c:pt idx="210">
                  <c:v>112.69188838841578</c:v>
                </c:pt>
                <c:pt idx="211">
                  <c:v>112.66525092188657</c:v>
                </c:pt>
                <c:pt idx="212">
                  <c:v>112.62855966990691</c:v>
                </c:pt>
                <c:pt idx="213">
                  <c:v>112.59241059178152</c:v>
                </c:pt>
                <c:pt idx="214">
                  <c:v>112.56083882223895</c:v>
                </c:pt>
                <c:pt idx="215">
                  <c:v>112.531045695497</c:v>
                </c:pt>
                <c:pt idx="216">
                  <c:v>112.50314705744968</c:v>
                </c:pt>
                <c:pt idx="217">
                  <c:v>112.47576513230699</c:v>
                </c:pt>
                <c:pt idx="218">
                  <c:v>112.45130645614978</c:v>
                </c:pt>
                <c:pt idx="219">
                  <c:v>112.44458193013017</c:v>
                </c:pt>
                <c:pt idx="220">
                  <c:v>112.42839618439098</c:v>
                </c:pt>
                <c:pt idx="221">
                  <c:v>112.39789267798491</c:v>
                </c:pt>
                <c:pt idx="222">
                  <c:v>112.37082552283159</c:v>
                </c:pt>
                <c:pt idx="223">
                  <c:v>112.3358342307212</c:v>
                </c:pt>
                <c:pt idx="224">
                  <c:v>112.28101360370869</c:v>
                </c:pt>
                <c:pt idx="225">
                  <c:v>112.25183702695196</c:v>
                </c:pt>
                <c:pt idx="226">
                  <c:v>112.22587285002044</c:v>
                </c:pt>
                <c:pt idx="227">
                  <c:v>112.20070287143504</c:v>
                </c:pt>
                <c:pt idx="228">
                  <c:v>112.16916318311129</c:v>
                </c:pt>
                <c:pt idx="229">
                  <c:v>112.13929389106418</c:v>
                </c:pt>
                <c:pt idx="230">
                  <c:v>112.11902046563435</c:v>
                </c:pt>
                <c:pt idx="231">
                  <c:v>112.09507962553987</c:v>
                </c:pt>
                <c:pt idx="232">
                  <c:v>112.07400688515945</c:v>
                </c:pt>
                <c:pt idx="233">
                  <c:v>112.05574355526568</c:v>
                </c:pt>
                <c:pt idx="234">
                  <c:v>112.03792708125611</c:v>
                </c:pt>
                <c:pt idx="235">
                  <c:v>112.02207777847863</c:v>
                </c:pt>
                <c:pt idx="236">
                  <c:v>112.00908105716421</c:v>
                </c:pt>
                <c:pt idx="237">
                  <c:v>111.97938269267385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2D-4A03-8B82-1C5E7B4B27C3}"/>
            </c:ext>
          </c:extLst>
        </c:ser>
        <c:ser>
          <c:idx val="3"/>
          <c:order val="3"/>
          <c:tx>
            <c:strRef>
              <c:f>'Stock Price Hist'!$H$1</c:f>
              <c:strCache>
                <c:ptCount val="1"/>
                <c:pt idx="0">
                  <c:v> VWAP – 2 SD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'Stock Price Hist'!$A$2:$A$239</c:f>
              <c:numCache>
                <c:formatCode>m/d/yyyy</c:formatCode>
                <c:ptCount val="238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</c:numCache>
            </c:numRef>
          </c:cat>
          <c:val>
            <c:numRef>
              <c:f>'Stock Price Hist'!$H$2:$H$239</c:f>
              <c:numCache>
                <c:formatCode>_(* #,##0.00_);_(* \(#,##0.00\);_(* "-"??_);_(@_)</c:formatCode>
                <c:ptCount val="238"/>
                <c:pt idx="1">
                  <c:v>88.849875795871668</c:v>
                </c:pt>
                <c:pt idx="2">
                  <c:v>87.95873772353653</c:v>
                </c:pt>
                <c:pt idx="3">
                  <c:v>87.419249302048215</c:v>
                </c:pt>
                <c:pt idx="4">
                  <c:v>87.603157845528884</c:v>
                </c:pt>
                <c:pt idx="5">
                  <c:v>87.51016791474342</c:v>
                </c:pt>
                <c:pt idx="6">
                  <c:v>87.581932522430805</c:v>
                </c:pt>
                <c:pt idx="7">
                  <c:v>87.609997707411097</c:v>
                </c:pt>
                <c:pt idx="8">
                  <c:v>87.413113797554871</c:v>
                </c:pt>
                <c:pt idx="9">
                  <c:v>86.672034247656299</c:v>
                </c:pt>
                <c:pt idx="10">
                  <c:v>86.251439549528442</c:v>
                </c:pt>
                <c:pt idx="11">
                  <c:v>86.184604939334548</c:v>
                </c:pt>
                <c:pt idx="12">
                  <c:v>86.362614927119736</c:v>
                </c:pt>
                <c:pt idx="13">
                  <c:v>86.520041702318281</c:v>
                </c:pt>
                <c:pt idx="14">
                  <c:v>86.671825377076175</c:v>
                </c:pt>
                <c:pt idx="15">
                  <c:v>86.548288346165094</c:v>
                </c:pt>
                <c:pt idx="16">
                  <c:v>86.593264439650412</c:v>
                </c:pt>
                <c:pt idx="17">
                  <c:v>86.693490627002134</c:v>
                </c:pt>
                <c:pt idx="18">
                  <c:v>86.715292921084966</c:v>
                </c:pt>
                <c:pt idx="19">
                  <c:v>86.958034433164528</c:v>
                </c:pt>
                <c:pt idx="20">
                  <c:v>86.882713206138106</c:v>
                </c:pt>
                <c:pt idx="21">
                  <c:v>86.86836370440183</c:v>
                </c:pt>
                <c:pt idx="22">
                  <c:v>86.727427141182957</c:v>
                </c:pt>
                <c:pt idx="23">
                  <c:v>86.702883575570581</c:v>
                </c:pt>
                <c:pt idx="24">
                  <c:v>86.638947504867431</c:v>
                </c:pt>
                <c:pt idx="25">
                  <c:v>86.551273196755233</c:v>
                </c:pt>
                <c:pt idx="26">
                  <c:v>86.63009989851254</c:v>
                </c:pt>
                <c:pt idx="27">
                  <c:v>86.785332607961763</c:v>
                </c:pt>
                <c:pt idx="28">
                  <c:v>86.839250417170376</c:v>
                </c:pt>
                <c:pt idx="29">
                  <c:v>86.930754281952673</c:v>
                </c:pt>
                <c:pt idx="30">
                  <c:v>87.015518831859723</c:v>
                </c:pt>
                <c:pt idx="31">
                  <c:v>87.094286978270745</c:v>
                </c:pt>
                <c:pt idx="32">
                  <c:v>87.181440725605754</c:v>
                </c:pt>
                <c:pt idx="33">
                  <c:v>87.250708827381345</c:v>
                </c:pt>
                <c:pt idx="34">
                  <c:v>87.139584813171993</c:v>
                </c:pt>
                <c:pt idx="35">
                  <c:v>87.00131832372395</c:v>
                </c:pt>
                <c:pt idx="36">
                  <c:v>86.894162548749478</c:v>
                </c:pt>
                <c:pt idx="37">
                  <c:v>86.897304990843935</c:v>
                </c:pt>
                <c:pt idx="38">
                  <c:v>86.954693031072281</c:v>
                </c:pt>
                <c:pt idx="39">
                  <c:v>86.722823128346917</c:v>
                </c:pt>
                <c:pt idx="40">
                  <c:v>86.690545831492301</c:v>
                </c:pt>
                <c:pt idx="41">
                  <c:v>86.849036789049805</c:v>
                </c:pt>
                <c:pt idx="42">
                  <c:v>86.932190143664769</c:v>
                </c:pt>
                <c:pt idx="43">
                  <c:v>86.804983776915648</c:v>
                </c:pt>
                <c:pt idx="44">
                  <c:v>86.538139625859088</c:v>
                </c:pt>
                <c:pt idx="45">
                  <c:v>86.471216842848762</c:v>
                </c:pt>
                <c:pt idx="46">
                  <c:v>86.527494912875369</c:v>
                </c:pt>
                <c:pt idx="47">
                  <c:v>86.432780720679943</c:v>
                </c:pt>
                <c:pt idx="48">
                  <c:v>86.350397063679395</c:v>
                </c:pt>
                <c:pt idx="49">
                  <c:v>86.240264672597704</c:v>
                </c:pt>
                <c:pt idx="50">
                  <c:v>86.105670177604139</c:v>
                </c:pt>
                <c:pt idx="51">
                  <c:v>85.954494614754054</c:v>
                </c:pt>
                <c:pt idx="52">
                  <c:v>85.747352060610439</c:v>
                </c:pt>
                <c:pt idx="53">
                  <c:v>85.778691902820768</c:v>
                </c:pt>
                <c:pt idx="54">
                  <c:v>85.712313008089424</c:v>
                </c:pt>
                <c:pt idx="55">
                  <c:v>85.74290719935</c:v>
                </c:pt>
                <c:pt idx="56">
                  <c:v>85.677327338025123</c:v>
                </c:pt>
                <c:pt idx="57">
                  <c:v>85.604871516107352</c:v>
                </c:pt>
                <c:pt idx="58">
                  <c:v>85.542834134800174</c:v>
                </c:pt>
                <c:pt idx="59">
                  <c:v>85.453186631558452</c:v>
                </c:pt>
                <c:pt idx="60">
                  <c:v>85.380458700264796</c:v>
                </c:pt>
                <c:pt idx="61">
                  <c:v>85.314228071671465</c:v>
                </c:pt>
                <c:pt idx="62">
                  <c:v>85.28587796172566</c:v>
                </c:pt>
                <c:pt idx="63">
                  <c:v>85.498093608302781</c:v>
                </c:pt>
                <c:pt idx="64">
                  <c:v>85.650839767419328</c:v>
                </c:pt>
                <c:pt idx="65">
                  <c:v>85.740695041065777</c:v>
                </c:pt>
                <c:pt idx="66">
                  <c:v>85.901387839143865</c:v>
                </c:pt>
                <c:pt idx="67">
                  <c:v>85.975298903643008</c:v>
                </c:pt>
                <c:pt idx="68">
                  <c:v>85.980677053350121</c:v>
                </c:pt>
                <c:pt idx="69">
                  <c:v>85.886852881739443</c:v>
                </c:pt>
                <c:pt idx="70">
                  <c:v>85.834671498884433</c:v>
                </c:pt>
                <c:pt idx="71">
                  <c:v>85.797110545911352</c:v>
                </c:pt>
                <c:pt idx="72">
                  <c:v>85.74384345190262</c:v>
                </c:pt>
                <c:pt idx="73">
                  <c:v>85.749906958847419</c:v>
                </c:pt>
                <c:pt idx="74">
                  <c:v>85.663115877693158</c:v>
                </c:pt>
                <c:pt idx="75">
                  <c:v>85.629697777897348</c:v>
                </c:pt>
                <c:pt idx="76">
                  <c:v>85.653092379808726</c:v>
                </c:pt>
                <c:pt idx="77">
                  <c:v>85.717999210022597</c:v>
                </c:pt>
                <c:pt idx="78">
                  <c:v>85.77729355569069</c:v>
                </c:pt>
                <c:pt idx="79">
                  <c:v>85.775241664943565</c:v>
                </c:pt>
                <c:pt idx="80">
                  <c:v>85.904325193055058</c:v>
                </c:pt>
                <c:pt idx="81">
                  <c:v>85.958936278884636</c:v>
                </c:pt>
                <c:pt idx="82">
                  <c:v>86.061722684022584</c:v>
                </c:pt>
                <c:pt idx="83">
                  <c:v>86.163326228873885</c:v>
                </c:pt>
                <c:pt idx="84">
                  <c:v>86.218869071297846</c:v>
                </c:pt>
                <c:pt idx="85">
                  <c:v>86.314735069839074</c:v>
                </c:pt>
                <c:pt idx="86">
                  <c:v>86.436539361410155</c:v>
                </c:pt>
                <c:pt idx="87">
                  <c:v>86.528022402503439</c:v>
                </c:pt>
                <c:pt idx="88">
                  <c:v>86.630823941276446</c:v>
                </c:pt>
                <c:pt idx="89">
                  <c:v>86.683159299233338</c:v>
                </c:pt>
                <c:pt idx="90">
                  <c:v>86.719163673771547</c:v>
                </c:pt>
                <c:pt idx="91">
                  <c:v>86.799585924137631</c:v>
                </c:pt>
                <c:pt idx="92">
                  <c:v>86.895863648775048</c:v>
                </c:pt>
                <c:pt idx="93">
                  <c:v>86.985701570988439</c:v>
                </c:pt>
                <c:pt idx="94">
                  <c:v>87.075176865314205</c:v>
                </c:pt>
                <c:pt idx="95">
                  <c:v>87.169589908241306</c:v>
                </c:pt>
                <c:pt idx="96">
                  <c:v>87.254409399867015</c:v>
                </c:pt>
                <c:pt idx="97">
                  <c:v>87.339599668067734</c:v>
                </c:pt>
                <c:pt idx="98">
                  <c:v>87.425753483747272</c:v>
                </c:pt>
                <c:pt idx="99">
                  <c:v>87.499191383876351</c:v>
                </c:pt>
                <c:pt idx="100">
                  <c:v>87.580195204001228</c:v>
                </c:pt>
                <c:pt idx="101">
                  <c:v>87.688130095139499</c:v>
                </c:pt>
                <c:pt idx="102">
                  <c:v>87.767183908314834</c:v>
                </c:pt>
                <c:pt idx="103">
                  <c:v>87.842627238381823</c:v>
                </c:pt>
                <c:pt idx="104">
                  <c:v>87.911238973987736</c:v>
                </c:pt>
                <c:pt idx="105">
                  <c:v>87.978023683864436</c:v>
                </c:pt>
                <c:pt idx="106">
                  <c:v>88.041168068454382</c:v>
                </c:pt>
                <c:pt idx="107">
                  <c:v>88.099164978495878</c:v>
                </c:pt>
                <c:pt idx="108">
                  <c:v>88.164714283525882</c:v>
                </c:pt>
                <c:pt idx="109">
                  <c:v>88.230317653014282</c:v>
                </c:pt>
                <c:pt idx="110">
                  <c:v>88.299588563826873</c:v>
                </c:pt>
                <c:pt idx="111">
                  <c:v>88.37417969923645</c:v>
                </c:pt>
                <c:pt idx="112">
                  <c:v>88.428775474544381</c:v>
                </c:pt>
                <c:pt idx="113">
                  <c:v>88.479376396357807</c:v>
                </c:pt>
                <c:pt idx="114">
                  <c:v>88.523504366102358</c:v>
                </c:pt>
                <c:pt idx="115">
                  <c:v>88.545442509106834</c:v>
                </c:pt>
                <c:pt idx="116">
                  <c:v>88.587775687365919</c:v>
                </c:pt>
                <c:pt idx="117">
                  <c:v>88.622133841873804</c:v>
                </c:pt>
                <c:pt idx="118">
                  <c:v>88.603258186982444</c:v>
                </c:pt>
                <c:pt idx="119">
                  <c:v>88.613902342687012</c:v>
                </c:pt>
                <c:pt idx="120">
                  <c:v>88.617616533430109</c:v>
                </c:pt>
                <c:pt idx="121">
                  <c:v>88.654018155369727</c:v>
                </c:pt>
                <c:pt idx="122">
                  <c:v>88.6959665542187</c:v>
                </c:pt>
                <c:pt idx="123">
                  <c:v>88.729279753524082</c:v>
                </c:pt>
                <c:pt idx="124">
                  <c:v>88.773461963802291</c:v>
                </c:pt>
                <c:pt idx="125">
                  <c:v>88.808556259533731</c:v>
                </c:pt>
                <c:pt idx="126">
                  <c:v>88.825163919933033</c:v>
                </c:pt>
                <c:pt idx="127">
                  <c:v>88.855911721713909</c:v>
                </c:pt>
                <c:pt idx="128">
                  <c:v>88.9014506673265</c:v>
                </c:pt>
                <c:pt idx="129">
                  <c:v>88.942833983751797</c:v>
                </c:pt>
                <c:pt idx="130">
                  <c:v>88.988465609257631</c:v>
                </c:pt>
                <c:pt idx="131">
                  <c:v>89.024070301724464</c:v>
                </c:pt>
                <c:pt idx="132">
                  <c:v>89.062961176065585</c:v>
                </c:pt>
                <c:pt idx="133">
                  <c:v>89.101364827657662</c:v>
                </c:pt>
                <c:pt idx="134">
                  <c:v>89.144177794841212</c:v>
                </c:pt>
                <c:pt idx="135">
                  <c:v>89.191961416385524</c:v>
                </c:pt>
                <c:pt idx="136">
                  <c:v>89.24256962167577</c:v>
                </c:pt>
                <c:pt idx="137">
                  <c:v>89.291554313246976</c:v>
                </c:pt>
                <c:pt idx="138">
                  <c:v>89.337212123413522</c:v>
                </c:pt>
                <c:pt idx="139">
                  <c:v>89.383631528644997</c:v>
                </c:pt>
                <c:pt idx="140">
                  <c:v>89.422220620786703</c:v>
                </c:pt>
                <c:pt idx="141">
                  <c:v>89.467627809780709</c:v>
                </c:pt>
                <c:pt idx="142">
                  <c:v>89.513521286382215</c:v>
                </c:pt>
                <c:pt idx="143">
                  <c:v>89.566167688225079</c:v>
                </c:pt>
                <c:pt idx="144">
                  <c:v>89.615685264703714</c:v>
                </c:pt>
                <c:pt idx="145">
                  <c:v>89.664573887312699</c:v>
                </c:pt>
                <c:pt idx="146">
                  <c:v>89.714202678629874</c:v>
                </c:pt>
                <c:pt idx="147">
                  <c:v>89.76097728560363</c:v>
                </c:pt>
                <c:pt idx="148">
                  <c:v>89.810547904991068</c:v>
                </c:pt>
                <c:pt idx="149">
                  <c:v>89.860591282906199</c:v>
                </c:pt>
                <c:pt idx="150">
                  <c:v>89.907621219343483</c:v>
                </c:pt>
                <c:pt idx="151">
                  <c:v>89.954188643082304</c:v>
                </c:pt>
                <c:pt idx="152">
                  <c:v>90.000677433144347</c:v>
                </c:pt>
                <c:pt idx="153">
                  <c:v>90.042961395527584</c:v>
                </c:pt>
                <c:pt idx="154">
                  <c:v>90.069553386023159</c:v>
                </c:pt>
                <c:pt idx="155">
                  <c:v>90.086543759056127</c:v>
                </c:pt>
                <c:pt idx="156">
                  <c:v>90.11348874486302</c:v>
                </c:pt>
                <c:pt idx="157">
                  <c:v>90.148072700866209</c:v>
                </c:pt>
                <c:pt idx="158">
                  <c:v>90.182027644777961</c:v>
                </c:pt>
                <c:pt idx="159">
                  <c:v>90.215848296840832</c:v>
                </c:pt>
                <c:pt idx="160">
                  <c:v>90.23589501650234</c:v>
                </c:pt>
                <c:pt idx="161">
                  <c:v>90.248793710367309</c:v>
                </c:pt>
                <c:pt idx="162">
                  <c:v>90.260852325673852</c:v>
                </c:pt>
                <c:pt idx="163">
                  <c:v>90.261196217819432</c:v>
                </c:pt>
                <c:pt idx="164">
                  <c:v>90.246496147355913</c:v>
                </c:pt>
                <c:pt idx="165">
                  <c:v>90.227239768319919</c:v>
                </c:pt>
                <c:pt idx="166">
                  <c:v>90.206508722058942</c:v>
                </c:pt>
                <c:pt idx="167">
                  <c:v>90.206693127593127</c:v>
                </c:pt>
                <c:pt idx="168">
                  <c:v>90.212764953289437</c:v>
                </c:pt>
                <c:pt idx="169">
                  <c:v>90.195944106108158</c:v>
                </c:pt>
                <c:pt idx="170">
                  <c:v>90.194140761686853</c:v>
                </c:pt>
                <c:pt idx="171">
                  <c:v>90.190360831072994</c:v>
                </c:pt>
                <c:pt idx="172">
                  <c:v>90.193383741420973</c:v>
                </c:pt>
                <c:pt idx="173">
                  <c:v>90.198937246037474</c:v>
                </c:pt>
                <c:pt idx="174">
                  <c:v>90.197343801931524</c:v>
                </c:pt>
                <c:pt idx="175">
                  <c:v>90.166808459782942</c:v>
                </c:pt>
                <c:pt idx="176">
                  <c:v>90.152315614690337</c:v>
                </c:pt>
                <c:pt idx="177">
                  <c:v>90.138257816317946</c:v>
                </c:pt>
                <c:pt idx="178">
                  <c:v>90.098131058639851</c:v>
                </c:pt>
                <c:pt idx="179">
                  <c:v>90.087264437015804</c:v>
                </c:pt>
                <c:pt idx="180">
                  <c:v>90.09681101167638</c:v>
                </c:pt>
                <c:pt idx="181">
                  <c:v>90.112558640870162</c:v>
                </c:pt>
                <c:pt idx="182">
                  <c:v>90.122546567438491</c:v>
                </c:pt>
                <c:pt idx="183">
                  <c:v>90.14269295270536</c:v>
                </c:pt>
                <c:pt idx="184">
                  <c:v>90.162655613482144</c:v>
                </c:pt>
                <c:pt idx="185">
                  <c:v>90.187675087026037</c:v>
                </c:pt>
                <c:pt idx="186">
                  <c:v>90.192362507390186</c:v>
                </c:pt>
                <c:pt idx="187">
                  <c:v>90.19827575594158</c:v>
                </c:pt>
                <c:pt idx="188">
                  <c:v>90.21307569108815</c:v>
                </c:pt>
                <c:pt idx="189">
                  <c:v>90.231271876186128</c:v>
                </c:pt>
                <c:pt idx="190">
                  <c:v>90.254175008239827</c:v>
                </c:pt>
                <c:pt idx="191">
                  <c:v>90.281197950259568</c:v>
                </c:pt>
                <c:pt idx="192">
                  <c:v>90.307424263897758</c:v>
                </c:pt>
                <c:pt idx="193">
                  <c:v>90.338721750148636</c:v>
                </c:pt>
                <c:pt idx="194">
                  <c:v>90.36530995623913</c:v>
                </c:pt>
                <c:pt idx="195">
                  <c:v>90.394685745153581</c:v>
                </c:pt>
                <c:pt idx="196">
                  <c:v>90.424562340241721</c:v>
                </c:pt>
                <c:pt idx="197">
                  <c:v>90.451214919011477</c:v>
                </c:pt>
                <c:pt idx="198">
                  <c:v>90.478032572295177</c:v>
                </c:pt>
                <c:pt idx="199">
                  <c:v>90.506226239766335</c:v>
                </c:pt>
                <c:pt idx="200">
                  <c:v>90.53394176889887</c:v>
                </c:pt>
                <c:pt idx="201">
                  <c:v>90.562146039907276</c:v>
                </c:pt>
                <c:pt idx="202">
                  <c:v>90.587116890334258</c:v>
                </c:pt>
                <c:pt idx="203">
                  <c:v>90.609706156601931</c:v>
                </c:pt>
                <c:pt idx="204">
                  <c:v>90.631429598989882</c:v>
                </c:pt>
                <c:pt idx="205">
                  <c:v>90.644643998989409</c:v>
                </c:pt>
                <c:pt idx="206">
                  <c:v>90.63899778300005</c:v>
                </c:pt>
                <c:pt idx="207">
                  <c:v>90.643504321464619</c:v>
                </c:pt>
                <c:pt idx="208">
                  <c:v>90.634729340911989</c:v>
                </c:pt>
                <c:pt idx="209">
                  <c:v>90.626608939371238</c:v>
                </c:pt>
                <c:pt idx="210">
                  <c:v>90.632381561144598</c:v>
                </c:pt>
                <c:pt idx="211">
                  <c:v>90.612557374920826</c:v>
                </c:pt>
                <c:pt idx="212">
                  <c:v>90.597112282110544</c:v>
                </c:pt>
                <c:pt idx="213">
                  <c:v>90.600337482466102</c:v>
                </c:pt>
                <c:pt idx="214">
                  <c:v>90.605272285639259</c:v>
                </c:pt>
                <c:pt idx="215">
                  <c:v>90.622245800619964</c:v>
                </c:pt>
                <c:pt idx="216">
                  <c:v>90.643444227423984</c:v>
                </c:pt>
                <c:pt idx="217">
                  <c:v>90.666397530700422</c:v>
                </c:pt>
                <c:pt idx="218">
                  <c:v>90.691633256502769</c:v>
                </c:pt>
                <c:pt idx="219">
                  <c:v>90.722739550542855</c:v>
                </c:pt>
                <c:pt idx="220">
                  <c:v>90.751069636002228</c:v>
                </c:pt>
                <c:pt idx="221">
                  <c:v>90.768535748595696</c:v>
                </c:pt>
                <c:pt idx="222">
                  <c:v>90.79013467221732</c:v>
                </c:pt>
                <c:pt idx="223">
                  <c:v>90.801795827264144</c:v>
                </c:pt>
                <c:pt idx="224">
                  <c:v>90.78654066629656</c:v>
                </c:pt>
                <c:pt idx="225">
                  <c:v>90.796194361700515</c:v>
                </c:pt>
                <c:pt idx="226">
                  <c:v>90.815992628210751</c:v>
                </c:pt>
                <c:pt idx="227">
                  <c:v>90.836958118697694</c:v>
                </c:pt>
                <c:pt idx="228">
                  <c:v>90.834637952578817</c:v>
                </c:pt>
                <c:pt idx="229">
                  <c:v>90.821476610280982</c:v>
                </c:pt>
                <c:pt idx="230">
                  <c:v>90.81192954710437</c:v>
                </c:pt>
                <c:pt idx="231">
                  <c:v>90.795375652439859</c:v>
                </c:pt>
                <c:pt idx="232">
                  <c:v>90.787697692049576</c:v>
                </c:pt>
                <c:pt idx="233">
                  <c:v>90.764352579574052</c:v>
                </c:pt>
                <c:pt idx="234">
                  <c:v>90.748332821218028</c:v>
                </c:pt>
                <c:pt idx="235">
                  <c:v>90.727570081764014</c:v>
                </c:pt>
                <c:pt idx="236">
                  <c:v>90.714117490553051</c:v>
                </c:pt>
                <c:pt idx="237">
                  <c:v>90.710582741826897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2D-4A03-8B82-1C5E7B4B2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311647"/>
        <c:axId val="1137319327"/>
      </c:lineChart>
      <c:dateAx>
        <c:axId val="11373116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19327"/>
        <c:crosses val="autoZero"/>
        <c:auto val="1"/>
        <c:lblOffset val="100"/>
        <c:baseTimeUnit val="days"/>
      </c:dateAx>
      <c:valAx>
        <c:axId val="1137319327"/>
        <c:scaling>
          <c:orientation val="minMax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1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Price Hist'!$B$1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'Stock Price Hist'!$A$2:$A$239</c:f>
              <c:numCache>
                <c:formatCode>m/d/yyyy</c:formatCode>
                <c:ptCount val="238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</c:numCache>
            </c:numRef>
          </c:cat>
          <c:val>
            <c:numRef>
              <c:f>'Stock Price Hist'!$B$2:$B$239</c:f>
              <c:numCache>
                <c:formatCode>_([$$-409]* #,##0.00_);_([$$-409]* \(#,##0.00\);_([$$-409]* "-"??_);_(@_)</c:formatCode>
                <c:ptCount val="238"/>
                <c:pt idx="0">
                  <c:v>89.03</c:v>
                </c:pt>
                <c:pt idx="1">
                  <c:v>89.24</c:v>
                </c:pt>
                <c:pt idx="2">
                  <c:v>88.37</c:v>
                </c:pt>
                <c:pt idx="3">
                  <c:v>88</c:v>
                </c:pt>
                <c:pt idx="4">
                  <c:v>89.01</c:v>
                </c:pt>
                <c:pt idx="5">
                  <c:v>88.15</c:v>
                </c:pt>
                <c:pt idx="6">
                  <c:v>88.47</c:v>
                </c:pt>
                <c:pt idx="7">
                  <c:v>89.37</c:v>
                </c:pt>
                <c:pt idx="8">
                  <c:v>90.23</c:v>
                </c:pt>
                <c:pt idx="9">
                  <c:v>92.22</c:v>
                </c:pt>
                <c:pt idx="10">
                  <c:v>93.65</c:v>
                </c:pt>
                <c:pt idx="11">
                  <c:v>93.21</c:v>
                </c:pt>
                <c:pt idx="12">
                  <c:v>90.77</c:v>
                </c:pt>
                <c:pt idx="13">
                  <c:v>90.76</c:v>
                </c:pt>
                <c:pt idx="14">
                  <c:v>90.6</c:v>
                </c:pt>
                <c:pt idx="15">
                  <c:v>94.89</c:v>
                </c:pt>
                <c:pt idx="16">
                  <c:v>93.39</c:v>
                </c:pt>
                <c:pt idx="17">
                  <c:v>92.57</c:v>
                </c:pt>
                <c:pt idx="18">
                  <c:v>93.86</c:v>
                </c:pt>
                <c:pt idx="19">
                  <c:v>93.74</c:v>
                </c:pt>
                <c:pt idx="20">
                  <c:v>95.62</c:v>
                </c:pt>
                <c:pt idx="21">
                  <c:v>94.91</c:v>
                </c:pt>
                <c:pt idx="22">
                  <c:v>96.19</c:v>
                </c:pt>
                <c:pt idx="23">
                  <c:v>95.42</c:v>
                </c:pt>
                <c:pt idx="24">
                  <c:v>96.08</c:v>
                </c:pt>
                <c:pt idx="25">
                  <c:v>96.7</c:v>
                </c:pt>
                <c:pt idx="26">
                  <c:v>96.31</c:v>
                </c:pt>
                <c:pt idx="27">
                  <c:v>94.57</c:v>
                </c:pt>
                <c:pt idx="28">
                  <c:v>95.66</c:v>
                </c:pt>
                <c:pt idx="29">
                  <c:v>94.92</c:v>
                </c:pt>
                <c:pt idx="30">
                  <c:v>95.76</c:v>
                </c:pt>
                <c:pt idx="31">
                  <c:v>95.26</c:v>
                </c:pt>
                <c:pt idx="32">
                  <c:v>95.76</c:v>
                </c:pt>
                <c:pt idx="33">
                  <c:v>98.26</c:v>
                </c:pt>
                <c:pt idx="34">
                  <c:v>99.68</c:v>
                </c:pt>
                <c:pt idx="35">
                  <c:v>100.97</c:v>
                </c:pt>
                <c:pt idx="36">
                  <c:v>99.96</c:v>
                </c:pt>
                <c:pt idx="37">
                  <c:v>99.92</c:v>
                </c:pt>
                <c:pt idx="38">
                  <c:v>101.52</c:v>
                </c:pt>
                <c:pt idx="39">
                  <c:v>104.02</c:v>
                </c:pt>
                <c:pt idx="40">
                  <c:v>102.15</c:v>
                </c:pt>
                <c:pt idx="41">
                  <c:v>100.2</c:v>
                </c:pt>
                <c:pt idx="42">
                  <c:v>100.91</c:v>
                </c:pt>
                <c:pt idx="43">
                  <c:v>103.64</c:v>
                </c:pt>
                <c:pt idx="44">
                  <c:v>106.66</c:v>
                </c:pt>
                <c:pt idx="45">
                  <c:v>103.77</c:v>
                </c:pt>
                <c:pt idx="46">
                  <c:v>102.64</c:v>
                </c:pt>
                <c:pt idx="47">
                  <c:v>104.57</c:v>
                </c:pt>
                <c:pt idx="48">
                  <c:v>106.41</c:v>
                </c:pt>
                <c:pt idx="49">
                  <c:v>107.62</c:v>
                </c:pt>
                <c:pt idx="50">
                  <c:v>107.81</c:v>
                </c:pt>
                <c:pt idx="51">
                  <c:v>107.49</c:v>
                </c:pt>
                <c:pt idx="52">
                  <c:v>108.48</c:v>
                </c:pt>
                <c:pt idx="53">
                  <c:v>107.8</c:v>
                </c:pt>
                <c:pt idx="54">
                  <c:v>106.83</c:v>
                </c:pt>
                <c:pt idx="55">
                  <c:v>105.55</c:v>
                </c:pt>
                <c:pt idx="56">
                  <c:v>107.46</c:v>
                </c:pt>
                <c:pt idx="57">
                  <c:v>107.89</c:v>
                </c:pt>
                <c:pt idx="58">
                  <c:v>108.77</c:v>
                </c:pt>
                <c:pt idx="59">
                  <c:v>110.59</c:v>
                </c:pt>
                <c:pt idx="60">
                  <c:v>110.06</c:v>
                </c:pt>
                <c:pt idx="61">
                  <c:v>109.58</c:v>
                </c:pt>
                <c:pt idx="62">
                  <c:v>112.72</c:v>
                </c:pt>
                <c:pt idx="63">
                  <c:v>109.32</c:v>
                </c:pt>
                <c:pt idx="64">
                  <c:v>105.4</c:v>
                </c:pt>
                <c:pt idx="65">
                  <c:v>106.05</c:v>
                </c:pt>
                <c:pt idx="66">
                  <c:v>105.77</c:v>
                </c:pt>
                <c:pt idx="67">
                  <c:v>108.3</c:v>
                </c:pt>
                <c:pt idx="68">
                  <c:v>109.84</c:v>
                </c:pt>
                <c:pt idx="69">
                  <c:v>112.25</c:v>
                </c:pt>
                <c:pt idx="70">
                  <c:v>111.81</c:v>
                </c:pt>
                <c:pt idx="71">
                  <c:v>111.44</c:v>
                </c:pt>
                <c:pt idx="72">
                  <c:v>112.1</c:v>
                </c:pt>
                <c:pt idx="73">
                  <c:v>110.96</c:v>
                </c:pt>
                <c:pt idx="74">
                  <c:v>113.3</c:v>
                </c:pt>
                <c:pt idx="75">
                  <c:v>112.52</c:v>
                </c:pt>
                <c:pt idx="76">
                  <c:v>111.29</c:v>
                </c:pt>
                <c:pt idx="77">
                  <c:v>110.45</c:v>
                </c:pt>
                <c:pt idx="78">
                  <c:v>111.13</c:v>
                </c:pt>
                <c:pt idx="79">
                  <c:v>112.13</c:v>
                </c:pt>
                <c:pt idx="80">
                  <c:v>112.75</c:v>
                </c:pt>
                <c:pt idx="81">
                  <c:v>112.56</c:v>
                </c:pt>
                <c:pt idx="82">
                  <c:v>110.03</c:v>
                </c:pt>
                <c:pt idx="83">
                  <c:v>109.52</c:v>
                </c:pt>
                <c:pt idx="84">
                  <c:v>110.47</c:v>
                </c:pt>
                <c:pt idx="85">
                  <c:v>111.04</c:v>
                </c:pt>
                <c:pt idx="86">
                  <c:v>107.75</c:v>
                </c:pt>
                <c:pt idx="87">
                  <c:v>107.68</c:v>
                </c:pt>
                <c:pt idx="88">
                  <c:v>103.54</c:v>
                </c:pt>
                <c:pt idx="89">
                  <c:v>100.58</c:v>
                </c:pt>
                <c:pt idx="90">
                  <c:v>99.27</c:v>
                </c:pt>
                <c:pt idx="91">
                  <c:v>102.01</c:v>
                </c:pt>
                <c:pt idx="92">
                  <c:v>104.29</c:v>
                </c:pt>
                <c:pt idx="93">
                  <c:v>105.38</c:v>
                </c:pt>
                <c:pt idx="94">
                  <c:v>105.71</c:v>
                </c:pt>
                <c:pt idx="95">
                  <c:v>105.22</c:v>
                </c:pt>
                <c:pt idx="96">
                  <c:v>103.42</c:v>
                </c:pt>
                <c:pt idx="97">
                  <c:v>104.1</c:v>
                </c:pt>
                <c:pt idx="98">
                  <c:v>103.97</c:v>
                </c:pt>
                <c:pt idx="99">
                  <c:v>102.11</c:v>
                </c:pt>
                <c:pt idx="100">
                  <c:v>103.38</c:v>
                </c:pt>
                <c:pt idx="101">
                  <c:v>104.49</c:v>
                </c:pt>
                <c:pt idx="102">
                  <c:v>103.86</c:v>
                </c:pt>
                <c:pt idx="103">
                  <c:v>103.24</c:v>
                </c:pt>
                <c:pt idx="104">
                  <c:v>102.21</c:v>
                </c:pt>
                <c:pt idx="105">
                  <c:v>102.27</c:v>
                </c:pt>
                <c:pt idx="106">
                  <c:v>101.61</c:v>
                </c:pt>
                <c:pt idx="107">
                  <c:v>101.11</c:v>
                </c:pt>
                <c:pt idx="108">
                  <c:v>102.4</c:v>
                </c:pt>
                <c:pt idx="109">
                  <c:v>102.55</c:v>
                </c:pt>
                <c:pt idx="110">
                  <c:v>103.76</c:v>
                </c:pt>
                <c:pt idx="111">
                  <c:v>103.96</c:v>
                </c:pt>
                <c:pt idx="112">
                  <c:v>101.63</c:v>
                </c:pt>
                <c:pt idx="113">
                  <c:v>101.35</c:v>
                </c:pt>
                <c:pt idx="114">
                  <c:v>100.73</c:v>
                </c:pt>
                <c:pt idx="115">
                  <c:v>100.97</c:v>
                </c:pt>
                <c:pt idx="116">
                  <c:v>101.15</c:v>
                </c:pt>
                <c:pt idx="117">
                  <c:v>100.19</c:v>
                </c:pt>
                <c:pt idx="118">
                  <c:v>98.05</c:v>
                </c:pt>
                <c:pt idx="119">
                  <c:v>98.41</c:v>
                </c:pt>
                <c:pt idx="120">
                  <c:v>98.15</c:v>
                </c:pt>
                <c:pt idx="121">
                  <c:v>100.35</c:v>
                </c:pt>
                <c:pt idx="122">
                  <c:v>100.78</c:v>
                </c:pt>
                <c:pt idx="123">
                  <c:v>99.92</c:v>
                </c:pt>
                <c:pt idx="124">
                  <c:v>100.31</c:v>
                </c:pt>
                <c:pt idx="125">
                  <c:v>99.71</c:v>
                </c:pt>
                <c:pt idx="126">
                  <c:v>99.31</c:v>
                </c:pt>
                <c:pt idx="127">
                  <c:v>99.97</c:v>
                </c:pt>
                <c:pt idx="128">
                  <c:v>101.07</c:v>
                </c:pt>
                <c:pt idx="129">
                  <c:v>100.59</c:v>
                </c:pt>
                <c:pt idx="130">
                  <c:v>101.01</c:v>
                </c:pt>
                <c:pt idx="131">
                  <c:v>99.95</c:v>
                </c:pt>
                <c:pt idx="132">
                  <c:v>100.46</c:v>
                </c:pt>
                <c:pt idx="133">
                  <c:v>100.6</c:v>
                </c:pt>
                <c:pt idx="134">
                  <c:v>101.08</c:v>
                </c:pt>
                <c:pt idx="135">
                  <c:v>102.07</c:v>
                </c:pt>
                <c:pt idx="136">
                  <c:v>103.59</c:v>
                </c:pt>
                <c:pt idx="137">
                  <c:v>102.55</c:v>
                </c:pt>
                <c:pt idx="138">
                  <c:v>102.05</c:v>
                </c:pt>
                <c:pt idx="139">
                  <c:v>102.26</c:v>
                </c:pt>
                <c:pt idx="140">
                  <c:v>100.98</c:v>
                </c:pt>
                <c:pt idx="141">
                  <c:v>102.24</c:v>
                </c:pt>
                <c:pt idx="142">
                  <c:v>102.59</c:v>
                </c:pt>
                <c:pt idx="143">
                  <c:v>103.5</c:v>
                </c:pt>
                <c:pt idx="144">
                  <c:v>104.44</c:v>
                </c:pt>
                <c:pt idx="145">
                  <c:v>105.36</c:v>
                </c:pt>
                <c:pt idx="146">
                  <c:v>104.18</c:v>
                </c:pt>
                <c:pt idx="147">
                  <c:v>104.15</c:v>
                </c:pt>
                <c:pt idx="148">
                  <c:v>105</c:v>
                </c:pt>
                <c:pt idx="149">
                  <c:v>104.48</c:v>
                </c:pt>
                <c:pt idx="150">
                  <c:v>104.12</c:v>
                </c:pt>
                <c:pt idx="151">
                  <c:v>103.69</c:v>
                </c:pt>
                <c:pt idx="152">
                  <c:v>103.66</c:v>
                </c:pt>
                <c:pt idx="153">
                  <c:v>102.86</c:v>
                </c:pt>
                <c:pt idx="154">
                  <c:v>100.77</c:v>
                </c:pt>
                <c:pt idx="155">
                  <c:v>99.74</c:v>
                </c:pt>
                <c:pt idx="156">
                  <c:v>101.1</c:v>
                </c:pt>
                <c:pt idx="157">
                  <c:v>101.76</c:v>
                </c:pt>
                <c:pt idx="158">
                  <c:v>101.5</c:v>
                </c:pt>
                <c:pt idx="159">
                  <c:v>101.65</c:v>
                </c:pt>
                <c:pt idx="160">
                  <c:v>99.95</c:v>
                </c:pt>
                <c:pt idx="161">
                  <c:v>99.72</c:v>
                </c:pt>
                <c:pt idx="162">
                  <c:v>100.07</c:v>
                </c:pt>
                <c:pt idx="163">
                  <c:v>98.17</c:v>
                </c:pt>
                <c:pt idx="164">
                  <c:v>98.23</c:v>
                </c:pt>
                <c:pt idx="165">
                  <c:v>97.2</c:v>
                </c:pt>
                <c:pt idx="166">
                  <c:v>97.85</c:v>
                </c:pt>
                <c:pt idx="167">
                  <c:v>97.8</c:v>
                </c:pt>
                <c:pt idx="168">
                  <c:v>98.05</c:v>
                </c:pt>
                <c:pt idx="169">
                  <c:v>96.65</c:v>
                </c:pt>
                <c:pt idx="170">
                  <c:v>96.98</c:v>
                </c:pt>
                <c:pt idx="171">
                  <c:v>97.08</c:v>
                </c:pt>
                <c:pt idx="172">
                  <c:v>97.7</c:v>
                </c:pt>
                <c:pt idx="173">
                  <c:v>97.55</c:v>
                </c:pt>
                <c:pt idx="174">
                  <c:v>97</c:v>
                </c:pt>
                <c:pt idx="175">
                  <c:v>95.57</c:v>
                </c:pt>
                <c:pt idx="176">
                  <c:v>96.4</c:v>
                </c:pt>
                <c:pt idx="177">
                  <c:v>96.35</c:v>
                </c:pt>
                <c:pt idx="178">
                  <c:v>96.33</c:v>
                </c:pt>
                <c:pt idx="179">
                  <c:v>96.62</c:v>
                </c:pt>
                <c:pt idx="180">
                  <c:v>98.55</c:v>
                </c:pt>
                <c:pt idx="181">
                  <c:v>98.81</c:v>
                </c:pt>
                <c:pt idx="182">
                  <c:v>98.35</c:v>
                </c:pt>
                <c:pt idx="183">
                  <c:v>99.62</c:v>
                </c:pt>
                <c:pt idx="184">
                  <c:v>99.57</c:v>
                </c:pt>
                <c:pt idx="185">
                  <c:v>100.52</c:v>
                </c:pt>
                <c:pt idx="186">
                  <c:v>98.17</c:v>
                </c:pt>
                <c:pt idx="187">
                  <c:v>97.64</c:v>
                </c:pt>
                <c:pt idx="188">
                  <c:v>98.81</c:v>
                </c:pt>
                <c:pt idx="189">
                  <c:v>99.33</c:v>
                </c:pt>
                <c:pt idx="190">
                  <c:v>100.04</c:v>
                </c:pt>
                <c:pt idx="191">
                  <c:v>100.83</c:v>
                </c:pt>
                <c:pt idx="192">
                  <c:v>100.8</c:v>
                </c:pt>
                <c:pt idx="193">
                  <c:v>102.39</c:v>
                </c:pt>
                <c:pt idx="194">
                  <c:v>100.86</c:v>
                </c:pt>
                <c:pt idx="195">
                  <c:v>101.89</c:v>
                </c:pt>
                <c:pt idx="196">
                  <c:v>102.29</c:v>
                </c:pt>
                <c:pt idx="197">
                  <c:v>101.07</c:v>
                </c:pt>
                <c:pt idx="198">
                  <c:v>101.19</c:v>
                </c:pt>
                <c:pt idx="199">
                  <c:v>101.72</c:v>
                </c:pt>
                <c:pt idx="200">
                  <c:v>101.56</c:v>
                </c:pt>
                <c:pt idx="201">
                  <c:v>101.94</c:v>
                </c:pt>
                <c:pt idx="202">
                  <c:v>100.77</c:v>
                </c:pt>
                <c:pt idx="203">
                  <c:v>100.04</c:v>
                </c:pt>
                <c:pt idx="204">
                  <c:v>100.22</c:v>
                </c:pt>
                <c:pt idx="205">
                  <c:v>98.55</c:v>
                </c:pt>
                <c:pt idx="206">
                  <c:v>97</c:v>
                </c:pt>
                <c:pt idx="207">
                  <c:v>98.19</c:v>
                </c:pt>
                <c:pt idx="208">
                  <c:v>97.41</c:v>
                </c:pt>
                <c:pt idx="209">
                  <c:v>96.64</c:v>
                </c:pt>
                <c:pt idx="210">
                  <c:v>97.96</c:v>
                </c:pt>
                <c:pt idx="211">
                  <c:v>96.11</c:v>
                </c:pt>
                <c:pt idx="212">
                  <c:v>96.99</c:v>
                </c:pt>
                <c:pt idx="213">
                  <c:v>98.52</c:v>
                </c:pt>
                <c:pt idx="214">
                  <c:v>98.24</c:v>
                </c:pt>
                <c:pt idx="215">
                  <c:v>99.59</c:v>
                </c:pt>
                <c:pt idx="216">
                  <c:v>100.19</c:v>
                </c:pt>
                <c:pt idx="217">
                  <c:v>100.95</c:v>
                </c:pt>
                <c:pt idx="218">
                  <c:v>101.66</c:v>
                </c:pt>
                <c:pt idx="219">
                  <c:v>103.85</c:v>
                </c:pt>
                <c:pt idx="220">
                  <c:v>102.91</c:v>
                </c:pt>
                <c:pt idx="221">
                  <c:v>100.38</c:v>
                </c:pt>
                <c:pt idx="222">
                  <c:v>100.95</c:v>
                </c:pt>
                <c:pt idx="223">
                  <c:v>100.16</c:v>
                </c:pt>
                <c:pt idx="224">
                  <c:v>98.92</c:v>
                </c:pt>
                <c:pt idx="225">
                  <c:v>98.85</c:v>
                </c:pt>
                <c:pt idx="226">
                  <c:v>100.14</c:v>
                </c:pt>
                <c:pt idx="227">
                  <c:v>100.36</c:v>
                </c:pt>
                <c:pt idx="228">
                  <c:v>97.88</c:v>
                </c:pt>
                <c:pt idx="229">
                  <c:v>96.87</c:v>
                </c:pt>
                <c:pt idx="230">
                  <c:v>96.45</c:v>
                </c:pt>
                <c:pt idx="231">
                  <c:v>96.22</c:v>
                </c:pt>
                <c:pt idx="232">
                  <c:v>96.6</c:v>
                </c:pt>
                <c:pt idx="233">
                  <c:v>95.45</c:v>
                </c:pt>
                <c:pt idx="234">
                  <c:v>95.82</c:v>
                </c:pt>
                <c:pt idx="235">
                  <c:v>95.41</c:v>
                </c:pt>
                <c:pt idx="236">
                  <c:v>95.64</c:v>
                </c:pt>
                <c:pt idx="237">
                  <c:v>97.53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6-4085-9D64-B09C8D39F4E9}"/>
            </c:ext>
          </c:extLst>
        </c:ser>
        <c:ser>
          <c:idx val="1"/>
          <c:order val="1"/>
          <c:tx>
            <c:strRef>
              <c:f>'Stock Price Hist'!$I$1</c:f>
              <c:strCache>
                <c:ptCount val="1"/>
                <c:pt idx="0">
                  <c:v> 20d SMA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'Stock Price Hist'!$A$2:$A$239</c:f>
              <c:numCache>
                <c:formatCode>m/d/yyyy</c:formatCode>
                <c:ptCount val="238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</c:numCache>
            </c:numRef>
          </c:cat>
          <c:val>
            <c:numRef>
              <c:f>'Stock Price Hist'!$I$2:$I$239</c:f>
              <c:numCache>
                <c:formatCode>General</c:formatCode>
                <c:ptCount val="238"/>
                <c:pt idx="19">
                  <c:v>90.976500000000001</c:v>
                </c:pt>
                <c:pt idx="20">
                  <c:v>91.305999999999997</c:v>
                </c:pt>
                <c:pt idx="21">
                  <c:v>91.589500000000015</c:v>
                </c:pt>
                <c:pt idx="22">
                  <c:v>91.980500000000021</c:v>
                </c:pt>
                <c:pt idx="23">
                  <c:v>92.351500000000016</c:v>
                </c:pt>
                <c:pt idx="24">
                  <c:v>92.705000000000013</c:v>
                </c:pt>
                <c:pt idx="25">
                  <c:v>93.132500000000007</c:v>
                </c:pt>
                <c:pt idx="26">
                  <c:v>93.524500000000018</c:v>
                </c:pt>
                <c:pt idx="27">
                  <c:v>93.784499999999994</c:v>
                </c:pt>
                <c:pt idx="28">
                  <c:v>94.056000000000012</c:v>
                </c:pt>
                <c:pt idx="29">
                  <c:v>94.191000000000003</c:v>
                </c:pt>
                <c:pt idx="30">
                  <c:v>94.296500000000009</c:v>
                </c:pt>
                <c:pt idx="31">
                  <c:v>94.399000000000001</c:v>
                </c:pt>
                <c:pt idx="32">
                  <c:v>94.648499999999999</c:v>
                </c:pt>
                <c:pt idx="33">
                  <c:v>95.023499999999999</c:v>
                </c:pt>
                <c:pt idx="34">
                  <c:v>95.477500000000006</c:v>
                </c:pt>
                <c:pt idx="35">
                  <c:v>95.781500000000008</c:v>
                </c:pt>
                <c:pt idx="36">
                  <c:v>96.110000000000014</c:v>
                </c:pt>
                <c:pt idx="37">
                  <c:v>96.47750000000002</c:v>
                </c:pt>
                <c:pt idx="38">
                  <c:v>96.860500000000002</c:v>
                </c:pt>
                <c:pt idx="39">
                  <c:v>97.374499999999998</c:v>
                </c:pt>
                <c:pt idx="40">
                  <c:v>97.700999999999993</c:v>
                </c:pt>
                <c:pt idx="41">
                  <c:v>97.965500000000006</c:v>
                </c:pt>
                <c:pt idx="42">
                  <c:v>98.201500000000024</c:v>
                </c:pt>
                <c:pt idx="43">
                  <c:v>98.612500000000026</c:v>
                </c:pt>
                <c:pt idx="44">
                  <c:v>99.141500000000036</c:v>
                </c:pt>
                <c:pt idx="45">
                  <c:v>99.495000000000033</c:v>
                </c:pt>
                <c:pt idx="46">
                  <c:v>99.811500000000024</c:v>
                </c:pt>
                <c:pt idx="47">
                  <c:v>100.31150000000002</c:v>
                </c:pt>
                <c:pt idx="48">
                  <c:v>100.84900000000002</c:v>
                </c:pt>
                <c:pt idx="49">
                  <c:v>101.48400000000001</c:v>
                </c:pt>
                <c:pt idx="50">
                  <c:v>102.08650000000003</c:v>
                </c:pt>
                <c:pt idx="51">
                  <c:v>102.69800000000001</c:v>
                </c:pt>
                <c:pt idx="52">
                  <c:v>103.33399999999999</c:v>
                </c:pt>
                <c:pt idx="53">
                  <c:v>103.81100000000001</c:v>
                </c:pt>
                <c:pt idx="54">
                  <c:v>104.16849999999999</c:v>
                </c:pt>
                <c:pt idx="55">
                  <c:v>104.39749999999999</c:v>
                </c:pt>
                <c:pt idx="56">
                  <c:v>104.77249999999999</c:v>
                </c:pt>
                <c:pt idx="57">
                  <c:v>105.17100000000001</c:v>
                </c:pt>
                <c:pt idx="58">
                  <c:v>105.5335</c:v>
                </c:pt>
                <c:pt idx="59">
                  <c:v>105.86199999999999</c:v>
                </c:pt>
                <c:pt idx="60">
                  <c:v>106.25749999999998</c:v>
                </c:pt>
                <c:pt idx="61">
                  <c:v>106.72649999999999</c:v>
                </c:pt>
                <c:pt idx="62">
                  <c:v>107.31699999999998</c:v>
                </c:pt>
                <c:pt idx="63">
                  <c:v>107.601</c:v>
                </c:pt>
                <c:pt idx="64">
                  <c:v>107.53799999999998</c:v>
                </c:pt>
                <c:pt idx="65">
                  <c:v>107.652</c:v>
                </c:pt>
                <c:pt idx="66">
                  <c:v>107.80850000000001</c:v>
                </c:pt>
                <c:pt idx="67">
                  <c:v>107.995</c:v>
                </c:pt>
                <c:pt idx="68">
                  <c:v>108.1665</c:v>
                </c:pt>
                <c:pt idx="69">
                  <c:v>108.398</c:v>
                </c:pt>
                <c:pt idx="70">
                  <c:v>108.59799999999998</c:v>
                </c:pt>
                <c:pt idx="71">
                  <c:v>108.79549999999999</c:v>
                </c:pt>
                <c:pt idx="72">
                  <c:v>108.97649999999999</c:v>
                </c:pt>
                <c:pt idx="73">
                  <c:v>109.1345</c:v>
                </c:pt>
                <c:pt idx="74">
                  <c:v>109.458</c:v>
                </c:pt>
                <c:pt idx="75">
                  <c:v>109.8065</c:v>
                </c:pt>
                <c:pt idx="76">
                  <c:v>109.998</c:v>
                </c:pt>
                <c:pt idx="77">
                  <c:v>110.12599999999998</c:v>
                </c:pt>
                <c:pt idx="78">
                  <c:v>110.24399999999999</c:v>
                </c:pt>
                <c:pt idx="79">
                  <c:v>110.321</c:v>
                </c:pt>
                <c:pt idx="80">
                  <c:v>110.4555</c:v>
                </c:pt>
                <c:pt idx="81">
                  <c:v>110.6045</c:v>
                </c:pt>
                <c:pt idx="82">
                  <c:v>110.47</c:v>
                </c:pt>
                <c:pt idx="83">
                  <c:v>110.48000000000002</c:v>
                </c:pt>
                <c:pt idx="84">
                  <c:v>110.73350000000001</c:v>
                </c:pt>
                <c:pt idx="85">
                  <c:v>110.98300000000002</c:v>
                </c:pt>
                <c:pt idx="86">
                  <c:v>111.08199999999999</c:v>
                </c:pt>
                <c:pt idx="87">
                  <c:v>111.05099999999997</c:v>
                </c:pt>
                <c:pt idx="88">
                  <c:v>110.73599999999999</c:v>
                </c:pt>
                <c:pt idx="89">
                  <c:v>110.1525</c:v>
                </c:pt>
                <c:pt idx="90">
                  <c:v>109.52550000000001</c:v>
                </c:pt>
                <c:pt idx="91">
                  <c:v>109.05400000000002</c:v>
                </c:pt>
                <c:pt idx="92">
                  <c:v>108.6635</c:v>
                </c:pt>
                <c:pt idx="93">
                  <c:v>108.3845</c:v>
                </c:pt>
                <c:pt idx="94">
                  <c:v>108.005</c:v>
                </c:pt>
                <c:pt idx="95">
                  <c:v>107.63999999999999</c:v>
                </c:pt>
                <c:pt idx="96">
                  <c:v>107.2465</c:v>
                </c:pt>
                <c:pt idx="97">
                  <c:v>106.929</c:v>
                </c:pt>
                <c:pt idx="98">
                  <c:v>106.571</c:v>
                </c:pt>
                <c:pt idx="99">
                  <c:v>106.07000000000001</c:v>
                </c:pt>
                <c:pt idx="100">
                  <c:v>105.60149999999999</c:v>
                </c:pt>
                <c:pt idx="101">
                  <c:v>105.19799999999998</c:v>
                </c:pt>
                <c:pt idx="102">
                  <c:v>104.8895</c:v>
                </c:pt>
                <c:pt idx="103">
                  <c:v>104.57549999999999</c:v>
                </c:pt>
                <c:pt idx="104">
                  <c:v>104.16249999999998</c:v>
                </c:pt>
                <c:pt idx="105">
                  <c:v>103.724</c:v>
                </c:pt>
                <c:pt idx="106">
                  <c:v>103.41699999999999</c:v>
                </c:pt>
                <c:pt idx="107">
                  <c:v>103.0885</c:v>
                </c:pt>
                <c:pt idx="108">
                  <c:v>103.03149999999998</c:v>
                </c:pt>
                <c:pt idx="109">
                  <c:v>103.13</c:v>
                </c:pt>
                <c:pt idx="110">
                  <c:v>103.3545</c:v>
                </c:pt>
                <c:pt idx="111">
                  <c:v>103.45199999999997</c:v>
                </c:pt>
                <c:pt idx="112">
                  <c:v>103.31899999999999</c:v>
                </c:pt>
                <c:pt idx="113">
                  <c:v>103.11749999999999</c:v>
                </c:pt>
                <c:pt idx="114">
                  <c:v>102.8685</c:v>
                </c:pt>
                <c:pt idx="115">
                  <c:v>102.65599999999999</c:v>
                </c:pt>
                <c:pt idx="116">
                  <c:v>102.54249999999999</c:v>
                </c:pt>
                <c:pt idx="117">
                  <c:v>102.34700000000001</c:v>
                </c:pt>
                <c:pt idx="118">
                  <c:v>102.051</c:v>
                </c:pt>
                <c:pt idx="119">
                  <c:v>101.86600000000001</c:v>
                </c:pt>
                <c:pt idx="120">
                  <c:v>101.60450000000002</c:v>
                </c:pt>
                <c:pt idx="121">
                  <c:v>101.39750000000001</c:v>
                </c:pt>
                <c:pt idx="122">
                  <c:v>101.24350000000001</c:v>
                </c:pt>
                <c:pt idx="123">
                  <c:v>101.07750000000001</c:v>
                </c:pt>
                <c:pt idx="124">
                  <c:v>100.98250000000002</c:v>
                </c:pt>
                <c:pt idx="125">
                  <c:v>100.8545</c:v>
                </c:pt>
                <c:pt idx="126">
                  <c:v>100.73949999999999</c:v>
                </c:pt>
                <c:pt idx="127">
                  <c:v>100.6825</c:v>
                </c:pt>
                <c:pt idx="128">
                  <c:v>100.616</c:v>
                </c:pt>
                <c:pt idx="129">
                  <c:v>100.51799999999999</c:v>
                </c:pt>
                <c:pt idx="130">
                  <c:v>100.38049999999998</c:v>
                </c:pt>
                <c:pt idx="131">
                  <c:v>100.17999999999999</c:v>
                </c:pt>
                <c:pt idx="132">
                  <c:v>100.1215</c:v>
                </c:pt>
                <c:pt idx="133">
                  <c:v>100.08399999999999</c:v>
                </c:pt>
                <c:pt idx="134">
                  <c:v>100.10149999999999</c:v>
                </c:pt>
                <c:pt idx="135">
                  <c:v>100.15649999999998</c:v>
                </c:pt>
                <c:pt idx="136">
                  <c:v>100.27849999999998</c:v>
                </c:pt>
                <c:pt idx="137">
                  <c:v>100.39649999999997</c:v>
                </c:pt>
                <c:pt idx="138">
                  <c:v>100.59649999999998</c:v>
                </c:pt>
                <c:pt idx="139">
                  <c:v>100.78899999999999</c:v>
                </c:pt>
                <c:pt idx="140">
                  <c:v>100.93049999999998</c:v>
                </c:pt>
                <c:pt idx="141">
                  <c:v>101.02499999999998</c:v>
                </c:pt>
                <c:pt idx="142">
                  <c:v>101.11549999999998</c:v>
                </c:pt>
                <c:pt idx="143">
                  <c:v>101.29449999999999</c:v>
                </c:pt>
                <c:pt idx="144">
                  <c:v>101.501</c:v>
                </c:pt>
                <c:pt idx="145">
                  <c:v>101.78349999999999</c:v>
                </c:pt>
                <c:pt idx="146">
                  <c:v>102.027</c:v>
                </c:pt>
                <c:pt idx="147">
                  <c:v>102.236</c:v>
                </c:pt>
                <c:pt idx="148">
                  <c:v>102.4325</c:v>
                </c:pt>
                <c:pt idx="149">
                  <c:v>102.627</c:v>
                </c:pt>
                <c:pt idx="150">
                  <c:v>102.7825</c:v>
                </c:pt>
                <c:pt idx="151">
                  <c:v>102.9695</c:v>
                </c:pt>
                <c:pt idx="152">
                  <c:v>103.12950000000001</c:v>
                </c:pt>
                <c:pt idx="153">
                  <c:v>103.24250000000002</c:v>
                </c:pt>
                <c:pt idx="154">
                  <c:v>103.227</c:v>
                </c:pt>
                <c:pt idx="155">
                  <c:v>103.1105</c:v>
                </c:pt>
                <c:pt idx="156">
                  <c:v>102.98600000000002</c:v>
                </c:pt>
                <c:pt idx="157">
                  <c:v>102.94649999999999</c:v>
                </c:pt>
                <c:pt idx="158">
                  <c:v>102.91899999999998</c:v>
                </c:pt>
                <c:pt idx="159">
                  <c:v>102.88849999999999</c:v>
                </c:pt>
                <c:pt idx="160">
                  <c:v>102.83699999999999</c:v>
                </c:pt>
                <c:pt idx="161">
                  <c:v>102.71099999999998</c:v>
                </c:pt>
                <c:pt idx="162">
                  <c:v>102.58500000000001</c:v>
                </c:pt>
                <c:pt idx="163">
                  <c:v>102.3185</c:v>
                </c:pt>
                <c:pt idx="164">
                  <c:v>102.00800000000001</c:v>
                </c:pt>
                <c:pt idx="165">
                  <c:v>101.60000000000001</c:v>
                </c:pt>
                <c:pt idx="166">
                  <c:v>101.2835</c:v>
                </c:pt>
                <c:pt idx="167">
                  <c:v>100.96600000000001</c:v>
                </c:pt>
                <c:pt idx="168">
                  <c:v>100.61850000000001</c:v>
                </c:pt>
                <c:pt idx="169">
                  <c:v>100.227</c:v>
                </c:pt>
                <c:pt idx="170">
                  <c:v>99.86999999999999</c:v>
                </c:pt>
                <c:pt idx="171">
                  <c:v>99.539500000000004</c:v>
                </c:pt>
                <c:pt idx="172">
                  <c:v>99.241500000000002</c:v>
                </c:pt>
                <c:pt idx="173">
                  <c:v>98.975999999999985</c:v>
                </c:pt>
                <c:pt idx="174">
                  <c:v>98.787499999999994</c:v>
                </c:pt>
                <c:pt idx="175">
                  <c:v>98.578999999999994</c:v>
                </c:pt>
                <c:pt idx="176">
                  <c:v>98.343999999999994</c:v>
                </c:pt>
                <c:pt idx="177">
                  <c:v>98.073499999999996</c:v>
                </c:pt>
                <c:pt idx="178">
                  <c:v>97.814999999999998</c:v>
                </c:pt>
                <c:pt idx="179">
                  <c:v>97.563499999999976</c:v>
                </c:pt>
                <c:pt idx="180">
                  <c:v>97.493499999999983</c:v>
                </c:pt>
                <c:pt idx="181">
                  <c:v>97.447999999999993</c:v>
                </c:pt>
                <c:pt idx="182">
                  <c:v>97.361999999999995</c:v>
                </c:pt>
                <c:pt idx="183">
                  <c:v>97.4345</c:v>
                </c:pt>
                <c:pt idx="184">
                  <c:v>97.501499999999993</c:v>
                </c:pt>
                <c:pt idx="185">
                  <c:v>97.66749999999999</c:v>
                </c:pt>
                <c:pt idx="186">
                  <c:v>97.683499999999995</c:v>
                </c:pt>
                <c:pt idx="187">
                  <c:v>97.675499999999985</c:v>
                </c:pt>
                <c:pt idx="188">
                  <c:v>97.713499999999996</c:v>
                </c:pt>
                <c:pt idx="189">
                  <c:v>97.847499999999997</c:v>
                </c:pt>
                <c:pt idx="190">
                  <c:v>98.000499999999988</c:v>
                </c:pt>
                <c:pt idx="191">
                  <c:v>98.187999999999988</c:v>
                </c:pt>
                <c:pt idx="192">
                  <c:v>98.342999999999989</c:v>
                </c:pt>
                <c:pt idx="193">
                  <c:v>98.584999999999994</c:v>
                </c:pt>
                <c:pt idx="194">
                  <c:v>98.777999999999992</c:v>
                </c:pt>
                <c:pt idx="195">
                  <c:v>99.093999999999994</c:v>
                </c:pt>
                <c:pt idx="196">
                  <c:v>99.388499999999993</c:v>
                </c:pt>
                <c:pt idx="197">
                  <c:v>99.624499999999983</c:v>
                </c:pt>
                <c:pt idx="198">
                  <c:v>99.867499999999978</c:v>
                </c:pt>
                <c:pt idx="199">
                  <c:v>100.1225</c:v>
                </c:pt>
                <c:pt idx="200">
                  <c:v>100.273</c:v>
                </c:pt>
                <c:pt idx="201">
                  <c:v>100.4295</c:v>
                </c:pt>
                <c:pt idx="202">
                  <c:v>100.5505</c:v>
                </c:pt>
                <c:pt idx="203">
                  <c:v>100.57149999999999</c:v>
                </c:pt>
                <c:pt idx="204">
                  <c:v>100.604</c:v>
                </c:pt>
                <c:pt idx="205">
                  <c:v>100.5055</c:v>
                </c:pt>
                <c:pt idx="206">
                  <c:v>100.44699999999999</c:v>
                </c:pt>
                <c:pt idx="207">
                  <c:v>100.47450000000001</c:v>
                </c:pt>
                <c:pt idx="208">
                  <c:v>100.40450000000001</c:v>
                </c:pt>
                <c:pt idx="209">
                  <c:v>100.27000000000001</c:v>
                </c:pt>
                <c:pt idx="210">
                  <c:v>100.16600000000001</c:v>
                </c:pt>
                <c:pt idx="211">
                  <c:v>99.93</c:v>
                </c:pt>
                <c:pt idx="212">
                  <c:v>99.739500000000007</c:v>
                </c:pt>
                <c:pt idx="213">
                  <c:v>99.546000000000006</c:v>
                </c:pt>
                <c:pt idx="214">
                  <c:v>99.415000000000006</c:v>
                </c:pt>
                <c:pt idx="215">
                  <c:v>99.3</c:v>
                </c:pt>
                <c:pt idx="216">
                  <c:v>99.195000000000007</c:v>
                </c:pt>
                <c:pt idx="217">
                  <c:v>99.189000000000007</c:v>
                </c:pt>
                <c:pt idx="218">
                  <c:v>99.212500000000006</c:v>
                </c:pt>
                <c:pt idx="219">
                  <c:v>99.318999999999988</c:v>
                </c:pt>
                <c:pt idx="220">
                  <c:v>99.386499999999998</c:v>
                </c:pt>
                <c:pt idx="221">
                  <c:v>99.308500000000009</c:v>
                </c:pt>
                <c:pt idx="222">
                  <c:v>99.31750000000001</c:v>
                </c:pt>
                <c:pt idx="223">
                  <c:v>99.32350000000001</c:v>
                </c:pt>
                <c:pt idx="224">
                  <c:v>99.258500000000026</c:v>
                </c:pt>
                <c:pt idx="225">
                  <c:v>99.273500000000013</c:v>
                </c:pt>
                <c:pt idx="226">
                  <c:v>99.430500000000023</c:v>
                </c:pt>
                <c:pt idx="227">
                  <c:v>99.539000000000016</c:v>
                </c:pt>
                <c:pt idx="228">
                  <c:v>99.562500000000028</c:v>
                </c:pt>
                <c:pt idx="229">
                  <c:v>99.573999999999998</c:v>
                </c:pt>
                <c:pt idx="230">
                  <c:v>99.498500000000007</c:v>
                </c:pt>
                <c:pt idx="231">
                  <c:v>99.503999999999991</c:v>
                </c:pt>
                <c:pt idx="232">
                  <c:v>99.484499999999997</c:v>
                </c:pt>
                <c:pt idx="233">
                  <c:v>99.330999999999989</c:v>
                </c:pt>
                <c:pt idx="234">
                  <c:v>99.21</c:v>
                </c:pt>
                <c:pt idx="235">
                  <c:v>99.000999999999991</c:v>
                </c:pt>
                <c:pt idx="236">
                  <c:v>98.773499999999984</c:v>
                </c:pt>
                <c:pt idx="237">
                  <c:v>98.602499999999992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A6-4085-9D64-B09C8D39F4E9}"/>
            </c:ext>
          </c:extLst>
        </c:ser>
        <c:ser>
          <c:idx val="2"/>
          <c:order val="2"/>
          <c:tx>
            <c:strRef>
              <c:f>'Stock Price Hist'!$K$1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'Stock Price Hist'!$A$2:$A$239</c:f>
              <c:numCache>
                <c:formatCode>m/d/yyyy</c:formatCode>
                <c:ptCount val="238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</c:numCache>
            </c:numRef>
          </c:cat>
          <c:val>
            <c:numRef>
              <c:f>'Stock Price Hist'!$K$2:$K$239</c:f>
              <c:numCache>
                <c:formatCode>General</c:formatCode>
                <c:ptCount val="238"/>
                <c:pt idx="19">
                  <c:v>95.501970722826286</c:v>
                </c:pt>
                <c:pt idx="20">
                  <c:v>96.180882562688041</c:v>
                </c:pt>
                <c:pt idx="21">
                  <c:v>96.615627420002937</c:v>
                </c:pt>
                <c:pt idx="22">
                  <c:v>97.166231334506676</c:v>
                </c:pt>
                <c:pt idx="23">
                  <c:v>97.398000715712257</c:v>
                </c:pt>
                <c:pt idx="24">
                  <c:v>97.756438565294786</c:v>
                </c:pt>
                <c:pt idx="25">
                  <c:v>98.004823016687979</c:v>
                </c:pt>
                <c:pt idx="26">
                  <c:v>98.067791063118307</c:v>
                </c:pt>
                <c:pt idx="27">
                  <c:v>97.901941591954625</c:v>
                </c:pt>
                <c:pt idx="28">
                  <c:v>97.893133798745339</c:v>
                </c:pt>
                <c:pt idx="29">
                  <c:v>97.945244755501506</c:v>
                </c:pt>
                <c:pt idx="30">
                  <c:v>98.104929846371988</c:v>
                </c:pt>
                <c:pt idx="31">
                  <c:v>98.194631283739938</c:v>
                </c:pt>
                <c:pt idx="32">
                  <c:v>98.078094267855207</c:v>
                </c:pt>
                <c:pt idx="33">
                  <c:v>98.299571299269104</c:v>
                </c:pt>
                <c:pt idx="34">
                  <c:v>98.688447556489578</c:v>
                </c:pt>
                <c:pt idx="35">
                  <c:v>99.806355799966809</c:v>
                </c:pt>
                <c:pt idx="36">
                  <c:v>100.37811433773747</c:v>
                </c:pt>
                <c:pt idx="37">
                  <c:v>100.7279036959973</c:v>
                </c:pt>
                <c:pt idx="38">
                  <c:v>101.48207173082469</c:v>
                </c:pt>
                <c:pt idx="39">
                  <c:v>102.758528916009</c:v>
                </c:pt>
                <c:pt idx="40">
                  <c:v>103.41869147379199</c:v>
                </c:pt>
                <c:pt idx="41">
                  <c:v>103.62873498773588</c:v>
                </c:pt>
                <c:pt idx="42">
                  <c:v>103.94600501738289</c:v>
                </c:pt>
                <c:pt idx="43">
                  <c:v>104.68589279151286</c:v>
                </c:pt>
                <c:pt idx="44">
                  <c:v>106.06910845800114</c:v>
                </c:pt>
                <c:pt idx="45">
                  <c:v>106.61685221324964</c:v>
                </c:pt>
                <c:pt idx="46">
                  <c:v>106.89991983727502</c:v>
                </c:pt>
                <c:pt idx="47">
                  <c:v>107.25240931400658</c:v>
                </c:pt>
                <c:pt idx="48">
                  <c:v>107.93663459911178</c:v>
                </c:pt>
                <c:pt idx="49">
                  <c:v>108.61057118410427</c:v>
                </c:pt>
                <c:pt idx="50">
                  <c:v>109.21298219116929</c:v>
                </c:pt>
                <c:pt idx="51">
                  <c:v>109.44695890606762</c:v>
                </c:pt>
                <c:pt idx="52">
                  <c:v>109.71754595404218</c:v>
                </c:pt>
                <c:pt idx="53">
                  <c:v>110.02151705619292</c:v>
                </c:pt>
                <c:pt idx="54">
                  <c:v>110.19830413402764</c:v>
                </c:pt>
                <c:pt idx="55">
                  <c:v>110.26143751313012</c:v>
                </c:pt>
                <c:pt idx="56">
                  <c:v>110.3958980174942</c:v>
                </c:pt>
                <c:pt idx="57">
                  <c:v>110.46654688791492</c:v>
                </c:pt>
                <c:pt idx="58">
                  <c:v>110.76897122495851</c:v>
                </c:pt>
                <c:pt idx="59">
                  <c:v>111.5061403242655</c:v>
                </c:pt>
                <c:pt idx="60">
                  <c:v>111.91497525984774</c:v>
                </c:pt>
                <c:pt idx="61">
                  <c:v>111.7940407717831</c:v>
                </c:pt>
                <c:pt idx="62">
                  <c:v>112.28206574928637</c:v>
                </c:pt>
                <c:pt idx="63">
                  <c:v>112.32440153970242</c:v>
                </c:pt>
                <c:pt idx="64">
                  <c:v>112.34708175938202</c:v>
                </c:pt>
                <c:pt idx="65">
                  <c:v>112.18517409421048</c:v>
                </c:pt>
                <c:pt idx="66">
                  <c:v>111.79645172329963</c:v>
                </c:pt>
                <c:pt idx="67">
                  <c:v>111.68284347196085</c:v>
                </c:pt>
                <c:pt idx="68">
                  <c:v>111.86299777349772</c:v>
                </c:pt>
                <c:pt idx="69">
                  <c:v>112.50726859928292</c:v>
                </c:pt>
                <c:pt idx="70">
                  <c:v>112.96787100857438</c:v>
                </c:pt>
                <c:pt idx="71">
                  <c:v>113.30920066400182</c:v>
                </c:pt>
                <c:pt idx="72">
                  <c:v>113.72133774887591</c:v>
                </c:pt>
                <c:pt idx="73">
                  <c:v>113.92461910630954</c:v>
                </c:pt>
                <c:pt idx="74">
                  <c:v>114.46194623219883</c:v>
                </c:pt>
                <c:pt idx="75">
                  <c:v>114.63213014701599</c:v>
                </c:pt>
                <c:pt idx="76">
                  <c:v>114.73471260641698</c:v>
                </c:pt>
                <c:pt idx="77">
                  <c:v>114.76010878276784</c:v>
                </c:pt>
                <c:pt idx="78">
                  <c:v>114.85284458634185</c:v>
                </c:pt>
                <c:pt idx="79">
                  <c:v>115.00502840568491</c:v>
                </c:pt>
                <c:pt idx="80">
                  <c:v>115.26088502756625</c:v>
                </c:pt>
                <c:pt idx="81">
                  <c:v>115.47987518124449</c:v>
                </c:pt>
                <c:pt idx="82">
                  <c:v>115.24707243535532</c:v>
                </c:pt>
                <c:pt idx="83">
                  <c:v>115.24776456501037</c:v>
                </c:pt>
                <c:pt idx="84">
                  <c:v>114.86001133398101</c:v>
                </c:pt>
                <c:pt idx="85">
                  <c:v>114.47124250726262</c:v>
                </c:pt>
                <c:pt idx="86">
                  <c:v>114.01558483770283</c:v>
                </c:pt>
                <c:pt idx="87">
                  <c:v>114.11841722317855</c:v>
                </c:pt>
                <c:pt idx="88">
                  <c:v>115.27024583179582</c:v>
                </c:pt>
                <c:pt idx="89">
                  <c:v>116.50528264766088</c:v>
                </c:pt>
                <c:pt idx="90">
                  <c:v>117.46631654292688</c:v>
                </c:pt>
                <c:pt idx="91">
                  <c:v>117.61203568214356</c:v>
                </c:pt>
                <c:pt idx="92">
                  <c:v>117.3481222836993</c:v>
                </c:pt>
                <c:pt idx="93">
                  <c:v>117.11687527221184</c:v>
                </c:pt>
                <c:pt idx="94">
                  <c:v>116.49423404889052</c:v>
                </c:pt>
                <c:pt idx="95">
                  <c:v>115.93743397239867</c:v>
                </c:pt>
                <c:pt idx="96">
                  <c:v>115.56153717116734</c:v>
                </c:pt>
                <c:pt idx="97">
                  <c:v>115.21387753617842</c:v>
                </c:pt>
                <c:pt idx="98">
                  <c:v>114.70902226070865</c:v>
                </c:pt>
                <c:pt idx="99">
                  <c:v>113.99807403438798</c:v>
                </c:pt>
                <c:pt idx="100">
                  <c:v>112.9540084155001</c:v>
                </c:pt>
                <c:pt idx="101">
                  <c:v>111.78891112621646</c:v>
                </c:pt>
                <c:pt idx="102">
                  <c:v>111.09440629302837</c:v>
                </c:pt>
                <c:pt idx="103">
                  <c:v>110.41883169203648</c:v>
                </c:pt>
                <c:pt idx="104">
                  <c:v>109.3864443657874</c:v>
                </c:pt>
                <c:pt idx="105">
                  <c:v>107.88045294122665</c:v>
                </c:pt>
                <c:pt idx="106">
                  <c:v>107.21275441499411</c:v>
                </c:pt>
                <c:pt idx="107">
                  <c:v>106.44229298234417</c:v>
                </c:pt>
                <c:pt idx="108">
                  <c:v>106.39172727928052</c:v>
                </c:pt>
                <c:pt idx="109">
                  <c:v>106.29762570888337</c:v>
                </c:pt>
                <c:pt idx="110">
                  <c:v>105.95612277293068</c:v>
                </c:pt>
                <c:pt idx="111">
                  <c:v>105.98676543085816</c:v>
                </c:pt>
                <c:pt idx="112">
                  <c:v>105.94608884308727</c:v>
                </c:pt>
                <c:pt idx="113">
                  <c:v>105.69676039990658</c:v>
                </c:pt>
                <c:pt idx="114">
                  <c:v>105.35377685633443</c:v>
                </c:pt>
                <c:pt idx="115">
                  <c:v>105.01844654631813</c:v>
                </c:pt>
                <c:pt idx="116">
                  <c:v>104.96768257587253</c:v>
                </c:pt>
                <c:pt idx="117">
                  <c:v>104.87187498387753</c:v>
                </c:pt>
                <c:pt idx="118">
                  <c:v>105.10693400314518</c:v>
                </c:pt>
                <c:pt idx="119">
                  <c:v>105.32790942141838</c:v>
                </c:pt>
                <c:pt idx="120">
                  <c:v>105.36234638771788</c:v>
                </c:pt>
                <c:pt idx="121">
                  <c:v>104.93578311026988</c:v>
                </c:pt>
                <c:pt idx="122">
                  <c:v>104.59361248829208</c:v>
                </c:pt>
                <c:pt idx="123">
                  <c:v>104.33891638588288</c:v>
                </c:pt>
                <c:pt idx="124">
                  <c:v>104.21558472547586</c:v>
                </c:pt>
                <c:pt idx="125">
                  <c:v>104.07564379815945</c:v>
                </c:pt>
                <c:pt idx="126">
                  <c:v>104.01091028658252</c:v>
                </c:pt>
                <c:pt idx="127">
                  <c:v>103.96643137308895</c:v>
                </c:pt>
                <c:pt idx="128">
                  <c:v>103.80601336410334</c:v>
                </c:pt>
                <c:pt idx="129">
                  <c:v>103.57552290519456</c:v>
                </c:pt>
                <c:pt idx="130">
                  <c:v>103.04640539572343</c:v>
                </c:pt>
                <c:pt idx="131">
                  <c:v>102.24866343832258</c:v>
                </c:pt>
                <c:pt idx="132">
                  <c:v>102.08079391148416</c:v>
                </c:pt>
                <c:pt idx="133">
                  <c:v>101.97169310619016</c:v>
                </c:pt>
                <c:pt idx="134">
                  <c:v>102.02063659314751</c:v>
                </c:pt>
                <c:pt idx="135">
                  <c:v>102.2367254432481</c:v>
                </c:pt>
                <c:pt idx="136">
                  <c:v>102.83559765575203</c:v>
                </c:pt>
                <c:pt idx="137">
                  <c:v>103.14690494626171</c:v>
                </c:pt>
                <c:pt idx="138">
                  <c:v>103.20662018275422</c:v>
                </c:pt>
                <c:pt idx="139">
                  <c:v>103.28555678675123</c:v>
                </c:pt>
                <c:pt idx="140">
                  <c:v>103.09614053974069</c:v>
                </c:pt>
                <c:pt idx="141">
                  <c:v>103.24816512159907</c:v>
                </c:pt>
                <c:pt idx="142">
                  <c:v>103.44164861271179</c:v>
                </c:pt>
                <c:pt idx="143">
                  <c:v>103.77888894319157</c:v>
                </c:pt>
                <c:pt idx="144">
                  <c:v>104.30663268031333</c:v>
                </c:pt>
                <c:pt idx="145">
                  <c:v>104.94504708963822</c:v>
                </c:pt>
                <c:pt idx="146">
                  <c:v>105.13614508472904</c:v>
                </c:pt>
                <c:pt idx="147">
                  <c:v>105.32484171784421</c:v>
                </c:pt>
                <c:pt idx="148">
                  <c:v>105.70366187309648</c:v>
                </c:pt>
                <c:pt idx="149">
                  <c:v>105.89947596589622</c:v>
                </c:pt>
                <c:pt idx="150">
                  <c:v>106.02689516705348</c:v>
                </c:pt>
                <c:pt idx="151">
                  <c:v>105.94660898267713</c:v>
                </c:pt>
                <c:pt idx="152">
                  <c:v>105.87357668298561</c:v>
                </c:pt>
                <c:pt idx="153">
                  <c:v>105.72130170540868</c:v>
                </c:pt>
                <c:pt idx="154">
                  <c:v>105.76588578959976</c:v>
                </c:pt>
                <c:pt idx="155">
                  <c:v>106.05444275545032</c:v>
                </c:pt>
                <c:pt idx="156">
                  <c:v>106.05261067836003</c:v>
                </c:pt>
                <c:pt idx="157">
                  <c:v>106.05679715960591</c:v>
                </c:pt>
                <c:pt idx="158">
                  <c:v>106.07210306640432</c:v>
                </c:pt>
                <c:pt idx="159">
                  <c:v>106.08001028429125</c:v>
                </c:pt>
                <c:pt idx="160">
                  <c:v>106.18746328296942</c:v>
                </c:pt>
                <c:pt idx="161">
                  <c:v>106.33441449900212</c:v>
                </c:pt>
                <c:pt idx="162">
                  <c:v>106.39650888756672</c:v>
                </c:pt>
                <c:pt idx="163">
                  <c:v>106.57947727856194</c:v>
                </c:pt>
                <c:pt idx="164">
                  <c:v>106.51594666759655</c:v>
                </c:pt>
                <c:pt idx="165">
                  <c:v>106.30339630927539</c:v>
                </c:pt>
                <c:pt idx="166">
                  <c:v>106.10629357786925</c:v>
                </c:pt>
                <c:pt idx="167">
                  <c:v>105.83012603714822</c:v>
                </c:pt>
                <c:pt idx="168">
                  <c:v>105.2569764967095</c:v>
                </c:pt>
                <c:pt idx="169">
                  <c:v>104.81464519345738</c:v>
                </c:pt>
                <c:pt idx="170">
                  <c:v>104.2902738662476</c:v>
                </c:pt>
                <c:pt idx="171">
                  <c:v>103.74016398260285</c:v>
                </c:pt>
                <c:pt idx="172">
                  <c:v>103.03749941766952</c:v>
                </c:pt>
                <c:pt idx="173">
                  <c:v>102.43412483412918</c:v>
                </c:pt>
                <c:pt idx="174">
                  <c:v>102.24487883678555</c:v>
                </c:pt>
                <c:pt idx="175">
                  <c:v>102.28829359142254</c:v>
                </c:pt>
                <c:pt idx="176">
                  <c:v>101.9755193282673</c:v>
                </c:pt>
                <c:pt idx="177">
                  <c:v>101.42913171556806</c:v>
                </c:pt>
                <c:pt idx="178">
                  <c:v>100.83941642913837</c:v>
                </c:pt>
                <c:pt idx="179">
                  <c:v>100.03030936050042</c:v>
                </c:pt>
                <c:pt idx="180">
                  <c:v>99.74524809285677</c:v>
                </c:pt>
                <c:pt idx="181">
                  <c:v>99.541534910397388</c:v>
                </c:pt>
                <c:pt idx="182">
                  <c:v>99.115764072232238</c:v>
                </c:pt>
                <c:pt idx="183">
                  <c:v>99.431871694054593</c:v>
                </c:pt>
                <c:pt idx="184">
                  <c:v>99.691806635586602</c:v>
                </c:pt>
                <c:pt idx="185">
                  <c:v>100.2327403191001</c:v>
                </c:pt>
                <c:pt idx="186">
                  <c:v>100.25750997830642</c:v>
                </c:pt>
                <c:pt idx="187">
                  <c:v>100.24897992946678</c:v>
                </c:pt>
                <c:pt idx="188">
                  <c:v>100.33230868857738</c:v>
                </c:pt>
                <c:pt idx="189">
                  <c:v>100.51106211827221</c:v>
                </c:pt>
                <c:pt idx="190">
                  <c:v>100.80220981629732</c:v>
                </c:pt>
                <c:pt idx="191">
                  <c:v>101.22257688024298</c:v>
                </c:pt>
                <c:pt idx="192">
                  <c:v>101.58239630503162</c:v>
                </c:pt>
                <c:pt idx="193">
                  <c:v>102.26776497956858</c:v>
                </c:pt>
                <c:pt idx="194">
                  <c:v>102.5151962471181</c:v>
                </c:pt>
                <c:pt idx="195">
                  <c:v>102.75712147592301</c:v>
                </c:pt>
                <c:pt idx="196">
                  <c:v>103.08657503268503</c:v>
                </c:pt>
                <c:pt idx="197">
                  <c:v>103.10197322060141</c:v>
                </c:pt>
                <c:pt idx="198">
                  <c:v>103.04163809270781</c:v>
                </c:pt>
                <c:pt idx="199">
                  <c:v>103.00409221337971</c:v>
                </c:pt>
                <c:pt idx="200">
                  <c:v>103.12302751602599</c:v>
                </c:pt>
                <c:pt idx="201">
                  <c:v>103.28501341129845</c:v>
                </c:pt>
                <c:pt idx="202">
                  <c:v>103.23496191805242</c:v>
                </c:pt>
                <c:pt idx="203">
                  <c:v>103.23177521330524</c:v>
                </c:pt>
                <c:pt idx="204">
                  <c:v>103.22839887854042</c:v>
                </c:pt>
                <c:pt idx="205">
                  <c:v>103.28638569760749</c:v>
                </c:pt>
                <c:pt idx="206">
                  <c:v>103.47316032552629</c:v>
                </c:pt>
                <c:pt idx="207">
                  <c:v>103.40163242107806</c:v>
                </c:pt>
                <c:pt idx="208">
                  <c:v>103.55748004400516</c:v>
                </c:pt>
                <c:pt idx="209">
                  <c:v>103.82042473367254</c:v>
                </c:pt>
                <c:pt idx="210">
                  <c:v>103.8635975130375</c:v>
                </c:pt>
                <c:pt idx="211">
                  <c:v>104.02979203580404</c:v>
                </c:pt>
                <c:pt idx="212">
                  <c:v>104.01920227690519</c:v>
                </c:pt>
                <c:pt idx="213">
                  <c:v>103.66817316217399</c:v>
                </c:pt>
                <c:pt idx="214">
                  <c:v>103.52786300589544</c:v>
                </c:pt>
                <c:pt idx="215">
                  <c:v>103.24674549470826</c:v>
                </c:pt>
                <c:pt idx="216">
                  <c:v>102.911854924034</c:v>
                </c:pt>
                <c:pt idx="217">
                  <c:v>102.89347751838375</c:v>
                </c:pt>
                <c:pt idx="218">
                  <c:v>102.97591879846392</c:v>
                </c:pt>
                <c:pt idx="219">
                  <c:v>103.48067425822575</c:v>
                </c:pt>
                <c:pt idx="220">
                  <c:v>103.74056295435956</c:v>
                </c:pt>
                <c:pt idx="221">
                  <c:v>103.52363201391569</c:v>
                </c:pt>
                <c:pt idx="222">
                  <c:v>103.54651693192713</c:v>
                </c:pt>
                <c:pt idx="223">
                  <c:v>103.55717092175151</c:v>
                </c:pt>
                <c:pt idx="224">
                  <c:v>103.47409648023987</c:v>
                </c:pt>
                <c:pt idx="225">
                  <c:v>103.48060814543298</c:v>
                </c:pt>
                <c:pt idx="226">
                  <c:v>103.5128856544402</c:v>
                </c:pt>
                <c:pt idx="227">
                  <c:v>103.59784557090082</c:v>
                </c:pt>
                <c:pt idx="228">
                  <c:v>103.57461782898814</c:v>
                </c:pt>
                <c:pt idx="229">
                  <c:v>103.55202066624253</c:v>
                </c:pt>
                <c:pt idx="230">
                  <c:v>103.65864815019597</c:v>
                </c:pt>
                <c:pt idx="231">
                  <c:v>103.64553493030631</c:v>
                </c:pt>
                <c:pt idx="232">
                  <c:v>103.67920581115115</c:v>
                </c:pt>
                <c:pt idx="233">
                  <c:v>103.88372226255895</c:v>
                </c:pt>
                <c:pt idx="234">
                  <c:v>104.00689812055117</c:v>
                </c:pt>
                <c:pt idx="235">
                  <c:v>104.08390385301033</c:v>
                </c:pt>
                <c:pt idx="236">
                  <c:v>104.03644004285975</c:v>
                </c:pt>
                <c:pt idx="237">
                  <c:v>103.78937361468705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A6-4085-9D64-B09C8D39F4E9}"/>
            </c:ext>
          </c:extLst>
        </c:ser>
        <c:ser>
          <c:idx val="3"/>
          <c:order val="3"/>
          <c:tx>
            <c:strRef>
              <c:f>'Stock Price Hist'!$L$1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'Stock Price Hist'!$A$2:$A$239</c:f>
              <c:numCache>
                <c:formatCode>m/d/yyyy</c:formatCode>
                <c:ptCount val="238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</c:numCache>
            </c:numRef>
          </c:cat>
          <c:val>
            <c:numRef>
              <c:f>'Stock Price Hist'!$L$2:$L$239</c:f>
              <c:numCache>
                <c:formatCode>General</c:formatCode>
                <c:ptCount val="238"/>
                <c:pt idx="19">
                  <c:v>86.451029277173717</c:v>
                </c:pt>
                <c:pt idx="20">
                  <c:v>86.431117437311954</c:v>
                </c:pt>
                <c:pt idx="21">
                  <c:v>86.563372579997093</c:v>
                </c:pt>
                <c:pt idx="22">
                  <c:v>86.794768665493365</c:v>
                </c:pt>
                <c:pt idx="23">
                  <c:v>87.304999284287774</c:v>
                </c:pt>
                <c:pt idx="24">
                  <c:v>87.653561434705239</c:v>
                </c:pt>
                <c:pt idx="25">
                  <c:v>88.260176983312036</c:v>
                </c:pt>
                <c:pt idx="26">
                  <c:v>88.981208936881728</c:v>
                </c:pt>
                <c:pt idx="27">
                  <c:v>89.667058408045364</c:v>
                </c:pt>
                <c:pt idx="28">
                  <c:v>90.218866201254684</c:v>
                </c:pt>
                <c:pt idx="29">
                  <c:v>90.436755244498499</c:v>
                </c:pt>
                <c:pt idx="30">
                  <c:v>90.48807015362803</c:v>
                </c:pt>
                <c:pt idx="31">
                  <c:v>90.603368716260064</c:v>
                </c:pt>
                <c:pt idx="32">
                  <c:v>91.21890573214479</c:v>
                </c:pt>
                <c:pt idx="33">
                  <c:v>91.747428700730893</c:v>
                </c:pt>
                <c:pt idx="34">
                  <c:v>92.266552443510435</c:v>
                </c:pt>
                <c:pt idx="35">
                  <c:v>91.756644200033207</c:v>
                </c:pt>
                <c:pt idx="36">
                  <c:v>91.841885662262555</c:v>
                </c:pt>
                <c:pt idx="37">
                  <c:v>92.227096304002742</c:v>
                </c:pt>
                <c:pt idx="38">
                  <c:v>92.238928269175318</c:v>
                </c:pt>
                <c:pt idx="39">
                  <c:v>91.990471083990997</c:v>
                </c:pt>
                <c:pt idx="40">
                  <c:v>91.983308526207992</c:v>
                </c:pt>
                <c:pt idx="41">
                  <c:v>92.302265012264129</c:v>
                </c:pt>
                <c:pt idx="42">
                  <c:v>92.456994982617161</c:v>
                </c:pt>
                <c:pt idx="43">
                  <c:v>92.539107208487195</c:v>
                </c:pt>
                <c:pt idx="44">
                  <c:v>92.213891541998933</c:v>
                </c:pt>
                <c:pt idx="45">
                  <c:v>92.373147786750422</c:v>
                </c:pt>
                <c:pt idx="46">
                  <c:v>92.723080162725026</c:v>
                </c:pt>
                <c:pt idx="47">
                  <c:v>93.370590685993463</c:v>
                </c:pt>
                <c:pt idx="48">
                  <c:v>93.761365400888252</c:v>
                </c:pt>
                <c:pt idx="49">
                  <c:v>94.357428815895744</c:v>
                </c:pt>
                <c:pt idx="50">
                  <c:v>94.96001780883077</c:v>
                </c:pt>
                <c:pt idx="51">
                  <c:v>95.949041093932394</c:v>
                </c:pt>
                <c:pt idx="52">
                  <c:v>96.950454045957798</c:v>
                </c:pt>
                <c:pt idx="53">
                  <c:v>97.600482943807094</c:v>
                </c:pt>
                <c:pt idx="54">
                  <c:v>98.138695865972352</c:v>
                </c:pt>
                <c:pt idx="55">
                  <c:v>98.533562486869869</c:v>
                </c:pt>
                <c:pt idx="56">
                  <c:v>99.149101982505783</c:v>
                </c:pt>
                <c:pt idx="57">
                  <c:v>99.875453112085097</c:v>
                </c:pt>
                <c:pt idx="58">
                  <c:v>100.2980287750415</c:v>
                </c:pt>
                <c:pt idx="59">
                  <c:v>100.21785967573449</c:v>
                </c:pt>
                <c:pt idx="60">
                  <c:v>100.60002474015222</c:v>
                </c:pt>
                <c:pt idx="61">
                  <c:v>101.65895922821687</c:v>
                </c:pt>
                <c:pt idx="62">
                  <c:v>102.35193425071358</c:v>
                </c:pt>
                <c:pt idx="63">
                  <c:v>102.87759846029758</c:v>
                </c:pt>
                <c:pt idx="64">
                  <c:v>102.72891824061794</c:v>
                </c:pt>
                <c:pt idx="65">
                  <c:v>103.11882590578952</c:v>
                </c:pt>
                <c:pt idx="66">
                  <c:v>103.82054827670039</c:v>
                </c:pt>
                <c:pt idx="67">
                  <c:v>104.30715652803916</c:v>
                </c:pt>
                <c:pt idx="68">
                  <c:v>104.47000222650227</c:v>
                </c:pt>
                <c:pt idx="69">
                  <c:v>104.28873140071707</c:v>
                </c:pt>
                <c:pt idx="70">
                  <c:v>104.22812899142559</c:v>
                </c:pt>
                <c:pt idx="71">
                  <c:v>104.28179933599816</c:v>
                </c:pt>
                <c:pt idx="72">
                  <c:v>104.23166225112406</c:v>
                </c:pt>
                <c:pt idx="73">
                  <c:v>104.34438089369047</c:v>
                </c:pt>
                <c:pt idx="74">
                  <c:v>104.45405376780117</c:v>
                </c:pt>
                <c:pt idx="75">
                  <c:v>104.98086985298401</c:v>
                </c:pt>
                <c:pt idx="76">
                  <c:v>105.26128739358303</c:v>
                </c:pt>
                <c:pt idx="77">
                  <c:v>105.49189121723211</c:v>
                </c:pt>
                <c:pt idx="78">
                  <c:v>105.63515541365813</c:v>
                </c:pt>
                <c:pt idx="79">
                  <c:v>105.63697159431509</c:v>
                </c:pt>
                <c:pt idx="80">
                  <c:v>105.65011497243376</c:v>
                </c:pt>
                <c:pt idx="81">
                  <c:v>105.72912481875551</c:v>
                </c:pt>
                <c:pt idx="82">
                  <c:v>105.69292756464468</c:v>
                </c:pt>
                <c:pt idx="83">
                  <c:v>105.71223543498967</c:v>
                </c:pt>
                <c:pt idx="84">
                  <c:v>106.60698866601901</c:v>
                </c:pt>
                <c:pt idx="85">
                  <c:v>107.49475749273742</c:v>
                </c:pt>
                <c:pt idx="86">
                  <c:v>108.14841516229716</c:v>
                </c:pt>
                <c:pt idx="87">
                  <c:v>107.98358277682139</c:v>
                </c:pt>
                <c:pt idx="88">
                  <c:v>106.20175416820416</c:v>
                </c:pt>
                <c:pt idx="89">
                  <c:v>103.79971735233913</c:v>
                </c:pt>
                <c:pt idx="90">
                  <c:v>101.58468345707314</c:v>
                </c:pt>
                <c:pt idx="91">
                  <c:v>100.49596431785648</c:v>
                </c:pt>
                <c:pt idx="92">
                  <c:v>99.978877716300701</c:v>
                </c:pt>
                <c:pt idx="93">
                  <c:v>99.652124727788163</c:v>
                </c:pt>
                <c:pt idx="94">
                  <c:v>99.515765951109472</c:v>
                </c:pt>
                <c:pt idx="95">
                  <c:v>99.342566027601308</c:v>
                </c:pt>
                <c:pt idx="96">
                  <c:v>98.93146282883265</c:v>
                </c:pt>
                <c:pt idx="97">
                  <c:v>98.644122463821589</c:v>
                </c:pt>
                <c:pt idx="98">
                  <c:v>98.432977739291346</c:v>
                </c:pt>
                <c:pt idx="99">
                  <c:v>98.141925965612032</c:v>
                </c:pt>
                <c:pt idx="100">
                  <c:v>98.248991584499876</c:v>
                </c:pt>
                <c:pt idx="101">
                  <c:v>98.607088873783496</c:v>
                </c:pt>
                <c:pt idx="102">
                  <c:v>98.684593706971626</c:v>
                </c:pt>
                <c:pt idx="103">
                  <c:v>98.732168307963505</c:v>
                </c:pt>
                <c:pt idx="104">
                  <c:v>98.938555634212562</c:v>
                </c:pt>
                <c:pt idx="105">
                  <c:v>99.567547058773357</c:v>
                </c:pt>
                <c:pt idx="106">
                  <c:v>99.621245585005866</c:v>
                </c:pt>
                <c:pt idx="107">
                  <c:v>99.734707017655822</c:v>
                </c:pt>
                <c:pt idx="108">
                  <c:v>99.671272720719443</c:v>
                </c:pt>
                <c:pt idx="109">
                  <c:v>99.962374291116618</c:v>
                </c:pt>
                <c:pt idx="110">
                  <c:v>100.75287722706932</c:v>
                </c:pt>
                <c:pt idx="111">
                  <c:v>100.91723456914178</c:v>
                </c:pt>
                <c:pt idx="112">
                  <c:v>100.69191115691271</c:v>
                </c:pt>
                <c:pt idx="113">
                  <c:v>100.53823960009341</c:v>
                </c:pt>
                <c:pt idx="114">
                  <c:v>100.38322314366556</c:v>
                </c:pt>
                <c:pt idx="115">
                  <c:v>100.29355345368185</c:v>
                </c:pt>
                <c:pt idx="116">
                  <c:v>100.11731742412745</c:v>
                </c:pt>
                <c:pt idx="117">
                  <c:v>99.822125016122484</c:v>
                </c:pt>
                <c:pt idx="118">
                  <c:v>98.995065996854819</c:v>
                </c:pt>
                <c:pt idx="119">
                  <c:v>98.404090578581645</c:v>
                </c:pt>
                <c:pt idx="120">
                  <c:v>97.846653612282154</c:v>
                </c:pt>
                <c:pt idx="121">
                  <c:v>97.859216889730135</c:v>
                </c:pt>
                <c:pt idx="122">
                  <c:v>97.893387511707942</c:v>
                </c:pt>
                <c:pt idx="123">
                  <c:v>97.816083614117147</c:v>
                </c:pt>
                <c:pt idx="124">
                  <c:v>97.749415274524168</c:v>
                </c:pt>
                <c:pt idx="125">
                  <c:v>97.633356201840556</c:v>
                </c:pt>
                <c:pt idx="126">
                  <c:v>97.46808971341747</c:v>
                </c:pt>
                <c:pt idx="127">
                  <c:v>97.398568626911057</c:v>
                </c:pt>
                <c:pt idx="128">
                  <c:v>97.425986635896663</c:v>
                </c:pt>
                <c:pt idx="129">
                  <c:v>97.460477094805412</c:v>
                </c:pt>
                <c:pt idx="130">
                  <c:v>97.714594604276542</c:v>
                </c:pt>
                <c:pt idx="131">
                  <c:v>98.111336561677405</c:v>
                </c:pt>
                <c:pt idx="132">
                  <c:v>98.162206088515831</c:v>
                </c:pt>
                <c:pt idx="133">
                  <c:v>98.196306893809819</c:v>
                </c:pt>
                <c:pt idx="134">
                  <c:v>98.18236340685246</c:v>
                </c:pt>
                <c:pt idx="135">
                  <c:v>98.076274556751855</c:v>
                </c:pt>
                <c:pt idx="136">
                  <c:v>97.721402344247934</c:v>
                </c:pt>
                <c:pt idx="137">
                  <c:v>97.646095053738236</c:v>
                </c:pt>
                <c:pt idx="138">
                  <c:v>97.986379817245734</c:v>
                </c:pt>
                <c:pt idx="139">
                  <c:v>98.292443213248745</c:v>
                </c:pt>
                <c:pt idx="140">
                  <c:v>98.764859460259274</c:v>
                </c:pt>
                <c:pt idx="141">
                  <c:v>98.801834878400882</c:v>
                </c:pt>
                <c:pt idx="142">
                  <c:v>98.789351387288178</c:v>
                </c:pt>
                <c:pt idx="143">
                  <c:v>98.810111056808395</c:v>
                </c:pt>
                <c:pt idx="144">
                  <c:v>98.695367319686682</c:v>
                </c:pt>
                <c:pt idx="145">
                  <c:v>98.621952910361756</c:v>
                </c:pt>
                <c:pt idx="146">
                  <c:v>98.917854915270965</c:v>
                </c:pt>
                <c:pt idx="147">
                  <c:v>99.1471582821558</c:v>
                </c:pt>
                <c:pt idx="148">
                  <c:v>99.16133812690353</c:v>
                </c:pt>
                <c:pt idx="149">
                  <c:v>99.354524034103775</c:v>
                </c:pt>
                <c:pt idx="150">
                  <c:v>99.538104832946516</c:v>
                </c:pt>
                <c:pt idx="151">
                  <c:v>99.992391017322859</c:v>
                </c:pt>
                <c:pt idx="152">
                  <c:v>100.3854233170144</c:v>
                </c:pt>
                <c:pt idx="153">
                  <c:v>100.76369829459136</c:v>
                </c:pt>
                <c:pt idx="154">
                  <c:v>100.68811421040024</c:v>
                </c:pt>
                <c:pt idx="155">
                  <c:v>100.16655724454968</c:v>
                </c:pt>
                <c:pt idx="156">
                  <c:v>99.919389321640011</c:v>
                </c:pt>
                <c:pt idx="157">
                  <c:v>99.836202840394066</c:v>
                </c:pt>
                <c:pt idx="158">
                  <c:v>99.765896933595641</c:v>
                </c:pt>
                <c:pt idx="159">
                  <c:v>99.696989715708739</c:v>
                </c:pt>
                <c:pt idx="160">
                  <c:v>99.48653671703056</c:v>
                </c:pt>
                <c:pt idx="161">
                  <c:v>99.087585500997847</c:v>
                </c:pt>
                <c:pt idx="162">
                  <c:v>98.773491112433291</c:v>
                </c:pt>
                <c:pt idx="163">
                  <c:v>98.057522721438062</c:v>
                </c:pt>
                <c:pt idx="164">
                  <c:v>97.500053332403468</c:v>
                </c:pt>
                <c:pt idx="165">
                  <c:v>96.896603690724632</c:v>
                </c:pt>
                <c:pt idx="166">
                  <c:v>96.460706422130755</c:v>
                </c:pt>
                <c:pt idx="167">
                  <c:v>96.101873962851798</c:v>
                </c:pt>
                <c:pt idx="168">
                  <c:v>95.980023503290525</c:v>
                </c:pt>
                <c:pt idx="169">
                  <c:v>95.639354806542627</c:v>
                </c:pt>
                <c:pt idx="170">
                  <c:v>95.449726133752378</c:v>
                </c:pt>
                <c:pt idx="171">
                  <c:v>95.338836017397156</c:v>
                </c:pt>
                <c:pt idx="172">
                  <c:v>95.445500582330482</c:v>
                </c:pt>
                <c:pt idx="173">
                  <c:v>95.517875165870791</c:v>
                </c:pt>
                <c:pt idx="174">
                  <c:v>95.330121163214443</c:v>
                </c:pt>
                <c:pt idx="175">
                  <c:v>94.869706408577443</c:v>
                </c:pt>
                <c:pt idx="176">
                  <c:v>94.712480671732692</c:v>
                </c:pt>
                <c:pt idx="177">
                  <c:v>94.71786828443193</c:v>
                </c:pt>
                <c:pt idx="178">
                  <c:v>94.790583570861628</c:v>
                </c:pt>
                <c:pt idx="179">
                  <c:v>95.096690639499528</c:v>
                </c:pt>
                <c:pt idx="180">
                  <c:v>95.241751907143197</c:v>
                </c:pt>
                <c:pt idx="181">
                  <c:v>95.354465089602598</c:v>
                </c:pt>
                <c:pt idx="182">
                  <c:v>95.608235927767751</c:v>
                </c:pt>
                <c:pt idx="183">
                  <c:v>95.437128305945407</c:v>
                </c:pt>
                <c:pt idx="184">
                  <c:v>95.311193364413384</c:v>
                </c:pt>
                <c:pt idx="185">
                  <c:v>95.102259680899877</c:v>
                </c:pt>
                <c:pt idx="186">
                  <c:v>95.109490021693574</c:v>
                </c:pt>
                <c:pt idx="187">
                  <c:v>95.102020070533186</c:v>
                </c:pt>
                <c:pt idx="188">
                  <c:v>95.094691311422608</c:v>
                </c:pt>
                <c:pt idx="189">
                  <c:v>95.183937881727786</c:v>
                </c:pt>
                <c:pt idx="190">
                  <c:v>95.198790183702656</c:v>
                </c:pt>
                <c:pt idx="191">
                  <c:v>95.153423119756994</c:v>
                </c:pt>
                <c:pt idx="192">
                  <c:v>95.103603694968356</c:v>
                </c:pt>
                <c:pt idx="193">
                  <c:v>94.902235020431405</c:v>
                </c:pt>
                <c:pt idx="194">
                  <c:v>95.040803752881885</c:v>
                </c:pt>
                <c:pt idx="195">
                  <c:v>95.430878524076974</c:v>
                </c:pt>
                <c:pt idx="196">
                  <c:v>95.690424967314954</c:v>
                </c:pt>
                <c:pt idx="197">
                  <c:v>96.147026779398558</c:v>
                </c:pt>
                <c:pt idx="198">
                  <c:v>96.693361907292143</c:v>
                </c:pt>
                <c:pt idx="199">
                  <c:v>97.240907786620298</c:v>
                </c:pt>
                <c:pt idx="200">
                  <c:v>97.422972483974007</c:v>
                </c:pt>
                <c:pt idx="201">
                  <c:v>97.573986588701558</c:v>
                </c:pt>
                <c:pt idx="202">
                  <c:v>97.866038081947579</c:v>
                </c:pt>
                <c:pt idx="203">
                  <c:v>97.911224786694731</c:v>
                </c:pt>
                <c:pt idx="204">
                  <c:v>97.979601121459581</c:v>
                </c:pt>
                <c:pt idx="205">
                  <c:v>97.72461430239251</c:v>
                </c:pt>
                <c:pt idx="206">
                  <c:v>97.420839674473683</c:v>
                </c:pt>
                <c:pt idx="207">
                  <c:v>97.54736757892195</c:v>
                </c:pt>
                <c:pt idx="208">
                  <c:v>97.251519955994866</c:v>
                </c:pt>
                <c:pt idx="209">
                  <c:v>96.719575266327482</c:v>
                </c:pt>
                <c:pt idx="210">
                  <c:v>96.468402486962518</c:v>
                </c:pt>
                <c:pt idx="211">
                  <c:v>95.830207964195978</c:v>
                </c:pt>
                <c:pt idx="212">
                  <c:v>95.459797723094823</c:v>
                </c:pt>
                <c:pt idx="213">
                  <c:v>95.423826837826027</c:v>
                </c:pt>
                <c:pt idx="214">
                  <c:v>95.302136994104572</c:v>
                </c:pt>
                <c:pt idx="215">
                  <c:v>95.35325450529173</c:v>
                </c:pt>
                <c:pt idx="216">
                  <c:v>95.478145075966012</c:v>
                </c:pt>
                <c:pt idx="217">
                  <c:v>95.484522481616267</c:v>
                </c:pt>
                <c:pt idx="218">
                  <c:v>95.449081201536089</c:v>
                </c:pt>
                <c:pt idx="219">
                  <c:v>95.15732574177423</c:v>
                </c:pt>
                <c:pt idx="220">
                  <c:v>95.032437045640435</c:v>
                </c:pt>
                <c:pt idx="221">
                  <c:v>95.093367986084331</c:v>
                </c:pt>
                <c:pt idx="222">
                  <c:v>95.08848306807289</c:v>
                </c:pt>
                <c:pt idx="223">
                  <c:v>95.089829078248513</c:v>
                </c:pt>
                <c:pt idx="224">
                  <c:v>95.042903519760188</c:v>
                </c:pt>
                <c:pt idx="225">
                  <c:v>95.066391854567044</c:v>
                </c:pt>
                <c:pt idx="226">
                  <c:v>95.34811434555985</c:v>
                </c:pt>
                <c:pt idx="227">
                  <c:v>95.480154429099215</c:v>
                </c:pt>
                <c:pt idx="228">
                  <c:v>95.550382171011918</c:v>
                </c:pt>
                <c:pt idx="229">
                  <c:v>95.595979333757469</c:v>
                </c:pt>
                <c:pt idx="230">
                  <c:v>95.338351849804042</c:v>
                </c:pt>
                <c:pt idx="231">
                  <c:v>95.36246506969367</c:v>
                </c:pt>
                <c:pt idx="232">
                  <c:v>95.289794188848845</c:v>
                </c:pt>
                <c:pt idx="233">
                  <c:v>94.77827773744103</c:v>
                </c:pt>
                <c:pt idx="234">
                  <c:v>94.413101879448817</c:v>
                </c:pt>
                <c:pt idx="235">
                  <c:v>93.918096146989654</c:v>
                </c:pt>
                <c:pt idx="236">
                  <c:v>93.510559957140217</c:v>
                </c:pt>
                <c:pt idx="237">
                  <c:v>93.415626385312933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A6-4085-9D64-B09C8D39F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217087"/>
        <c:axId val="1137223327"/>
      </c:lineChart>
      <c:dateAx>
        <c:axId val="11372170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223327"/>
        <c:crosses val="autoZero"/>
        <c:auto val="1"/>
        <c:lblOffset val="100"/>
        <c:baseTimeUnit val="days"/>
      </c:dateAx>
      <c:valAx>
        <c:axId val="1137223327"/>
        <c:scaling>
          <c:orientation val="minMax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21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510268</xdr:colOff>
      <xdr:row>21</xdr:row>
      <xdr:rowOff>187779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AEA971-5EBF-4239-964E-BC9852C97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10</xdr:col>
      <xdr:colOff>485774</xdr:colOff>
      <xdr:row>43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143D24-6149-490D-A55C-040897278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238">
    <v t="i">1</v>
    <v t="i">2</v>
    <v t="i">5</v>
    <v t="i">6</v>
    <v t="i">7</v>
    <v t="i">9</v>
    <v t="i">12</v>
    <v t="i">13</v>
    <v t="i">14</v>
    <v t="i">15</v>
    <v t="i">16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170</v>
    <v t="i">173</v>
    <v t="i">174</v>
    <v t="i">175</v>
    <v t="i">176</v>
    <v t="i">177</v>
    <v t="i">180</v>
    <v t="i">181</v>
    <v t="i">182</v>
    <v t="i">183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  <v t="i">292</v>
    <v t="i">293</v>
    <v t="i">294</v>
    <v t="i">295</v>
    <v t="i">296</v>
    <v t="i">299</v>
    <v t="i">300</v>
    <v t="i">301</v>
    <v t="i">302</v>
    <v t="i">303</v>
    <v t="i">306</v>
    <v t="i">307</v>
    <v t="i">308</v>
    <v t="i">309</v>
    <v t="i">310</v>
    <v t="i">313</v>
    <v t="i">314</v>
    <v t="i">315</v>
    <v t="i">316</v>
    <v t="i">317</v>
    <v t="i">320</v>
    <v t="i">321</v>
    <v t="i">322</v>
    <v t="i">323</v>
    <v t="i">324</v>
    <v t="i">327</v>
    <v t="i">328</v>
    <v t="i">329</v>
    <v t="i">331</v>
    <v t="i">334</v>
    <v t="i">335</v>
    <v t="i">336</v>
    <v t="i">337</v>
    <v t="i">338</v>
    <v t="i">341</v>
    <v t="i">342</v>
    <v t="i">343</v>
    <v t="i">344</v>
    <v t="i">345</v>
  </a>
  <a r="1" c="238">
    <v>89.03</v>
    <v>89.24</v>
    <v>88.37</v>
    <v>88</v>
    <v>89.01</v>
    <v>88.15</v>
    <v>88.47</v>
    <v>89.37</v>
    <v>90.23</v>
    <v>92.22</v>
    <v>93.65</v>
    <v>93.21</v>
    <v>90.77</v>
    <v>90.76</v>
    <v>90.6</v>
    <v>94.89</v>
    <v>93.39</v>
    <v>92.57</v>
    <v>93.86</v>
    <v>93.74</v>
    <v>95.62</v>
    <v>94.91</v>
    <v>96.19</v>
    <v>95.42</v>
    <v>96.08</v>
    <v>96.7</v>
    <v>96.31</v>
    <v>94.57</v>
    <v>95.66</v>
    <v>94.92</v>
    <v>95.76</v>
    <v>95.26</v>
    <v>95.76</v>
    <v>98.26</v>
    <v>99.68</v>
    <v>100.97</v>
    <v>99.96</v>
    <v>99.92</v>
    <v>101.52</v>
    <v>104.02</v>
    <v>102.15</v>
    <v>100.2</v>
    <v>100.91</v>
    <v>103.64</v>
    <v>106.66</v>
    <v>103.77</v>
    <v>102.64</v>
    <v>104.57</v>
    <v>106.41</v>
    <v>107.62</v>
    <v>107.81</v>
    <v>107.49</v>
    <v>108.48</v>
    <v>107.8</v>
    <v>106.83</v>
    <v>105.55</v>
    <v>107.46</v>
    <v>107.89</v>
    <v>108.77</v>
    <v>110.59</v>
    <v>110.06</v>
    <v>109.58</v>
    <v>112.72</v>
    <v>109.32</v>
    <v>105.4</v>
    <v>106.05</v>
    <v>105.77</v>
    <v>108.3</v>
    <v>109.84</v>
    <v>112.25</v>
    <v>111.81</v>
    <v>111.44</v>
    <v>112.1</v>
    <v>110.96</v>
    <v>113.3</v>
    <v>112.52</v>
    <v>111.29</v>
    <v>110.45</v>
    <v>111.13</v>
    <v>112.13</v>
    <v>112.75</v>
    <v>112.56</v>
    <v>110.03</v>
    <v>109.52</v>
    <v>110.47</v>
    <v>111.04</v>
    <v>107.75</v>
    <v>107.68</v>
    <v>103.54</v>
    <v>100.58</v>
    <v>99.27</v>
    <v>102.01</v>
    <v>104.29</v>
    <v>105.38</v>
    <v>105.71</v>
    <v>105.22</v>
    <v>103.42</v>
    <v>104.1</v>
    <v>103.97</v>
    <v>102.11</v>
    <v>103.38</v>
    <v>104.49</v>
    <v>103.86</v>
    <v>103.24</v>
    <v>102.21</v>
    <v>102.27</v>
    <v>101.61</v>
    <v>101.11</v>
    <v>102.4</v>
    <v>102.55</v>
    <v>103.76</v>
    <v>103.96</v>
    <v>101.63</v>
    <v>101.35</v>
    <v>100.73</v>
    <v>100.97</v>
    <v>101.15</v>
    <v>100.19</v>
    <v>98.05</v>
    <v>98.41</v>
    <v>98.15</v>
    <v>100.35</v>
    <v>100.78</v>
    <v>99.92</v>
    <v>100.31</v>
    <v>99.71</v>
    <v>99.31</v>
    <v>99.97</v>
    <v>101.07</v>
    <v>100.59</v>
    <v>101.01</v>
    <v>99.95</v>
    <v>100.46</v>
    <v>100.6</v>
    <v>101.08</v>
    <v>102.07</v>
    <v>103.59</v>
    <v>102.55</v>
    <v>102.05</v>
    <v>102.26</v>
    <v>100.98</v>
    <v>102.24</v>
    <v>102.59</v>
    <v>103.5</v>
    <v>104.44</v>
    <v>105.36</v>
    <v>104.18</v>
    <v>104.15</v>
    <v>105</v>
    <v>104.48</v>
    <v>104.12</v>
    <v>103.69</v>
    <v>103.66</v>
    <v>102.86</v>
    <v>100.77</v>
    <v>99.74</v>
    <v>101.1</v>
    <v>101.76</v>
    <v>101.5</v>
    <v>101.65</v>
    <v>99.95</v>
    <v>99.72</v>
    <v>100.07</v>
    <v>98.17</v>
    <v>98.23</v>
    <v>97.2</v>
    <v>97.85</v>
    <v>97.8</v>
    <v>98.05</v>
    <v>96.65</v>
    <v>96.98</v>
    <v>97.08</v>
    <v>97.7</v>
    <v>97.55</v>
    <v>97</v>
    <v>95.57</v>
    <v>96.4</v>
    <v>96.35</v>
    <v>96.33</v>
    <v>96.62</v>
    <v>98.55</v>
    <v>98.81</v>
    <v>98.35</v>
    <v>99.62</v>
    <v>99.57</v>
    <v>100.52</v>
    <v>98.17</v>
    <v>97.64</v>
    <v>98.81</v>
    <v>99.33</v>
    <v>100.04</v>
    <v>100.83</v>
    <v>100.8</v>
    <v>102.39</v>
    <v>100.86</v>
    <v>101.89</v>
    <v>102.29</v>
    <v>101.07</v>
    <v>101.19</v>
    <v>101.72</v>
    <v>101.56</v>
    <v>101.94</v>
    <v>100.77</v>
    <v>100.04</v>
    <v>100.22</v>
    <v>98.55</v>
    <v>97</v>
    <v>98.19</v>
    <v>97.41</v>
    <v>96.64</v>
    <v>97.96</v>
    <v>96.11</v>
    <v>96.99</v>
    <v>98.52</v>
    <v>98.24</v>
    <v>99.59</v>
    <v>100.19</v>
    <v>100.95</v>
    <v>101.66</v>
    <v>103.85</v>
    <v>102.91</v>
    <v>100.38</v>
    <v>100.95</v>
    <v>100.16</v>
    <v>98.92</v>
    <v>98.85</v>
    <v>100.14</v>
    <v>100.36</v>
    <v>97.88</v>
    <v>96.87</v>
    <v>96.45</v>
    <v>96.22</v>
    <v>96.6</v>
    <v>95.45</v>
    <v>95.82</v>
    <v>95.41</v>
    <v>95.64</v>
    <v>97.53</v>
  </a>
  <a r="1" c="238">
    <v>1557946</v>
    <v>1954733</v>
    <v>1981278</v>
    <v>2861220</v>
    <v>1793238</v>
    <v>2243180</v>
    <v>1883715</v>
    <v>2103980</v>
    <v>1972026</v>
    <v>2097561</v>
    <v>3516804</v>
    <v>2761523</v>
    <v>1805432</v>
    <v>1649741</v>
    <v>2596989</v>
    <v>4043815</v>
    <v>2470603</v>
    <v>1935876</v>
    <v>2274316</v>
    <v>6072722</v>
    <v>3234925</v>
    <v>2186451</v>
    <v>1874087</v>
    <v>1587040</v>
    <v>1520031</v>
    <v>1570620</v>
    <v>3162385</v>
    <v>3704165</v>
    <v>1860296</v>
    <v>1948212</v>
    <v>2568491</v>
    <v>1857550</v>
    <v>2580181</v>
    <v>4414893</v>
    <v>2943078</v>
    <v>3481345</v>
    <v>2072708</v>
    <v>3314096</v>
    <v>5254613</v>
    <v>3555914</v>
    <v>3592034</v>
    <v>5509676</v>
    <v>4345916</v>
    <v>2865771</v>
    <v>3471894</v>
    <v>2731268</v>
    <v>3739207</v>
    <v>2392163</v>
    <v>3779158</v>
    <v>3930736</v>
    <v>3275711</v>
    <v>2293611</v>
    <v>1896164</v>
    <v>4415458</v>
    <v>1897938</v>
    <v>2543771</v>
    <v>1925093</v>
    <v>1859144</v>
    <v>2392331</v>
    <v>2920439</v>
    <v>2507642</v>
    <v>2015191</v>
    <v>4175537</v>
    <v>6395885</v>
    <v>4405486</v>
    <v>2683063</v>
    <v>4912769</v>
    <v>3382289</v>
    <v>2617288</v>
    <v>2133340</v>
    <v>2314523</v>
    <v>2133038</v>
    <v>2055242</v>
    <v>2333943</v>
    <v>1833656</v>
    <v>2098373</v>
    <v>2389269</v>
    <v>2820849</v>
    <v>2938240</v>
    <v>2000418</v>
    <v>4940839</v>
    <v>3265519</v>
    <v>3421767</v>
    <v>3225219</v>
    <v>2186858</v>
    <v>3555181</v>
    <v>3652455</v>
    <v>2248912</v>
    <v>3918415</v>
    <v>4495917</v>
    <v>3383905</v>
    <v>3497345</v>
    <v>2758882</v>
    <v>2047865</v>
    <v>2177662</v>
    <v>2741568</v>
    <v>2266069</v>
    <v>2116235</v>
    <v>2638922</v>
    <v>1945687</v>
    <v>2762859</v>
    <v>6398572</v>
    <v>2292241</v>
    <v>2316659</v>
    <v>1845717</v>
    <v>2734457</v>
    <v>1694578</v>
    <v>1781808</v>
    <v>2311885</v>
    <v>2439137</v>
    <v>1902564</v>
    <v>3337359</v>
    <v>2737989</v>
    <v>2844894</v>
    <v>2620595</v>
    <v>7504224</v>
    <v>3957784</v>
    <v>2952898</v>
    <v>4397192</v>
    <v>2655622</v>
    <v>2880053</v>
    <v>2930483</v>
    <v>2749128</v>
    <v>2485839</v>
    <v>1316576</v>
    <v>1800719</v>
    <v>3451218</v>
    <v>2782533</v>
    <v>1851807</v>
    <v>1853687</v>
    <v>1409864</v>
    <v>1731322</v>
    <v>1865373</v>
    <v>2131709</v>
    <v>1813453</v>
    <v>1667769</v>
    <v>1663862</v>
    <v>2563086</v>
    <v>2467810</v>
    <v>1375737</v>
    <v>1995248</v>
    <v>1265041</v>
    <v>1565213</v>
    <v>3483197</v>
    <v>2272580</v>
    <v>2345153</v>
    <v>2515949</v>
    <v>1993167</v>
    <v>2577713</v>
    <v>2796477</v>
    <v>2357182</v>
    <v>2578774</v>
    <v>2728415</v>
    <v>2171761</v>
    <v>3098753</v>
    <v>2789322</v>
    <v>3948355</v>
    <v>3216440</v>
    <v>2282712</v>
    <v>2753050</v>
    <v>2498894</v>
    <v>3309463</v>
    <v>4313818</v>
    <v>2400163</v>
    <v>4220120</v>
    <v>3019315</v>
    <v>4306674</v>
    <v>2033303</v>
    <v>1724666</v>
    <v>2189394</v>
    <v>1282697</v>
    <v>1603960</v>
    <v>1689992</v>
    <v>1249463</v>
    <v>1351898</v>
    <v>2116706</v>
    <v>1879757</v>
    <v>1815705</v>
    <v>4091681</v>
    <v>1938992</v>
    <v>2204294</v>
    <v>1611788</v>
    <v>1848471</v>
    <v>1947302</v>
    <v>1875302</v>
    <v>2199219</v>
    <v>2301874</v>
    <v>1449485</v>
    <v>1676205</v>
    <v>1769805</v>
    <v>1722042</v>
    <v>1570590</v>
    <v>1816124</v>
    <v>2059205</v>
    <v>1515680</v>
    <v>1423256</v>
    <v>1556615</v>
    <v>1558806</v>
    <v>1597575</v>
    <v>1129321</v>
    <v>1116965</v>
    <v>1508989</v>
    <v>1302838</v>
    <v>1036366</v>
    <v>1537561</v>
    <v>1156747</v>
    <v>1804147</v>
    <v>2073284</v>
    <v>2770794</v>
    <v>1692176</v>
    <v>1614634</v>
    <v>2273863</v>
    <v>3064515</v>
    <v>2924446</v>
    <v>2188924</v>
    <v>1779798</v>
    <v>1340259</v>
    <v>1977816</v>
    <v>2443256</v>
    <v>3007831</v>
    <v>2585563</v>
    <v>3059734</v>
    <v>2462396</v>
    <v>4721989</v>
    <v>7708010</v>
    <v>2127188</v>
    <v>1305669</v>
    <v>1063335</v>
    <v>2744812</v>
    <v>2753150</v>
    <v>1762033</v>
    <v>2303530</v>
    <v>1775844</v>
    <v>2089307</v>
    <v>1823336</v>
    <v>1848956</v>
    <v>1396780</v>
    <v>2638227</v>
  </a>
</arrayData>
</file>

<file path=xl/richData/rdrichvalue.xml><?xml version="1.0" encoding="utf-8"?>
<rvData xmlns="http://schemas.microsoft.com/office/spreadsheetml/2017/richdata" count="700">
  <rv s="0">
    <fb>45659</fb>
    <v>0</v>
  </rv>
  <rv s="0">
    <fb>89.03</fb>
    <v>1</v>
  </rv>
  <rv s="0">
    <fb>1557946</fb>
    <v>2</v>
  </rv>
  <rv s="0">
    <fb>45660</fb>
    <v>0</v>
  </rv>
  <rv s="0">
    <fb>89.24</fb>
    <v>1</v>
  </rv>
  <rv s="0">
    <fb>1954733</fb>
    <v>2</v>
  </rv>
  <rv s="0">
    <fb>45663</fb>
    <v>0</v>
  </rv>
  <rv s="0">
    <fb>88.37</fb>
    <v>1</v>
  </rv>
  <rv s="0">
    <fb>1981278</fb>
    <v>2</v>
  </rv>
  <rv s="0">
    <fb>45664</fb>
    <v>0</v>
  </rv>
  <rv s="0">
    <fb>88</fb>
    <v>1</v>
  </rv>
  <rv s="0">
    <fb>2861220</fb>
    <v>2</v>
  </rv>
  <rv s="0">
    <fb>45665</fb>
    <v>0</v>
  </rv>
  <rv s="0">
    <fb>89.01</fb>
    <v>1</v>
  </rv>
  <rv s="0">
    <fb>1793238</fb>
    <v>2</v>
  </rv>
  <rv s="0">
    <fb>45667</fb>
    <v>0</v>
  </rv>
  <rv s="0">
    <fb>88.15</fb>
    <v>1</v>
  </rv>
  <rv s="0">
    <fb>2243180</fb>
    <v>2</v>
  </rv>
  <rv s="0">
    <fb>45670</fb>
    <v>0</v>
  </rv>
  <rv s="0">
    <fb>88.47</fb>
    <v>1</v>
  </rv>
  <rv s="0">
    <fb>1883715</fb>
    <v>2</v>
  </rv>
  <rv s="0">
    <fb>45671</fb>
    <v>0</v>
  </rv>
  <rv s="0">
    <fb>89.37</fb>
    <v>1</v>
  </rv>
  <rv s="0">
    <fb>2103980</fb>
    <v>2</v>
  </rv>
  <rv s="0">
    <fb>45672</fb>
    <v>0</v>
  </rv>
  <rv s="0">
    <fb>90.23</fb>
    <v>1</v>
  </rv>
  <rv s="0">
    <fb>1972026</fb>
    <v>2</v>
  </rv>
  <rv s="0">
    <fb>45673</fb>
    <v>0</v>
  </rv>
  <rv s="0">
    <fb>92.22</fb>
    <v>1</v>
  </rv>
  <rv s="0">
    <fb>2097561</fb>
    <v>2</v>
  </rv>
  <rv s="0">
    <fb>45674</fb>
    <v>0</v>
  </rv>
  <rv s="0">
    <fb>93.65</fb>
    <v>1</v>
  </rv>
  <rv s="0">
    <fb>3516804</fb>
    <v>2</v>
  </rv>
  <rv s="0">
    <fb>45678</fb>
    <v>0</v>
  </rv>
  <rv s="0">
    <fb>93.21</fb>
    <v>1</v>
  </rv>
  <rv s="0">
    <fb>2761523</fb>
    <v>2</v>
  </rv>
  <rv s="0">
    <fb>45679</fb>
    <v>0</v>
  </rv>
  <rv s="0">
    <fb>90.77</fb>
    <v>1</v>
  </rv>
  <rv s="0">
    <fb>1805432</fb>
    <v>2</v>
  </rv>
  <rv s="0">
    <fb>45680</fb>
    <v>0</v>
  </rv>
  <rv s="0">
    <fb>90.76</fb>
    <v>1</v>
  </rv>
  <rv s="0">
    <fb>1649741</fb>
    <v>2</v>
  </rv>
  <rv s="0">
    <fb>45681</fb>
    <v>0</v>
  </rv>
  <rv s="0">
    <fb>90.6</fb>
    <v>1</v>
  </rv>
  <rv s="0">
    <fb>2596989</fb>
    <v>2</v>
  </rv>
  <rv s="0">
    <fb>45684</fb>
    <v>0</v>
  </rv>
  <rv s="0">
    <fb>94.89</fb>
    <v>1</v>
  </rv>
  <rv s="0">
    <fb>4043815</fb>
    <v>2</v>
  </rv>
  <rv s="0">
    <fb>45685</fb>
    <v>0</v>
  </rv>
  <rv s="0">
    <fb>93.39</fb>
    <v>1</v>
  </rv>
  <rv s="0">
    <fb>2470603</fb>
    <v>2</v>
  </rv>
  <rv s="0">
    <fb>45686</fb>
    <v>0</v>
  </rv>
  <rv s="0">
    <fb>92.57</fb>
    <v>1</v>
  </rv>
  <rv s="0">
    <fb>1935876</fb>
    <v>2</v>
  </rv>
  <rv s="0">
    <fb>45687</fb>
    <v>0</v>
  </rv>
  <rv s="0">
    <fb>93.86</fb>
    <v>1</v>
  </rv>
  <rv s="0">
    <fb>2274316</fb>
    <v>2</v>
  </rv>
  <rv s="0">
    <fb>45688</fb>
    <v>0</v>
  </rv>
  <rv s="0">
    <fb>93.74</fb>
    <v>1</v>
  </rv>
  <rv s="0">
    <fb>6072722</fb>
    <v>2</v>
  </rv>
  <rv s="0">
    <fb>45691</fb>
    <v>0</v>
  </rv>
  <rv s="0">
    <fb>95.62</fb>
    <v>1</v>
  </rv>
  <rv s="0">
    <fb>3234925</fb>
    <v>2</v>
  </rv>
  <rv s="0">
    <fb>45692</fb>
    <v>0</v>
  </rv>
  <rv s="0">
    <fb>94.91</fb>
    <v>1</v>
  </rv>
  <rv s="0">
    <fb>2186451</fb>
    <v>2</v>
  </rv>
  <rv s="0">
    <fb>45693</fb>
    <v>0</v>
  </rv>
  <rv s="0">
    <fb>96.19</fb>
    <v>1</v>
  </rv>
  <rv s="0">
    <fb>1874087</fb>
    <v>2</v>
  </rv>
  <rv s="0">
    <fb>45694</fb>
    <v>0</v>
  </rv>
  <rv s="0">
    <fb>95.42</fb>
    <v>1</v>
  </rv>
  <rv s="0">
    <fb>1587040</fb>
    <v>2</v>
  </rv>
  <rv s="0">
    <fb>45695</fb>
    <v>0</v>
  </rv>
  <rv s="0">
    <fb>96.08</fb>
    <v>1</v>
  </rv>
  <rv s="0">
    <fb>1520031</fb>
    <v>2</v>
  </rv>
  <rv s="0">
    <fb>45698</fb>
    <v>0</v>
  </rv>
  <rv s="0">
    <fb>96.7</fb>
    <v>1</v>
  </rv>
  <rv s="0">
    <fb>1570620</fb>
    <v>2</v>
  </rv>
  <rv s="0">
    <fb>45699</fb>
    <v>0</v>
  </rv>
  <rv s="0">
    <fb>96.31</fb>
    <v>1</v>
  </rv>
  <rv s="0">
    <fb>3162385</fb>
    <v>2</v>
  </rv>
  <rv s="0">
    <fb>45700</fb>
    <v>0</v>
  </rv>
  <rv s="0">
    <fb>94.57</fb>
    <v>1</v>
  </rv>
  <rv s="0">
    <fb>3704165</fb>
    <v>2</v>
  </rv>
  <rv s="0">
    <fb>45701</fb>
    <v>0</v>
  </rv>
  <rv s="0">
    <fb>95.66</fb>
    <v>1</v>
  </rv>
  <rv s="0">
    <fb>1860296</fb>
    <v>2</v>
  </rv>
  <rv s="0">
    <fb>45702</fb>
    <v>0</v>
  </rv>
  <rv s="0">
    <fb>94.92</fb>
    <v>1</v>
  </rv>
  <rv s="0">
    <fb>1948212</fb>
    <v>2</v>
  </rv>
  <rv s="0">
    <fb>45706</fb>
    <v>0</v>
  </rv>
  <rv s="0">
    <fb>95.76</fb>
    <v>1</v>
  </rv>
  <rv s="0">
    <fb>2568491</fb>
    <v>2</v>
  </rv>
  <rv s="0">
    <fb>45707</fb>
    <v>0</v>
  </rv>
  <rv s="0">
    <fb>95.26</fb>
    <v>1</v>
  </rv>
  <rv s="0">
    <fb>1857550</fb>
    <v>2</v>
  </rv>
  <rv s="0">
    <fb>45708</fb>
    <v>0</v>
  </rv>
  <rv s="0">
    <fb>2580181</fb>
    <v>2</v>
  </rv>
  <rv s="0">
    <fb>45709</fb>
    <v>0</v>
  </rv>
  <rv s="0">
    <fb>98.26</fb>
    <v>1</v>
  </rv>
  <rv s="0">
    <fb>4414893</fb>
    <v>2</v>
  </rv>
  <rv s="0">
    <fb>45712</fb>
    <v>0</v>
  </rv>
  <rv s="0">
    <fb>99.68</fb>
    <v>1</v>
  </rv>
  <rv s="0">
    <fb>2943078</fb>
    <v>2</v>
  </rv>
  <rv s="0">
    <fb>45713</fb>
    <v>0</v>
  </rv>
  <rv s="0">
    <fb>100.97</fb>
    <v>1</v>
  </rv>
  <rv s="0">
    <fb>3481345</fb>
    <v>2</v>
  </rv>
  <rv s="0">
    <fb>45714</fb>
    <v>0</v>
  </rv>
  <rv s="0">
    <fb>99.96</fb>
    <v>1</v>
  </rv>
  <rv s="0">
    <fb>2072708</fb>
    <v>2</v>
  </rv>
  <rv s="0">
    <fb>45715</fb>
    <v>0</v>
  </rv>
  <rv s="0">
    <fb>99.92</fb>
    <v>1</v>
  </rv>
  <rv s="0">
    <fb>3314096</fb>
    <v>2</v>
  </rv>
  <rv s="0">
    <fb>45716</fb>
    <v>0</v>
  </rv>
  <rv s="0">
    <fb>101.52</fb>
    <v>1</v>
  </rv>
  <rv s="0">
    <fb>5254613</fb>
    <v>2</v>
  </rv>
  <rv s="0">
    <fb>45719</fb>
    <v>0</v>
  </rv>
  <rv s="0">
    <fb>104.02</fb>
    <v>1</v>
  </rv>
  <rv s="0">
    <fb>3555914</fb>
    <v>2</v>
  </rv>
  <rv s="0">
    <fb>45720</fb>
    <v>0</v>
  </rv>
  <rv s="0">
    <fb>102.15</fb>
    <v>1</v>
  </rv>
  <rv s="0">
    <fb>3592034</fb>
    <v>2</v>
  </rv>
  <rv s="0">
    <fb>45721</fb>
    <v>0</v>
  </rv>
  <rv s="0">
    <fb>100.2</fb>
    <v>1</v>
  </rv>
  <rv s="0">
    <fb>5509676</fb>
    <v>2</v>
  </rv>
  <rv s="0">
    <fb>45722</fb>
    <v>0</v>
  </rv>
  <rv s="0">
    <fb>100.91</fb>
    <v>1</v>
  </rv>
  <rv s="0">
    <fb>4345916</fb>
    <v>2</v>
  </rv>
  <rv s="0">
    <fb>45723</fb>
    <v>0</v>
  </rv>
  <rv s="0">
    <fb>103.64</fb>
    <v>1</v>
  </rv>
  <rv s="0">
    <fb>2865771</fb>
    <v>2</v>
  </rv>
  <rv s="0">
    <fb>45726</fb>
    <v>0</v>
  </rv>
  <rv s="0">
    <fb>106.66</fb>
    <v>1</v>
  </rv>
  <rv s="0">
    <fb>3471894</fb>
    <v>2</v>
  </rv>
  <rv s="0">
    <fb>45727</fb>
    <v>0</v>
  </rv>
  <rv s="0">
    <fb>103.77</fb>
    <v>1</v>
  </rv>
  <rv s="0">
    <fb>2731268</fb>
    <v>2</v>
  </rv>
  <rv s="0">
    <fb>45728</fb>
    <v>0</v>
  </rv>
  <rv s="0">
    <fb>102.64</fb>
    <v>1</v>
  </rv>
  <rv s="0">
    <fb>3739207</fb>
    <v>2</v>
  </rv>
  <rv s="0">
    <fb>45729</fb>
    <v>0</v>
  </rv>
  <rv s="0">
    <fb>104.57</fb>
    <v>1</v>
  </rv>
  <rv s="0">
    <fb>2392163</fb>
    <v>2</v>
  </rv>
  <rv s="0">
    <fb>45730</fb>
    <v>0</v>
  </rv>
  <rv s="0">
    <fb>106.41</fb>
    <v>1</v>
  </rv>
  <rv s="0">
    <fb>3779158</fb>
    <v>2</v>
  </rv>
  <rv s="0">
    <fb>45733</fb>
    <v>0</v>
  </rv>
  <rv s="0">
    <fb>107.62</fb>
    <v>1</v>
  </rv>
  <rv s="0">
    <fb>3930736</fb>
    <v>2</v>
  </rv>
  <rv s="0">
    <fb>45734</fb>
    <v>0</v>
  </rv>
  <rv s="0">
    <fb>107.81</fb>
    <v>1</v>
  </rv>
  <rv s="0">
    <fb>3275711</fb>
    <v>2</v>
  </rv>
  <rv s="0">
    <fb>45735</fb>
    <v>0</v>
  </rv>
  <rv s="0">
    <fb>107.49</fb>
    <v>1</v>
  </rv>
  <rv s="0">
    <fb>2293611</fb>
    <v>2</v>
  </rv>
  <rv s="0">
    <fb>45736</fb>
    <v>0</v>
  </rv>
  <rv s="0">
    <fb>108.48</fb>
    <v>1</v>
  </rv>
  <rv s="0">
    <fb>1896164</fb>
    <v>2</v>
  </rv>
  <rv s="0">
    <fb>45737</fb>
    <v>0</v>
  </rv>
  <rv s="0">
    <fb>107.8</fb>
    <v>1</v>
  </rv>
  <rv s="0">
    <fb>4415458</fb>
    <v>2</v>
  </rv>
  <rv s="0">
    <fb>45740</fb>
    <v>0</v>
  </rv>
  <rv s="0">
    <fb>106.83</fb>
    <v>1</v>
  </rv>
  <rv s="0">
    <fb>1897938</fb>
    <v>2</v>
  </rv>
  <rv s="0">
    <fb>45741</fb>
    <v>0</v>
  </rv>
  <rv s="0">
    <fb>105.55</fb>
    <v>1</v>
  </rv>
  <rv s="0">
    <fb>2543771</fb>
    <v>2</v>
  </rv>
  <rv s="0">
    <fb>45742</fb>
    <v>0</v>
  </rv>
  <rv s="0">
    <fb>107.46</fb>
    <v>1</v>
  </rv>
  <rv s="0">
    <fb>1925093</fb>
    <v>2</v>
  </rv>
  <rv s="0">
    <fb>45743</fb>
    <v>0</v>
  </rv>
  <rv s="0">
    <fb>107.89</fb>
    <v>1</v>
  </rv>
  <rv s="0">
    <fb>1859144</fb>
    <v>2</v>
  </rv>
  <rv s="0">
    <fb>45744</fb>
    <v>0</v>
  </rv>
  <rv s="0">
    <fb>108.77</fb>
    <v>1</v>
  </rv>
  <rv s="0">
    <fb>2392331</fb>
    <v>2</v>
  </rv>
  <rv s="0">
    <fb>45747</fb>
    <v>0</v>
  </rv>
  <rv s="0">
    <fb>110.59</fb>
    <v>1</v>
  </rv>
  <rv s="0">
    <fb>2920439</fb>
    <v>2</v>
  </rv>
  <rv s="0">
    <fb>45748</fb>
    <v>0</v>
  </rv>
  <rv s="0">
    <fb>110.06</fb>
    <v>1</v>
  </rv>
  <rv s="0">
    <fb>2507642</fb>
    <v>2</v>
  </rv>
  <rv s="0">
    <fb>45749</fb>
    <v>0</v>
  </rv>
  <rv s="0">
    <fb>109.58</fb>
    <v>1</v>
  </rv>
  <rv s="0">
    <fb>2015191</fb>
    <v>2</v>
  </rv>
  <rv s="0">
    <fb>45750</fb>
    <v>0</v>
  </rv>
  <rv s="0">
    <fb>112.72</fb>
    <v>1</v>
  </rv>
  <rv s="0">
    <fb>4175537</fb>
    <v>2</v>
  </rv>
  <rv s="0">
    <fb>45751</fb>
    <v>0</v>
  </rv>
  <rv s="0">
    <fb>109.32</fb>
    <v>1</v>
  </rv>
  <rv s="0">
    <fb>6395885</fb>
    <v>2</v>
  </rv>
  <rv s="0">
    <fb>45754</fb>
    <v>0</v>
  </rv>
  <rv s="0">
    <fb>105.4</fb>
    <v>1</v>
  </rv>
  <rv s="0">
    <fb>4405486</fb>
    <v>2</v>
  </rv>
  <rv s="0">
    <fb>45755</fb>
    <v>0</v>
  </rv>
  <rv s="0">
    <fb>106.05</fb>
    <v>1</v>
  </rv>
  <rv s="0">
    <fb>2683063</fb>
    <v>2</v>
  </rv>
  <rv s="0">
    <fb>45756</fb>
    <v>0</v>
  </rv>
  <rv s="0">
    <fb>105.77</fb>
    <v>1</v>
  </rv>
  <rv s="0">
    <fb>4912769</fb>
    <v>2</v>
  </rv>
  <rv s="0">
    <fb>45757</fb>
    <v>0</v>
  </rv>
  <rv s="0">
    <fb>108.3</fb>
    <v>1</v>
  </rv>
  <rv s="0">
    <fb>3382289</fb>
    <v>2</v>
  </rv>
  <rv s="0">
    <fb>45758</fb>
    <v>0</v>
  </rv>
  <rv s="0">
    <fb>109.84</fb>
    <v>1</v>
  </rv>
  <rv s="0">
    <fb>2617288</fb>
    <v>2</v>
  </rv>
  <rv s="0">
    <fb>45761</fb>
    <v>0</v>
  </rv>
  <rv s="0">
    <fb>112.25</fb>
    <v>1</v>
  </rv>
  <rv s="0">
    <fb>2133340</fb>
    <v>2</v>
  </rv>
  <rv s="0">
    <fb>45762</fb>
    <v>0</v>
  </rv>
  <rv s="0">
    <fb>111.81</fb>
    <v>1</v>
  </rv>
  <rv s="0">
    <fb>2314523</fb>
    <v>2</v>
  </rv>
  <rv s="0">
    <fb>45763</fb>
    <v>0</v>
  </rv>
  <rv s="0">
    <fb>111.44</fb>
    <v>1</v>
  </rv>
  <rv s="0">
    <fb>2133038</fb>
    <v>2</v>
  </rv>
  <rv s="0">
    <fb>45764</fb>
    <v>0</v>
  </rv>
  <rv s="0">
    <fb>112.1</fb>
    <v>1</v>
  </rv>
  <rv s="0">
    <fb>2055242</fb>
    <v>2</v>
  </rv>
  <rv s="0">
    <fb>45768</fb>
    <v>0</v>
  </rv>
  <rv s="0">
    <fb>110.96</fb>
    <v>1</v>
  </rv>
  <rv s="0">
    <fb>2333943</fb>
    <v>2</v>
  </rv>
  <rv s="0">
    <fb>45769</fb>
    <v>0</v>
  </rv>
  <rv s="0">
    <fb>113.3</fb>
    <v>1</v>
  </rv>
  <rv s="0">
    <fb>1833656</fb>
    <v>2</v>
  </rv>
  <rv s="0">
    <fb>45770</fb>
    <v>0</v>
  </rv>
  <rv s="0">
    <fb>112.52</fb>
    <v>1</v>
  </rv>
  <rv s="0">
    <fb>2098373</fb>
    <v>2</v>
  </rv>
  <rv s="0">
    <fb>45771</fb>
    <v>0</v>
  </rv>
  <rv s="0">
    <fb>111.29</fb>
    <v>1</v>
  </rv>
  <rv s="0">
    <fb>2389269</fb>
    <v>2</v>
  </rv>
  <rv s="0">
    <fb>45772</fb>
    <v>0</v>
  </rv>
  <rv s="0">
    <fb>110.45</fb>
    <v>1</v>
  </rv>
  <rv s="0">
    <fb>2820849</fb>
    <v>2</v>
  </rv>
  <rv s="0">
    <fb>45775</fb>
    <v>0</v>
  </rv>
  <rv s="0">
    <fb>111.13</fb>
    <v>1</v>
  </rv>
  <rv s="0">
    <fb>2938240</fb>
    <v>2</v>
  </rv>
  <rv s="0">
    <fb>45776</fb>
    <v>0</v>
  </rv>
  <rv s="0">
    <fb>112.13</fb>
    <v>1</v>
  </rv>
  <rv s="0">
    <fb>2000418</fb>
    <v>2</v>
  </rv>
  <rv s="0">
    <fb>45777</fb>
    <v>0</v>
  </rv>
  <rv s="0">
    <fb>112.75</fb>
    <v>1</v>
  </rv>
  <rv s="0">
    <fb>4940839</fb>
    <v>2</v>
  </rv>
  <rv s="0">
    <fb>45778</fb>
    <v>0</v>
  </rv>
  <rv s="0">
    <fb>112.56</fb>
    <v>1</v>
  </rv>
  <rv s="0">
    <fb>3265519</fb>
    <v>2</v>
  </rv>
  <rv s="0">
    <fb>45779</fb>
    <v>0</v>
  </rv>
  <rv s="0">
    <fb>110.03</fb>
    <v>1</v>
  </rv>
  <rv s="0">
    <fb>3421767</fb>
    <v>2</v>
  </rv>
  <rv s="0">
    <fb>45782</fb>
    <v>0</v>
  </rv>
  <rv s="0">
    <fb>109.52</fb>
    <v>1</v>
  </rv>
  <rv s="0">
    <fb>3225219</fb>
    <v>2</v>
  </rv>
  <rv s="0">
    <fb>45783</fb>
    <v>0</v>
  </rv>
  <rv s="0">
    <fb>110.47</fb>
    <v>1</v>
  </rv>
  <rv s="0">
    <fb>2186858</fb>
    <v>2</v>
  </rv>
  <rv s="0">
    <fb>45784</fb>
    <v>0</v>
  </rv>
  <rv s="0">
    <fb>111.04</fb>
    <v>1</v>
  </rv>
  <rv s="0">
    <fb>3555181</fb>
    <v>2</v>
  </rv>
  <rv s="0">
    <fb>45785</fb>
    <v>0</v>
  </rv>
  <rv s="0">
    <fb>107.75</fb>
    <v>1</v>
  </rv>
  <rv s="0">
    <fb>3652455</fb>
    <v>2</v>
  </rv>
  <rv s="0">
    <fb>45786</fb>
    <v>0</v>
  </rv>
  <rv s="0">
    <fb>107.68</fb>
    <v>1</v>
  </rv>
  <rv s="0">
    <fb>2248912</fb>
    <v>2</v>
  </rv>
  <rv s="0">
    <fb>45789</fb>
    <v>0</v>
  </rv>
  <rv s="0">
    <fb>103.54</fb>
    <v>1</v>
  </rv>
  <rv s="0">
    <fb>3918415</fb>
    <v>2</v>
  </rv>
  <rv s="0">
    <fb>45790</fb>
    <v>0</v>
  </rv>
  <rv s="0">
    <fb>100.58</fb>
    <v>1</v>
  </rv>
  <rv s="0">
    <fb>4495917</fb>
    <v>2</v>
  </rv>
  <rv s="0">
    <fb>45791</fb>
    <v>0</v>
  </rv>
  <rv s="0">
    <fb>99.27</fb>
    <v>1</v>
  </rv>
  <rv s="0">
    <fb>3383905</fb>
    <v>2</v>
  </rv>
  <rv s="0">
    <fb>45792</fb>
    <v>0</v>
  </rv>
  <rv s="0">
    <fb>102.01</fb>
    <v>1</v>
  </rv>
  <rv s="0">
    <fb>3497345</fb>
    <v>2</v>
  </rv>
  <rv s="0">
    <fb>45793</fb>
    <v>0</v>
  </rv>
  <rv s="0">
    <fb>104.29</fb>
    <v>1</v>
  </rv>
  <rv s="0">
    <fb>2758882</fb>
    <v>2</v>
  </rv>
  <rv s="0">
    <fb>45796</fb>
    <v>0</v>
  </rv>
  <rv s="0">
    <fb>105.38</fb>
    <v>1</v>
  </rv>
  <rv s="0">
    <fb>2047865</fb>
    <v>2</v>
  </rv>
  <rv s="0">
    <fb>45797</fb>
    <v>0</v>
  </rv>
  <rv s="0">
    <fb>105.71</fb>
    <v>1</v>
  </rv>
  <rv s="0">
    <fb>2177662</fb>
    <v>2</v>
  </rv>
  <rv s="0">
    <fb>45798</fb>
    <v>0</v>
  </rv>
  <rv s="0">
    <fb>105.22</fb>
    <v>1</v>
  </rv>
  <rv s="0">
    <fb>2741568</fb>
    <v>2</v>
  </rv>
  <rv s="0">
    <fb>45799</fb>
    <v>0</v>
  </rv>
  <rv s="0">
    <fb>103.42</fb>
    <v>1</v>
  </rv>
  <rv s="0">
    <fb>2266069</fb>
    <v>2</v>
  </rv>
  <rv s="0">
    <fb>45800</fb>
    <v>0</v>
  </rv>
  <rv s="0">
    <fb>104.1</fb>
    <v>1</v>
  </rv>
  <rv s="0">
    <fb>2116235</fb>
    <v>2</v>
  </rv>
  <rv s="0">
    <fb>45804</fb>
    <v>0</v>
  </rv>
  <rv s="0">
    <fb>103.97</fb>
    <v>1</v>
  </rv>
  <rv s="0">
    <fb>2638922</fb>
    <v>2</v>
  </rv>
  <rv s="0">
    <fb>45805</fb>
    <v>0</v>
  </rv>
  <rv s="0">
    <fb>102.11</fb>
    <v>1</v>
  </rv>
  <rv s="0">
    <fb>1945687</fb>
    <v>2</v>
  </rv>
  <rv s="0">
    <fb>45806</fb>
    <v>0</v>
  </rv>
  <rv s="0">
    <fb>103.38</fb>
    <v>1</v>
  </rv>
  <rv s="0">
    <fb>2762859</fb>
    <v>2</v>
  </rv>
  <rv s="0">
    <fb>45807</fb>
    <v>0</v>
  </rv>
  <rv s="0">
    <fb>104.49</fb>
    <v>1</v>
  </rv>
  <rv s="0">
    <fb>6398572</fb>
    <v>2</v>
  </rv>
  <rv s="0">
    <fb>45810</fb>
    <v>0</v>
  </rv>
  <rv s="0">
    <fb>103.86</fb>
    <v>1</v>
  </rv>
  <rv s="0">
    <fb>2292241</fb>
    <v>2</v>
  </rv>
  <rv s="0">
    <fb>45811</fb>
    <v>0</v>
  </rv>
  <rv s="0">
    <fb>103.24</fb>
    <v>1</v>
  </rv>
  <rv s="0">
    <fb>2316659</fb>
    <v>2</v>
  </rv>
  <rv s="0">
    <fb>45812</fb>
    <v>0</v>
  </rv>
  <rv s="0">
    <fb>102.21</fb>
    <v>1</v>
  </rv>
  <rv s="0">
    <fb>1845717</fb>
    <v>2</v>
  </rv>
  <rv s="0">
    <fb>45813</fb>
    <v>0</v>
  </rv>
  <rv s="0">
    <fb>102.27</fb>
    <v>1</v>
  </rv>
  <rv s="0">
    <fb>2734457</fb>
    <v>2</v>
  </rv>
  <rv s="0">
    <fb>45814</fb>
    <v>0</v>
  </rv>
  <rv s="0">
    <fb>101.61</fb>
    <v>1</v>
  </rv>
  <rv s="0">
    <fb>1694578</fb>
    <v>2</v>
  </rv>
  <rv s="0">
    <fb>45817</fb>
    <v>0</v>
  </rv>
  <rv s="0">
    <fb>101.11</fb>
    <v>1</v>
  </rv>
  <rv s="0">
    <fb>1781808</fb>
    <v>2</v>
  </rv>
  <rv s="0">
    <fb>45818</fb>
    <v>0</v>
  </rv>
  <rv s="0">
    <fb>102.4</fb>
    <v>1</v>
  </rv>
  <rv s="0">
    <fb>2311885</fb>
    <v>2</v>
  </rv>
  <rv s="0">
    <fb>45819</fb>
    <v>0</v>
  </rv>
  <rv s="0">
    <fb>102.55</fb>
    <v>1</v>
  </rv>
  <rv s="0">
    <fb>2439137</fb>
    <v>2</v>
  </rv>
  <rv s="0">
    <fb>45820</fb>
    <v>0</v>
  </rv>
  <rv s="0">
    <fb>103.76</fb>
    <v>1</v>
  </rv>
  <rv s="0">
    <fb>1902564</fb>
    <v>2</v>
  </rv>
  <rv s="0">
    <fb>45821</fb>
    <v>0</v>
  </rv>
  <rv s="0">
    <fb>103.96</fb>
    <v>1</v>
  </rv>
  <rv s="0">
    <fb>3337359</fb>
    <v>2</v>
  </rv>
  <rv s="0">
    <fb>45824</fb>
    <v>0</v>
  </rv>
  <rv s="0">
    <fb>101.63</fb>
    <v>1</v>
  </rv>
  <rv s="0">
    <fb>2737989</fb>
    <v>2</v>
  </rv>
  <rv s="0">
    <fb>45825</fb>
    <v>0</v>
  </rv>
  <rv s="0">
    <fb>101.35</fb>
    <v>1</v>
  </rv>
  <rv s="0">
    <fb>2844894</fb>
    <v>2</v>
  </rv>
  <rv s="0">
    <fb>45826</fb>
    <v>0</v>
  </rv>
  <rv s="0">
    <fb>100.73</fb>
    <v>1</v>
  </rv>
  <rv s="0">
    <fb>2620595</fb>
    <v>2</v>
  </rv>
  <rv s="0">
    <fb>45828</fb>
    <v>0</v>
  </rv>
  <rv s="0">
    <fb>7504224</fb>
    <v>2</v>
  </rv>
  <rv s="0">
    <fb>45831</fb>
    <v>0</v>
  </rv>
  <rv s="0">
    <fb>101.15</fb>
    <v>1</v>
  </rv>
  <rv s="0">
    <fb>3957784</fb>
    <v>2</v>
  </rv>
  <rv s="0">
    <fb>45832</fb>
    <v>0</v>
  </rv>
  <rv s="0">
    <fb>100.19</fb>
    <v>1</v>
  </rv>
  <rv s="0">
    <fb>2952898</fb>
    <v>2</v>
  </rv>
  <rv s="0">
    <fb>45833</fb>
    <v>0</v>
  </rv>
  <rv s="0">
    <fb>98.05</fb>
    <v>1</v>
  </rv>
  <rv s="0">
    <fb>4397192</fb>
    <v>2</v>
  </rv>
  <rv s="0">
    <fb>45834</fb>
    <v>0</v>
  </rv>
  <rv s="0">
    <fb>98.41</fb>
    <v>1</v>
  </rv>
  <rv s="0">
    <fb>2655622</fb>
    <v>2</v>
  </rv>
  <rv s="0">
    <fb>45835</fb>
    <v>0</v>
  </rv>
  <rv s="0">
    <fb>98.15</fb>
    <v>1</v>
  </rv>
  <rv s="0">
    <fb>2880053</fb>
    <v>2</v>
  </rv>
  <rv s="0">
    <fb>45838</fb>
    <v>0</v>
  </rv>
  <rv s="0">
    <fb>100.35</fb>
    <v>1</v>
  </rv>
  <rv s="0">
    <fb>2930483</fb>
    <v>2</v>
  </rv>
  <rv s="0">
    <fb>45839</fb>
    <v>0</v>
  </rv>
  <rv s="0">
    <fb>100.78</fb>
    <v>1</v>
  </rv>
  <rv s="0">
    <fb>2749128</fb>
    <v>2</v>
  </rv>
  <rv s="0">
    <fb>45840</fb>
    <v>0</v>
  </rv>
  <rv s="0">
    <fb>2485839</fb>
    <v>2</v>
  </rv>
  <rv s="0">
    <fb>45841</fb>
    <v>0</v>
  </rv>
  <rv s="0">
    <fb>100.31</fb>
    <v>1</v>
  </rv>
  <rv s="0">
    <fb>1316576</fb>
    <v>2</v>
  </rv>
  <rv s="0">
    <fb>45845</fb>
    <v>0</v>
  </rv>
  <rv s="0">
    <fb>99.71</fb>
    <v>1</v>
  </rv>
  <rv s="0">
    <fb>1800719</fb>
    <v>2</v>
  </rv>
  <rv s="0">
    <fb>45846</fb>
    <v>0</v>
  </rv>
  <rv s="0">
    <fb>99.31</fb>
    <v>1</v>
  </rv>
  <rv s="0">
    <fb>3451218</fb>
    <v>2</v>
  </rv>
  <rv s="0">
    <fb>45847</fb>
    <v>0</v>
  </rv>
  <rv s="0">
    <fb>99.97</fb>
    <v>1</v>
  </rv>
  <rv s="0">
    <fb>2782533</fb>
    <v>2</v>
  </rv>
  <rv s="0">
    <fb>45848</fb>
    <v>0</v>
  </rv>
  <rv s="0">
    <fb>101.07</fb>
    <v>1</v>
  </rv>
  <rv s="0">
    <fb>1851807</fb>
    <v>2</v>
  </rv>
  <rv s="0">
    <fb>45849</fb>
    <v>0</v>
  </rv>
  <rv s="0">
    <fb>100.59</fb>
    <v>1</v>
  </rv>
  <rv s="0">
    <fb>1853687</fb>
    <v>2</v>
  </rv>
  <rv s="0">
    <fb>45852</fb>
    <v>0</v>
  </rv>
  <rv s="0">
    <fb>101.01</fb>
    <v>1</v>
  </rv>
  <rv s="0">
    <fb>1409864</fb>
    <v>2</v>
  </rv>
  <rv s="0">
    <fb>45853</fb>
    <v>0</v>
  </rv>
  <rv s="0">
    <fb>99.95</fb>
    <v>1</v>
  </rv>
  <rv s="0">
    <fb>1731322</fb>
    <v>2</v>
  </rv>
  <rv s="0">
    <fb>45854</fb>
    <v>0</v>
  </rv>
  <rv s="0">
    <fb>100.46</fb>
    <v>1</v>
  </rv>
  <rv s="0">
    <fb>1865373</fb>
    <v>2</v>
  </rv>
  <rv s="0">
    <fb>45855</fb>
    <v>0</v>
  </rv>
  <rv s="0">
    <fb>100.6</fb>
    <v>1</v>
  </rv>
  <rv s="0">
    <fb>2131709</fb>
    <v>2</v>
  </rv>
  <rv s="0">
    <fb>45856</fb>
    <v>0</v>
  </rv>
  <rv s="0">
    <fb>101.08</fb>
    <v>1</v>
  </rv>
  <rv s="0">
    <fb>1813453</fb>
    <v>2</v>
  </rv>
  <rv s="0">
    <fb>45859</fb>
    <v>0</v>
  </rv>
  <rv s="0">
    <fb>102.07</fb>
    <v>1</v>
  </rv>
  <rv s="0">
    <fb>1667769</fb>
    <v>2</v>
  </rv>
  <rv s="0">
    <fb>45860</fb>
    <v>0</v>
  </rv>
  <rv s="0">
    <fb>103.59</fb>
    <v>1</v>
  </rv>
  <rv s="0">
    <fb>1663862</fb>
    <v>2</v>
  </rv>
  <rv s="0">
    <fb>45861</fb>
    <v>0</v>
  </rv>
  <rv s="0">
    <fb>2563086</fb>
    <v>2</v>
  </rv>
  <rv s="0">
    <fb>45862</fb>
    <v>0</v>
  </rv>
  <rv s="0">
    <fb>102.05</fb>
    <v>1</v>
  </rv>
  <rv s="0">
    <fb>2467810</fb>
    <v>2</v>
  </rv>
  <rv s="0">
    <fb>45863</fb>
    <v>0</v>
  </rv>
  <rv s="0">
    <fb>102.26</fb>
    <v>1</v>
  </rv>
  <rv s="0">
    <fb>1375737</fb>
    <v>2</v>
  </rv>
  <rv s="0">
    <fb>45866</fb>
    <v>0</v>
  </rv>
  <rv s="0">
    <fb>100.98</fb>
    <v>1</v>
  </rv>
  <rv s="0">
    <fb>1995248</fb>
    <v>2</v>
  </rv>
  <rv s="0">
    <fb>45867</fb>
    <v>0</v>
  </rv>
  <rv s="0">
    <fb>102.24</fb>
    <v>1</v>
  </rv>
  <rv s="0">
    <fb>1265041</fb>
    <v>2</v>
  </rv>
  <rv s="0">
    <fb>45868</fb>
    <v>0</v>
  </rv>
  <rv s="0">
    <fb>102.59</fb>
    <v>1</v>
  </rv>
  <rv s="0">
    <fb>1565213</fb>
    <v>2</v>
  </rv>
  <rv s="0">
    <fb>45869</fb>
    <v>0</v>
  </rv>
  <rv s="0">
    <fb>103.5</fb>
    <v>1</v>
  </rv>
  <rv s="0">
    <fb>3483197</fb>
    <v>2</v>
  </rv>
  <rv s="0">
    <fb>45870</fb>
    <v>0</v>
  </rv>
  <rv s="0">
    <fb>104.44</fb>
    <v>1</v>
  </rv>
  <rv s="0">
    <fb>2272580</fb>
    <v>2</v>
  </rv>
  <rv s="0">
    <fb>45873</fb>
    <v>0</v>
  </rv>
  <rv s="0">
    <fb>105.36</fb>
    <v>1</v>
  </rv>
  <rv s="0">
    <fb>2345153</fb>
    <v>2</v>
  </rv>
  <rv s="0">
    <fb>45874</fb>
    <v>0</v>
  </rv>
  <rv s="0">
    <fb>104.18</fb>
    <v>1</v>
  </rv>
  <rv s="0">
    <fb>2515949</fb>
    <v>2</v>
  </rv>
  <rv s="0">
    <fb>45875</fb>
    <v>0</v>
  </rv>
  <rv s="0">
    <fb>104.15</fb>
    <v>1</v>
  </rv>
  <rv s="0">
    <fb>1993167</fb>
    <v>2</v>
  </rv>
  <rv s="0">
    <fb>45876</fb>
    <v>0</v>
  </rv>
  <rv s="0">
    <fb>105</fb>
    <v>1</v>
  </rv>
  <rv s="0">
    <fb>2577713</fb>
    <v>2</v>
  </rv>
  <rv s="0">
    <fb>45877</fb>
    <v>0</v>
  </rv>
  <rv s="0">
    <fb>104.48</fb>
    <v>1</v>
  </rv>
  <rv s="0">
    <fb>2796477</fb>
    <v>2</v>
  </rv>
  <rv s="0">
    <fb>45880</fb>
    <v>0</v>
  </rv>
  <rv s="0">
    <fb>104.12</fb>
    <v>1</v>
  </rv>
  <rv s="0">
    <fb>2357182</fb>
    <v>2</v>
  </rv>
  <rv s="0">
    <fb>45881</fb>
    <v>0</v>
  </rv>
  <rv s="0">
    <fb>103.69</fb>
    <v>1</v>
  </rv>
  <rv s="0">
    <fb>2578774</fb>
    <v>2</v>
  </rv>
  <rv s="0">
    <fb>45882</fb>
    <v>0</v>
  </rv>
  <rv s="0">
    <fb>103.66</fb>
    <v>1</v>
  </rv>
  <rv s="0">
    <fb>2728415</fb>
    <v>2</v>
  </rv>
  <rv s="0">
    <fb>45883</fb>
    <v>0</v>
  </rv>
  <rv s="0">
    <fb>102.86</fb>
    <v>1</v>
  </rv>
  <rv s="0">
    <fb>2171761</fb>
    <v>2</v>
  </rv>
  <rv s="0">
    <fb>45884</fb>
    <v>0</v>
  </rv>
  <rv s="0">
    <fb>100.77</fb>
    <v>1</v>
  </rv>
  <rv s="0">
    <fb>3098753</fb>
    <v>2</v>
  </rv>
  <rv s="0">
    <fb>45887</fb>
    <v>0</v>
  </rv>
  <rv s="0">
    <fb>99.74</fb>
    <v>1</v>
  </rv>
  <rv s="0">
    <fb>2789322</fb>
    <v>2</v>
  </rv>
  <rv s="0">
    <fb>45888</fb>
    <v>0</v>
  </rv>
  <rv s="0">
    <fb>101.1</fb>
    <v>1</v>
  </rv>
  <rv s="0">
    <fb>3948355</fb>
    <v>2</v>
  </rv>
  <rv s="0">
    <fb>45889</fb>
    <v>0</v>
  </rv>
  <rv s="0">
    <fb>101.76</fb>
    <v>1</v>
  </rv>
  <rv s="0">
    <fb>3216440</fb>
    <v>2</v>
  </rv>
  <rv s="0">
    <fb>45890</fb>
    <v>0</v>
  </rv>
  <rv s="0">
    <fb>101.5</fb>
    <v>1</v>
  </rv>
  <rv s="0">
    <fb>2282712</fb>
    <v>2</v>
  </rv>
  <rv s="0">
    <fb>45891</fb>
    <v>0</v>
  </rv>
  <rv s="0">
    <fb>101.65</fb>
    <v>1</v>
  </rv>
  <rv s="0">
    <fb>2753050</fb>
    <v>2</v>
  </rv>
  <rv s="0">
    <fb>45894</fb>
    <v>0</v>
  </rv>
  <rv s="0">
    <fb>2498894</fb>
    <v>2</v>
  </rv>
  <rv s="0">
    <fb>45895</fb>
    <v>0</v>
  </rv>
  <rv s="0">
    <fb>99.72</fb>
    <v>1</v>
  </rv>
  <rv s="0">
    <fb>3309463</fb>
    <v>2</v>
  </rv>
  <rv s="0">
    <fb>45896</fb>
    <v>0</v>
  </rv>
  <rv s="0">
    <fb>100.07</fb>
    <v>1</v>
  </rv>
  <rv s="0">
    <fb>4313818</fb>
    <v>2</v>
  </rv>
  <rv s="0">
    <fb>45897</fb>
    <v>0</v>
  </rv>
  <rv s="0">
    <fb>98.17</fb>
    <v>1</v>
  </rv>
  <rv s="0">
    <fb>2400163</fb>
    <v>2</v>
  </rv>
  <rv s="0">
    <fb>45898</fb>
    <v>0</v>
  </rv>
  <rv s="0">
    <fb>98.23</fb>
    <v>1</v>
  </rv>
  <rv s="0">
    <fb>4220120</fb>
    <v>2</v>
  </rv>
  <rv s="0">
    <fb>45902</fb>
    <v>0</v>
  </rv>
  <rv s="0">
    <fb>97.2</fb>
    <v>1</v>
  </rv>
  <rv s="0">
    <fb>3019315</fb>
    <v>2</v>
  </rv>
  <rv s="0">
    <fb>45903</fb>
    <v>0</v>
  </rv>
  <rv s="0">
    <fb>97.85</fb>
    <v>1</v>
  </rv>
  <rv s="0">
    <fb>4306674</fb>
    <v>2</v>
  </rv>
  <rv s="0">
    <fb>45904</fb>
    <v>0</v>
  </rv>
  <rv s="0">
    <fb>97.8</fb>
    <v>1</v>
  </rv>
  <rv s="0">
    <fb>2033303</fb>
    <v>2</v>
  </rv>
  <rv s="0">
    <fb>45905</fb>
    <v>0</v>
  </rv>
  <rv s="0">
    <fb>1724666</fb>
    <v>2</v>
  </rv>
  <rv s="0">
    <fb>45908</fb>
    <v>0</v>
  </rv>
  <rv s="0">
    <fb>96.65</fb>
    <v>1</v>
  </rv>
  <rv s="0">
    <fb>2189394</fb>
    <v>2</v>
  </rv>
  <rv s="0">
    <fb>45909</fb>
    <v>0</v>
  </rv>
  <rv s="0">
    <fb>96.98</fb>
    <v>1</v>
  </rv>
  <rv s="0">
    <fb>1282697</fb>
    <v>2</v>
  </rv>
  <rv s="0">
    <fb>45910</fb>
    <v>0</v>
  </rv>
  <rv s="0">
    <fb>97.08</fb>
    <v>1</v>
  </rv>
  <rv s="0">
    <fb>1603960</fb>
    <v>2</v>
  </rv>
  <rv s="0">
    <fb>45911</fb>
    <v>0</v>
  </rv>
  <rv s="0">
    <fb>97.7</fb>
    <v>1</v>
  </rv>
  <rv s="0">
    <fb>1689992</fb>
    <v>2</v>
  </rv>
  <rv s="0">
    <fb>45912</fb>
    <v>0</v>
  </rv>
  <rv s="0">
    <fb>97.55</fb>
    <v>1</v>
  </rv>
  <rv s="0">
    <fb>1249463</fb>
    <v>2</v>
  </rv>
  <rv s="0">
    <fb>45915</fb>
    <v>0</v>
  </rv>
  <rv s="0">
    <fb>97</fb>
    <v>1</v>
  </rv>
  <rv s="0">
    <fb>1351898</fb>
    <v>2</v>
  </rv>
  <rv s="0">
    <fb>45916</fb>
    <v>0</v>
  </rv>
  <rv s="0">
    <fb>95.57</fb>
    <v>1</v>
  </rv>
  <rv s="0">
    <fb>2116706</fb>
    <v>2</v>
  </rv>
  <rv s="0">
    <fb>45917</fb>
    <v>0</v>
  </rv>
  <rv s="0">
    <fb>96.4</fb>
    <v>1</v>
  </rv>
  <rv s="0">
    <fb>1879757</fb>
    <v>2</v>
  </rv>
  <rv s="0">
    <fb>45918</fb>
    <v>0</v>
  </rv>
  <rv s="0">
    <fb>96.35</fb>
    <v>1</v>
  </rv>
  <rv s="0">
    <fb>1815705</fb>
    <v>2</v>
  </rv>
  <rv s="0">
    <fb>45919</fb>
    <v>0</v>
  </rv>
  <rv s="0">
    <fb>96.33</fb>
    <v>1</v>
  </rv>
  <rv s="0">
    <fb>4091681</fb>
    <v>2</v>
  </rv>
  <rv s="0">
    <fb>45922</fb>
    <v>0</v>
  </rv>
  <rv s="0">
    <fb>96.62</fb>
    <v>1</v>
  </rv>
  <rv s="0">
    <fb>1938992</fb>
    <v>2</v>
  </rv>
  <rv s="0">
    <fb>45923</fb>
    <v>0</v>
  </rv>
  <rv s="0">
    <fb>98.55</fb>
    <v>1</v>
  </rv>
  <rv s="0">
    <fb>2204294</fb>
    <v>2</v>
  </rv>
  <rv s="0">
    <fb>45924</fb>
    <v>0</v>
  </rv>
  <rv s="0">
    <fb>98.81</fb>
    <v>1</v>
  </rv>
  <rv s="0">
    <fb>1611788</fb>
    <v>2</v>
  </rv>
  <rv s="0">
    <fb>45925</fb>
    <v>0</v>
  </rv>
  <rv s="0">
    <fb>98.35</fb>
    <v>1</v>
  </rv>
  <rv s="0">
    <fb>1848471</fb>
    <v>2</v>
  </rv>
  <rv s="0">
    <fb>45926</fb>
    <v>0</v>
  </rv>
  <rv s="0">
    <fb>99.62</fb>
    <v>1</v>
  </rv>
  <rv s="0">
    <fb>1947302</fb>
    <v>2</v>
  </rv>
  <rv s="0">
    <fb>45929</fb>
    <v>0</v>
  </rv>
  <rv s="0">
    <fb>99.57</fb>
    <v>1</v>
  </rv>
  <rv s="0">
    <fb>1875302</fb>
    <v>2</v>
  </rv>
  <rv s="0">
    <fb>45930</fb>
    <v>0</v>
  </rv>
  <rv s="0">
    <fb>100.52</fb>
    <v>1</v>
  </rv>
  <rv s="0">
    <fb>2199219</fb>
    <v>2</v>
  </rv>
  <rv s="0">
    <fb>45931</fb>
    <v>0</v>
  </rv>
  <rv s="0">
    <fb>2301874</fb>
    <v>2</v>
  </rv>
  <rv s="0">
    <fb>45932</fb>
    <v>0</v>
  </rv>
  <rv s="0">
    <fb>97.64</fb>
    <v>1</v>
  </rv>
  <rv s="0">
    <fb>1449485</fb>
    <v>2</v>
  </rv>
  <rv s="0">
    <fb>45933</fb>
    <v>0</v>
  </rv>
  <rv s="0">
    <fb>1676205</fb>
    <v>2</v>
  </rv>
  <rv s="0">
    <fb>45936</fb>
    <v>0</v>
  </rv>
  <rv s="0">
    <fb>99.33</fb>
    <v>1</v>
  </rv>
  <rv s="0">
    <fb>1769805</fb>
    <v>2</v>
  </rv>
  <rv s="0">
    <fb>45937</fb>
    <v>0</v>
  </rv>
  <rv s="0">
    <fb>100.04</fb>
    <v>1</v>
  </rv>
  <rv s="0">
    <fb>1722042</fb>
    <v>2</v>
  </rv>
  <rv s="0">
    <fb>45938</fb>
    <v>0</v>
  </rv>
  <rv s="0">
    <fb>100.83</fb>
    <v>1</v>
  </rv>
  <rv s="0">
    <fb>1570590</fb>
    <v>2</v>
  </rv>
  <rv s="0">
    <fb>45939</fb>
    <v>0</v>
  </rv>
  <rv s="0">
    <fb>100.8</fb>
    <v>1</v>
  </rv>
  <rv s="0">
    <fb>1816124</fb>
    <v>2</v>
  </rv>
  <rv s="0">
    <fb>45940</fb>
    <v>0</v>
  </rv>
  <rv s="0">
    <fb>102.39</fb>
    <v>1</v>
  </rv>
  <rv s="0">
    <fb>2059205</fb>
    <v>2</v>
  </rv>
  <rv s="0">
    <fb>45943</fb>
    <v>0</v>
  </rv>
  <rv s="0">
    <fb>100.86</fb>
    <v>1</v>
  </rv>
  <rv s="0">
    <fb>1515680</fb>
    <v>2</v>
  </rv>
  <rv s="0">
    <fb>45944</fb>
    <v>0</v>
  </rv>
  <rv s="0">
    <fb>101.89</fb>
    <v>1</v>
  </rv>
  <rv s="0">
    <fb>1423256</fb>
    <v>2</v>
  </rv>
  <rv s="0">
    <fb>45945</fb>
    <v>0</v>
  </rv>
  <rv s="0">
    <fb>102.29</fb>
    <v>1</v>
  </rv>
  <rv s="0">
    <fb>1556615</fb>
    <v>2</v>
  </rv>
  <rv s="0">
    <fb>45946</fb>
    <v>0</v>
  </rv>
  <rv s="0">
    <fb>1558806</fb>
    <v>2</v>
  </rv>
  <rv s="0">
    <fb>45947</fb>
    <v>0</v>
  </rv>
  <rv s="0">
    <fb>101.19</fb>
    <v>1</v>
  </rv>
  <rv s="0">
    <fb>1597575</fb>
    <v>2</v>
  </rv>
  <rv s="0">
    <fb>45950</fb>
    <v>0</v>
  </rv>
  <rv s="0">
    <fb>101.72</fb>
    <v>1</v>
  </rv>
  <rv s="0">
    <fb>1129321</fb>
    <v>2</v>
  </rv>
  <rv s="0">
    <fb>45951</fb>
    <v>0</v>
  </rv>
  <rv s="0">
    <fb>101.56</fb>
    <v>1</v>
  </rv>
  <rv s="0">
    <fb>1116965</fb>
    <v>2</v>
  </rv>
  <rv s="0">
    <fb>45952</fb>
    <v>0</v>
  </rv>
  <rv s="0">
    <fb>101.94</fb>
    <v>1</v>
  </rv>
  <rv s="0">
    <fb>1508989</fb>
    <v>2</v>
  </rv>
  <rv s="0">
    <fb>45953</fb>
    <v>0</v>
  </rv>
  <rv s="0">
    <fb>1302838</fb>
    <v>2</v>
  </rv>
  <rv s="0">
    <fb>45954</fb>
    <v>0</v>
  </rv>
  <rv s="0">
    <fb>1036366</fb>
    <v>2</v>
  </rv>
  <rv s="0">
    <fb>45957</fb>
    <v>0</v>
  </rv>
  <rv s="0">
    <fb>100.22</fb>
    <v>1</v>
  </rv>
  <rv s="0">
    <fb>1537561</fb>
    <v>2</v>
  </rv>
  <rv s="0">
    <fb>45958</fb>
    <v>0</v>
  </rv>
  <rv s="0">
    <fb>1156747</fb>
    <v>2</v>
  </rv>
  <rv s="0">
    <fb>45959</fb>
    <v>0</v>
  </rv>
  <rv s="0">
    <fb>1804147</fb>
    <v>2</v>
  </rv>
  <rv s="0">
    <fb>45960</fb>
    <v>0</v>
  </rv>
  <rv s="0">
    <fb>98.19</fb>
    <v>1</v>
  </rv>
  <rv s="0">
    <fb>2073284</fb>
    <v>2</v>
  </rv>
  <rv s="0">
    <fb>45961</fb>
    <v>0</v>
  </rv>
  <rv s="0">
    <fb>97.41</fb>
    <v>1</v>
  </rv>
  <rv s="0">
    <fb>2770794</fb>
    <v>2</v>
  </rv>
  <rv s="0">
    <fb>45964</fb>
    <v>0</v>
  </rv>
  <rv s="0">
    <fb>96.64</fb>
    <v>1</v>
  </rv>
  <rv s="0">
    <fb>1692176</fb>
    <v>2</v>
  </rv>
  <rv s="0">
    <fb>45965</fb>
    <v>0</v>
  </rv>
  <rv s="0">
    <fb>97.96</fb>
    <v>1</v>
  </rv>
  <rv s="0">
    <fb>1614634</fb>
    <v>2</v>
  </rv>
  <rv s="0">
    <fb>45966</fb>
    <v>0</v>
  </rv>
  <rv s="0">
    <fb>96.11</fb>
    <v>1</v>
  </rv>
  <rv s="0">
    <fb>2273863</fb>
    <v>2</v>
  </rv>
  <rv s="0">
    <fb>45967</fb>
    <v>0</v>
  </rv>
  <rv s="0">
    <fb>96.99</fb>
    <v>1</v>
  </rv>
  <rv s="0">
    <fb>3064515</fb>
    <v>2</v>
  </rv>
  <rv s="0">
    <fb>45968</fb>
    <v>0</v>
  </rv>
  <rv s="0">
    <fb>98.52</fb>
    <v>1</v>
  </rv>
  <rv s="0">
    <fb>2924446</fb>
    <v>2</v>
  </rv>
  <rv s="0">
    <fb>45971</fb>
    <v>0</v>
  </rv>
  <rv s="0">
    <fb>98.24</fb>
    <v>1</v>
  </rv>
  <rv s="0">
    <fb>2188924</fb>
    <v>2</v>
  </rv>
  <rv s="0">
    <fb>45972</fb>
    <v>0</v>
  </rv>
  <rv s="0">
    <fb>99.59</fb>
    <v>1</v>
  </rv>
  <rv s="0">
    <fb>1779798</fb>
    <v>2</v>
  </rv>
  <rv s="0">
    <fb>45973</fb>
    <v>0</v>
  </rv>
  <rv s="0">
    <fb>1340259</fb>
    <v>2</v>
  </rv>
  <rv s="0">
    <fb>45974</fb>
    <v>0</v>
  </rv>
  <rv s="0">
    <fb>100.95</fb>
    <v>1</v>
  </rv>
  <rv s="0">
    <fb>1977816</fb>
    <v>2</v>
  </rv>
  <rv s="0">
    <fb>45975</fb>
    <v>0</v>
  </rv>
  <rv s="0">
    <fb>101.66</fb>
    <v>1</v>
  </rv>
  <rv s="0">
    <fb>2443256</fb>
    <v>2</v>
  </rv>
  <rv s="0">
    <fb>45978</fb>
    <v>0</v>
  </rv>
  <rv s="0">
    <fb>103.85</fb>
    <v>1</v>
  </rv>
  <rv s="0">
    <fb>3007831</fb>
    <v>2</v>
  </rv>
  <rv s="0">
    <fb>45979</fb>
    <v>0</v>
  </rv>
  <rv s="0">
    <fb>102.91</fb>
    <v>1</v>
  </rv>
  <rv s="0">
    <fb>2585563</fb>
    <v>2</v>
  </rv>
  <rv s="0">
    <fb>45980</fb>
    <v>0</v>
  </rv>
  <rv s="0">
    <fb>100.38</fb>
    <v>1</v>
  </rv>
  <rv s="0">
    <fb>3059734</fb>
    <v>2</v>
  </rv>
  <rv s="0">
    <fb>45981</fb>
    <v>0</v>
  </rv>
  <rv s="0">
    <fb>2462396</fb>
    <v>2</v>
  </rv>
  <rv s="0">
    <fb>45982</fb>
    <v>0</v>
  </rv>
  <rv s="0">
    <fb>100.16</fb>
    <v>1</v>
  </rv>
  <rv s="0">
    <fb>4721989</fb>
    <v>2</v>
  </rv>
  <rv s="0">
    <fb>45985</fb>
    <v>0</v>
  </rv>
  <rv s="0">
    <fb>98.92</fb>
    <v>1</v>
  </rv>
  <rv s="0">
    <fb>7708010</fb>
    <v>2</v>
  </rv>
  <rv s="0">
    <fb>45986</fb>
    <v>0</v>
  </rv>
  <rv s="0">
    <fb>98.85</fb>
    <v>1</v>
  </rv>
  <rv s="0">
    <fb>2127188</fb>
    <v>2</v>
  </rv>
  <rv s="0">
    <fb>45987</fb>
    <v>0</v>
  </rv>
  <rv s="0">
    <fb>100.14</fb>
    <v>1</v>
  </rv>
  <rv s="0">
    <fb>1305669</fb>
    <v>2</v>
  </rv>
  <rv s="0">
    <fb>45989</fb>
    <v>0</v>
  </rv>
  <rv s="0">
    <fb>100.36</fb>
    <v>1</v>
  </rv>
  <rv s="0">
    <fb>1063335</fb>
    <v>2</v>
  </rv>
  <rv s="0">
    <fb>45992</fb>
    <v>0</v>
  </rv>
  <rv s="0">
    <fb>97.88</fb>
    <v>1</v>
  </rv>
  <rv s="0">
    <fb>2744812</fb>
    <v>2</v>
  </rv>
  <rv s="0">
    <fb>45993</fb>
    <v>0</v>
  </rv>
  <rv s="0">
    <fb>96.87</fb>
    <v>1</v>
  </rv>
  <rv s="0">
    <fb>2753150</fb>
    <v>2</v>
  </rv>
  <rv s="0">
    <fb>45994</fb>
    <v>0</v>
  </rv>
  <rv s="0">
    <fb>96.45</fb>
    <v>1</v>
  </rv>
  <rv s="0">
    <fb>1762033</fb>
    <v>2</v>
  </rv>
  <rv s="0">
    <fb>45995</fb>
    <v>0</v>
  </rv>
  <rv s="0">
    <fb>96.22</fb>
    <v>1</v>
  </rv>
  <rv s="0">
    <fb>2303530</fb>
    <v>2</v>
  </rv>
  <rv s="0">
    <fb>45996</fb>
    <v>0</v>
  </rv>
  <rv s="0">
    <fb>96.6</fb>
    <v>1</v>
  </rv>
  <rv s="0">
    <fb>1775844</fb>
    <v>2</v>
  </rv>
  <rv s="0">
    <fb>45999</fb>
    <v>0</v>
  </rv>
  <rv s="0">
    <fb>95.45</fb>
    <v>1</v>
  </rv>
  <rv s="0">
    <fb>2089307</fb>
    <v>2</v>
  </rv>
  <rv s="0">
    <fb>46000</fb>
    <v>0</v>
  </rv>
  <rv s="0">
    <fb>95.82</fb>
    <v>1</v>
  </rv>
  <rv s="0">
    <fb>1823336</fb>
    <v>2</v>
  </rv>
  <rv s="0">
    <fb>46001</fb>
    <v>0</v>
  </rv>
  <rv s="0">
    <fb>95.41</fb>
    <v>1</v>
  </rv>
  <rv s="0">
    <fb>1848956</fb>
    <v>2</v>
  </rv>
  <rv s="0">
    <fb>46002</fb>
    <v>0</v>
  </rv>
  <rv s="0">
    <fb>95.64</fb>
    <v>1</v>
  </rv>
  <rv s="0">
    <fb>1396780</fb>
    <v>2</v>
  </rv>
  <rv s="0">
    <fb>46003</fb>
    <v>0</v>
  </rv>
  <rv s="0">
    <fb>97.53</fb>
    <v>1</v>
  </rv>
  <rv s="0">
    <fb>2638227</fb>
    <v>2</v>
  </rv>
  <rv s="1">
    <v>3</v>
    <v>ED</v>
    <v>Daily</v>
    <v>45658</v>
    <v>46006</v>
    <v>0</v>
    <v>1</v>
    <v>639010944000000000,639014373394209817,0</v>
    <v>0</v>
    <v>a1rmkr</v>
    <v>XNYS:ED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EFED-471F-4BC9-81BE-7A9F47B0610F}">
  <dimension ref="A1:Q239"/>
  <sheetViews>
    <sheetView zoomScale="70" zoomScaleNormal="70" workbookViewId="0">
      <selection activeCell="L1" activeCellId="4" sqref="A1:A1048576 B1:B1048576 I1:I1048576 K1:K1048576 L1:L1048576"/>
    </sheetView>
  </sheetViews>
  <sheetFormatPr defaultRowHeight="15" x14ac:dyDescent="0.25"/>
  <cols>
    <col min="1" max="1" width="12" bestFit="1" customWidth="1"/>
    <col min="3" max="3" width="16.85546875" style="1" bestFit="1" customWidth="1"/>
    <col min="4" max="4" width="18" style="2" bestFit="1" customWidth="1"/>
    <col min="5" max="6" width="9.28515625" style="1" bestFit="1" customWidth="1"/>
    <col min="7" max="7" width="18.5703125" style="1" bestFit="1" customWidth="1"/>
    <col min="8" max="8" width="18.140625" style="1" bestFit="1" customWidth="1"/>
    <col min="9" max="9" width="13.42578125" bestFit="1" customWidth="1"/>
    <col min="13" max="13" width="11.140625" bestFit="1" customWidth="1"/>
    <col min="14" max="14" width="11.5703125" bestFit="1" customWidth="1"/>
    <col min="17" max="17" width="13" bestFit="1" customWidth="1"/>
  </cols>
  <sheetData>
    <row r="1" spans="1:17" x14ac:dyDescent="0.25">
      <c r="A1" s="3" t="str" cm="1">
        <f t="array" aca="1" ref="A1:C239" ca="1">_xlfn.STOCKHISTORY("ED",DATE(YEAR(TODAY()),1,1),TODAY(),0,1,0,1,5)</f>
        <v>Date</v>
      </c>
      <c r="B1" s="3" t="str">
        <f ca="1"/>
        <v>Close</v>
      </c>
      <c r="C1" s="4" t="str">
        <f ca="1"/>
        <v>Volume</v>
      </c>
      <c r="D1" s="5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7" t="s">
        <v>5</v>
      </c>
      <c r="J1" s="8" t="s">
        <v>2</v>
      </c>
      <c r="K1" s="8" t="s">
        <v>6</v>
      </c>
      <c r="L1" s="8" t="s">
        <v>7</v>
      </c>
      <c r="M1" s="8"/>
      <c r="N1" s="8"/>
      <c r="O1" s="8"/>
      <c r="P1" s="8"/>
      <c r="Q1" s="8"/>
    </row>
    <row r="2" spans="1:17" x14ac:dyDescent="0.25">
      <c r="A2" vm="1">
        <f ca="1"/>
        <v>45659</v>
      </c>
      <c r="B2" vm="2">
        <f ca="1"/>
        <v>89.03</v>
      </c>
      <c r="C2" s="1" vm="3">
        <f ca="1"/>
        <v>1557946</v>
      </c>
      <c r="D2" s="2">
        <f ca="1">B2*C2</f>
        <v>138703932.38</v>
      </c>
      <c r="E2" s="1">
        <f ca="1">SUM($D$2:D2)/SUM($C$2:C2)</f>
        <v>89.03</v>
      </c>
    </row>
    <row r="3" spans="1:17" x14ac:dyDescent="0.25">
      <c r="A3" vm="4">
        <f ca="1"/>
        <v>45660</v>
      </c>
      <c r="B3" vm="5">
        <f ca="1"/>
        <v>89.24</v>
      </c>
      <c r="C3" s="1" vm="6">
        <f ca="1"/>
        <v>1954733</v>
      </c>
      <c r="D3" s="2">
        <f t="shared" ref="D3:D66" ca="1" si="0">B3*C3</f>
        <v>174440372.91999999</v>
      </c>
      <c r="E3" s="1">
        <f ca="1">SUM($D$2:D3)/SUM($C$2:C3)</f>
        <v>89.146860643970015</v>
      </c>
      <c r="F3" s="1">
        <f ca="1">_xlfn.STDEV.S($B$2:B3)</f>
        <v>0.14849242404917057</v>
      </c>
      <c r="G3" s="1">
        <f t="shared" ref="G3:G66" ca="1" si="1">IF(E3="","", E3 + (F3*2))</f>
        <v>89.443845492068363</v>
      </c>
      <c r="H3" s="1">
        <f t="shared" ref="H3:H66" ca="1" si="2">IF(E3="","", E3 - (F3*2))</f>
        <v>88.849875795871668</v>
      </c>
    </row>
    <row r="4" spans="1:17" x14ac:dyDescent="0.25">
      <c r="A4" vm="7">
        <f ca="1"/>
        <v>45663</v>
      </c>
      <c r="B4" vm="8">
        <f ca="1"/>
        <v>88.37</v>
      </c>
      <c r="C4" s="1" vm="9">
        <f ca="1"/>
        <v>1981278</v>
      </c>
      <c r="D4" s="2">
        <f t="shared" ca="1" si="0"/>
        <v>175085536.86000001</v>
      </c>
      <c r="E4" s="1">
        <f ca="1">SUM($D$2:D4)/SUM($C$2:C4)</f>
        <v>88.866702480561813</v>
      </c>
      <c r="F4" s="1">
        <f ca="1">_xlfn.STDEV.S($B$2:B4)</f>
        <v>0.45398237851264228</v>
      </c>
      <c r="G4" s="1">
        <f t="shared" ca="1" si="1"/>
        <v>89.774667237587096</v>
      </c>
      <c r="H4" s="1">
        <f t="shared" ca="1" si="2"/>
        <v>87.95873772353653</v>
      </c>
    </row>
    <row r="5" spans="1:17" x14ac:dyDescent="0.25">
      <c r="A5" vm="10">
        <f ca="1"/>
        <v>45664</v>
      </c>
      <c r="B5" vm="11">
        <f ca="1"/>
        <v>88</v>
      </c>
      <c r="C5" s="1" vm="12">
        <f ca="1"/>
        <v>2861220</v>
      </c>
      <c r="D5" s="2">
        <f t="shared" ca="1" si="0"/>
        <v>251787360</v>
      </c>
      <c r="E5" s="1">
        <f ca="1">SUM($D$2:D5)/SUM($C$2:C5)</f>
        <v>88.569901291139615</v>
      </c>
      <c r="F5" s="1">
        <f ca="1">_xlfn.STDEV.S($B$2:B5)</f>
        <v>0.57532599454569877</v>
      </c>
      <c r="G5" s="1">
        <f t="shared" ca="1" si="1"/>
        <v>89.720553280231016</v>
      </c>
      <c r="H5" s="1">
        <f t="shared" ca="1" si="2"/>
        <v>87.419249302048215</v>
      </c>
    </row>
    <row r="6" spans="1:17" x14ac:dyDescent="0.25">
      <c r="A6" vm="13">
        <f ca="1"/>
        <v>45665</v>
      </c>
      <c r="B6" vm="14">
        <f ca="1"/>
        <v>89.01</v>
      </c>
      <c r="C6" s="1" vm="15">
        <f ca="1"/>
        <v>1793238</v>
      </c>
      <c r="D6" s="2">
        <f t="shared" ca="1" si="0"/>
        <v>159616114.38</v>
      </c>
      <c r="E6" s="1">
        <f ca="1">SUM($D$2:D6)/SUM($C$2:C6)</f>
        <v>88.647667299770447</v>
      </c>
      <c r="F6" s="1">
        <f ca="1">_xlfn.STDEV.S($B$2:B6)</f>
        <v>0.52225472712077847</v>
      </c>
      <c r="G6" s="1">
        <f t="shared" ca="1" si="1"/>
        <v>89.69217675401201</v>
      </c>
      <c r="H6" s="1">
        <f t="shared" ca="1" si="2"/>
        <v>87.603157845528884</v>
      </c>
    </row>
    <row r="7" spans="1:17" x14ac:dyDescent="0.25">
      <c r="A7" vm="16">
        <f ca="1"/>
        <v>45667</v>
      </c>
      <c r="B7" vm="17">
        <f ca="1"/>
        <v>88.15</v>
      </c>
      <c r="C7" s="1" vm="18">
        <f ca="1"/>
        <v>2243180</v>
      </c>
      <c r="D7" s="2">
        <f t="shared" ca="1" si="0"/>
        <v>197736317</v>
      </c>
      <c r="E7" s="1">
        <f ca="1">SUM($D$2:D7)/SUM($C$2:C7)</f>
        <v>88.557577417596363</v>
      </c>
      <c r="F7" s="1">
        <f ca="1">_xlfn.STDEV.S($B$2:B7)</f>
        <v>0.52370475142647388</v>
      </c>
      <c r="G7" s="1">
        <f t="shared" ca="1" si="1"/>
        <v>89.604986920449306</v>
      </c>
      <c r="H7" s="1">
        <f t="shared" ca="1" si="2"/>
        <v>87.51016791474342</v>
      </c>
    </row>
    <row r="8" spans="1:17" x14ac:dyDescent="0.25">
      <c r="A8" vm="19">
        <f ca="1"/>
        <v>45670</v>
      </c>
      <c r="B8" vm="20">
        <f ca="1"/>
        <v>88.47</v>
      </c>
      <c r="C8" s="1" vm="21">
        <f ca="1"/>
        <v>1883715</v>
      </c>
      <c r="D8" s="2">
        <f t="shared" ca="1" si="0"/>
        <v>166652266.05000001</v>
      </c>
      <c r="E8" s="1">
        <f ca="1">SUM($D$2:D8)/SUM($C$2:C8)</f>
        <v>88.546021038422282</v>
      </c>
      <c r="F8" s="1">
        <f ca="1">_xlfn.STDEV.S($B$2:B8)</f>
        <v>0.48204425799574174</v>
      </c>
      <c r="G8" s="1">
        <f t="shared" ca="1" si="1"/>
        <v>89.510109554413759</v>
      </c>
      <c r="H8" s="1">
        <f t="shared" ca="1" si="2"/>
        <v>87.581932522430805</v>
      </c>
    </row>
    <row r="9" spans="1:17" x14ac:dyDescent="0.25">
      <c r="A9" vm="22">
        <f ca="1"/>
        <v>45671</v>
      </c>
      <c r="B9" vm="23">
        <f ca="1"/>
        <v>89.37</v>
      </c>
      <c r="C9" s="1" vm="24">
        <f ca="1"/>
        <v>2103980</v>
      </c>
      <c r="D9" s="2">
        <f t="shared" ca="1" si="0"/>
        <v>188032692.60000002</v>
      </c>
      <c r="E9" s="1">
        <f ca="1">SUM($D$2:D9)/SUM($C$2:C9)</f>
        <v>88.651864164441804</v>
      </c>
      <c r="F9" s="1">
        <f ca="1">_xlfn.STDEV.S($B$2:B9)</f>
        <v>0.52093322851535195</v>
      </c>
      <c r="G9" s="1">
        <f t="shared" ca="1" si="1"/>
        <v>89.693730621472511</v>
      </c>
      <c r="H9" s="1">
        <f t="shared" ca="1" si="2"/>
        <v>87.609997707411097</v>
      </c>
    </row>
    <row r="10" spans="1:17" x14ac:dyDescent="0.25">
      <c r="A10" vm="25">
        <f ca="1"/>
        <v>45672</v>
      </c>
      <c r="B10" vm="26">
        <f ca="1"/>
        <v>90.23</v>
      </c>
      <c r="C10" s="1" vm="27">
        <f ca="1"/>
        <v>1972026</v>
      </c>
      <c r="D10" s="2">
        <f t="shared" ca="1" si="0"/>
        <v>177935905.98000002</v>
      </c>
      <c r="E10" s="1">
        <f ca="1">SUM($D$2:D10)/SUM($C$2:C10)</f>
        <v>88.821450089464975</v>
      </c>
      <c r="F10" s="1">
        <f ca="1">_xlfn.STDEV.S($B$2:B10)</f>
        <v>0.70416814595505384</v>
      </c>
      <c r="G10" s="1">
        <f t="shared" ca="1" si="1"/>
        <v>90.229786381375078</v>
      </c>
      <c r="H10" s="1">
        <f t="shared" ca="1" si="2"/>
        <v>87.413113797554871</v>
      </c>
    </row>
    <row r="11" spans="1:17" x14ac:dyDescent="0.25">
      <c r="A11" vm="28">
        <f ca="1"/>
        <v>45673</v>
      </c>
      <c r="B11" vm="29">
        <f ca="1"/>
        <v>92.22</v>
      </c>
      <c r="C11" s="1" vm="30">
        <f ca="1"/>
        <v>2097561</v>
      </c>
      <c r="D11" s="2">
        <f t="shared" ca="1" si="0"/>
        <v>193437075.41999999</v>
      </c>
      <c r="E11" s="1">
        <f ca="1">SUM($D$2:D11)/SUM($C$2:C11)</f>
        <v>89.170059245307215</v>
      </c>
      <c r="F11" s="1">
        <f ca="1">_xlfn.STDEV.S($B$2:B11)</f>
        <v>1.2490124988254603</v>
      </c>
      <c r="G11" s="1">
        <f t="shared" ca="1" si="1"/>
        <v>91.66808424295813</v>
      </c>
      <c r="H11" s="1">
        <f t="shared" ca="1" si="2"/>
        <v>86.672034247656299</v>
      </c>
    </row>
    <row r="12" spans="1:17" x14ac:dyDescent="0.25">
      <c r="A12" vm="31">
        <f ca="1"/>
        <v>45674</v>
      </c>
      <c r="B12" vm="32">
        <f ca="1"/>
        <v>93.65</v>
      </c>
      <c r="C12" s="1" vm="33">
        <f ca="1"/>
        <v>3516804</v>
      </c>
      <c r="D12" s="2">
        <f t="shared" ca="1" si="0"/>
        <v>329348694.60000002</v>
      </c>
      <c r="E12" s="1">
        <f ca="1">SUM($D$2:D12)/SUM($C$2:C12)</f>
        <v>89.827460700574292</v>
      </c>
      <c r="F12" s="1">
        <f ca="1">_xlfn.STDEV.S($B$2:B12)</f>
        <v>1.7880105755229245</v>
      </c>
      <c r="G12" s="1">
        <f t="shared" ca="1" si="1"/>
        <v>93.403481851620143</v>
      </c>
      <c r="H12" s="1">
        <f t="shared" ca="1" si="2"/>
        <v>86.251439549528442</v>
      </c>
    </row>
    <row r="13" spans="1:17" x14ac:dyDescent="0.25">
      <c r="A13" vm="34">
        <f ca="1"/>
        <v>45678</v>
      </c>
      <c r="B13" vm="35">
        <f ca="1"/>
        <v>93.21</v>
      </c>
      <c r="C13" s="1" vm="36">
        <f ca="1"/>
        <v>2761523</v>
      </c>
      <c r="D13" s="2">
        <f t="shared" ca="1" si="0"/>
        <v>257401558.82999998</v>
      </c>
      <c r="E13" s="1">
        <f ca="1">SUM($D$2:D13)/SUM($C$2:C13)</f>
        <v>90.176953302709848</v>
      </c>
      <c r="F13" s="1">
        <f ca="1">_xlfn.STDEV.S($B$2:B13)</f>
        <v>1.9961741816876504</v>
      </c>
      <c r="G13" s="1">
        <f t="shared" ca="1" si="1"/>
        <v>94.169301666085147</v>
      </c>
      <c r="H13" s="1">
        <f t="shared" ca="1" si="2"/>
        <v>86.184604939334548</v>
      </c>
    </row>
    <row r="14" spans="1:17" x14ac:dyDescent="0.25">
      <c r="A14" vm="37">
        <f ca="1"/>
        <v>45679</v>
      </c>
      <c r="B14" vm="38">
        <f ca="1"/>
        <v>90.77</v>
      </c>
      <c r="C14" s="1" vm="39">
        <f ca="1"/>
        <v>1805432</v>
      </c>
      <c r="D14" s="2">
        <f t="shared" ca="1" si="0"/>
        <v>163879062.63999999</v>
      </c>
      <c r="E14" s="1">
        <f ca="1">SUM($D$2:D14)/SUM($C$2:C14)</f>
        <v>90.214478944742424</v>
      </c>
      <c r="F14" s="1">
        <f ca="1">_xlfn.STDEV.S($B$2:B14)</f>
        <v>1.9259320088113439</v>
      </c>
      <c r="G14" s="1">
        <f t="shared" ca="1" si="1"/>
        <v>94.066342962365113</v>
      </c>
      <c r="H14" s="1">
        <f t="shared" ca="1" si="2"/>
        <v>86.362614927119736</v>
      </c>
    </row>
    <row r="15" spans="1:17" x14ac:dyDescent="0.25">
      <c r="A15" vm="40">
        <f ca="1"/>
        <v>45680</v>
      </c>
      <c r="B15" vm="41">
        <f ca="1"/>
        <v>90.76</v>
      </c>
      <c r="C15" s="1" vm="42">
        <f ca="1"/>
        <v>1649741</v>
      </c>
      <c r="D15" s="2">
        <f t="shared" ca="1" si="0"/>
        <v>149730493.16</v>
      </c>
      <c r="E15" s="1">
        <f ca="1">SUM($D$2:D15)/SUM($C$2:C15)</f>
        <v>90.24429662448388</v>
      </c>
      <c r="F15" s="1">
        <f ca="1">_xlfn.STDEV.S($B$2:B15)</f>
        <v>1.8621274610828007</v>
      </c>
      <c r="G15" s="1">
        <f t="shared" ca="1" si="1"/>
        <v>93.968551546649479</v>
      </c>
      <c r="H15" s="1">
        <f t="shared" ca="1" si="2"/>
        <v>86.520041702318281</v>
      </c>
    </row>
    <row r="16" spans="1:17" x14ac:dyDescent="0.25">
      <c r="A16" vm="43">
        <f ca="1"/>
        <v>45681</v>
      </c>
      <c r="B16" vm="44">
        <f ca="1"/>
        <v>90.6</v>
      </c>
      <c r="C16" s="1" vm="45">
        <f ca="1"/>
        <v>2596989</v>
      </c>
      <c r="D16" s="2">
        <f t="shared" ca="1" si="0"/>
        <v>235287203.39999998</v>
      </c>
      <c r="E16" s="1">
        <f ca="1">SUM($D$2:D16)/SUM($C$2:C16)</f>
        <v>90.272477698928029</v>
      </c>
      <c r="F16" s="1">
        <f ca="1">_xlfn.STDEV.S($B$2:B16)</f>
        <v>1.800326160925926</v>
      </c>
      <c r="G16" s="1">
        <f t="shared" ca="1" si="1"/>
        <v>93.873130020779882</v>
      </c>
      <c r="H16" s="1">
        <f t="shared" ca="1" si="2"/>
        <v>86.671825377076175</v>
      </c>
    </row>
    <row r="17" spans="1:12" x14ac:dyDescent="0.25">
      <c r="A17" vm="46">
        <f ca="1"/>
        <v>45684</v>
      </c>
      <c r="B17" vm="47">
        <f ca="1"/>
        <v>94.89</v>
      </c>
      <c r="C17" s="1" vm="48">
        <f ca="1"/>
        <v>4043815</v>
      </c>
      <c r="D17" s="2">
        <f t="shared" ca="1" si="0"/>
        <v>383717605.35000002</v>
      </c>
      <c r="E17" s="1">
        <f ca="1">SUM($D$2:D17)/SUM($C$2:C17)</f>
        <v>90.779560613462479</v>
      </c>
      <c r="F17" s="1">
        <f ca="1">_xlfn.STDEV.S($B$2:B17)</f>
        <v>2.1156361336486946</v>
      </c>
      <c r="G17" s="1">
        <f t="shared" ca="1" si="1"/>
        <v>95.010832880759864</v>
      </c>
      <c r="H17" s="1">
        <f t="shared" ca="1" si="2"/>
        <v>86.548288346165094</v>
      </c>
    </row>
    <row r="18" spans="1:12" x14ac:dyDescent="0.25">
      <c r="A18" vm="49">
        <f ca="1"/>
        <v>45685</v>
      </c>
      <c r="B18" vm="50">
        <f ca="1"/>
        <v>93.39</v>
      </c>
      <c r="C18" s="1" vm="51">
        <f ca="1"/>
        <v>2470603</v>
      </c>
      <c r="D18" s="2">
        <f t="shared" ca="1" si="0"/>
        <v>230729614.16999999</v>
      </c>
      <c r="E18" s="1">
        <f ca="1">SUM($D$2:D18)/SUM($C$2:C18)</f>
        <v>90.943692410484061</v>
      </c>
      <c r="F18" s="1">
        <f ca="1">_xlfn.STDEV.S($B$2:B18)</f>
        <v>2.1752139854168226</v>
      </c>
      <c r="G18" s="1">
        <f t="shared" ca="1" si="1"/>
        <v>95.294120381317711</v>
      </c>
      <c r="H18" s="1">
        <f t="shared" ca="1" si="2"/>
        <v>86.593264439650412</v>
      </c>
    </row>
    <row r="19" spans="1:12" x14ac:dyDescent="0.25">
      <c r="A19" vm="52">
        <f ca="1"/>
        <v>45686</v>
      </c>
      <c r="B19" vm="53">
        <f ca="1"/>
        <v>92.57</v>
      </c>
      <c r="C19" s="1" vm="54">
        <f ca="1"/>
        <v>1935876</v>
      </c>
      <c r="D19" s="2">
        <f t="shared" ca="1" si="0"/>
        <v>179204041.31999999</v>
      </c>
      <c r="E19" s="1">
        <f ca="1">SUM($D$2:D19)/SUM($C$2:C19)</f>
        <v>91.020053210722565</v>
      </c>
      <c r="F19" s="1">
        <f ca="1">_xlfn.STDEV.S($B$2:B19)</f>
        <v>2.1632812918602178</v>
      </c>
      <c r="G19" s="1">
        <f t="shared" ca="1" si="1"/>
        <v>95.346615794442997</v>
      </c>
      <c r="H19" s="1">
        <f t="shared" ca="1" si="2"/>
        <v>86.693490627002134</v>
      </c>
    </row>
    <row r="20" spans="1:12" x14ac:dyDescent="0.25">
      <c r="A20" vm="55">
        <f ca="1"/>
        <v>45687</v>
      </c>
      <c r="B20" vm="56">
        <f ca="1"/>
        <v>93.86</v>
      </c>
      <c r="C20" s="1" vm="57">
        <f ca="1"/>
        <v>2274316</v>
      </c>
      <c r="D20" s="2">
        <f t="shared" ca="1" si="0"/>
        <v>213467299.75999999</v>
      </c>
      <c r="E20" s="1">
        <f ca="1">SUM($D$2:D20)/SUM($C$2:C20)</f>
        <v>91.168520937488552</v>
      </c>
      <c r="F20" s="1">
        <f ca="1">_xlfn.STDEV.S($B$2:B20)</f>
        <v>2.2266140082017949</v>
      </c>
      <c r="G20" s="1">
        <f t="shared" ca="1" si="1"/>
        <v>95.621748953892137</v>
      </c>
      <c r="H20" s="1">
        <f t="shared" ca="1" si="2"/>
        <v>86.715292921084966</v>
      </c>
    </row>
    <row r="21" spans="1:12" x14ac:dyDescent="0.25">
      <c r="A21" vm="58">
        <f ca="1"/>
        <v>45688</v>
      </c>
      <c r="B21" vm="59">
        <f ca="1"/>
        <v>93.74</v>
      </c>
      <c r="C21" s="1" vm="60">
        <f ca="1"/>
        <v>6072722</v>
      </c>
      <c r="D21" s="2">
        <f t="shared" ca="1" si="0"/>
        <v>569256960.27999997</v>
      </c>
      <c r="E21" s="1">
        <f ca="1">SUM($D$2:D21)/SUM($C$2:C21)</f>
        <v>91.483505155990812</v>
      </c>
      <c r="F21" s="1">
        <f ca="1">_xlfn.STDEV.S($B$2:B21)</f>
        <v>2.2627353614131427</v>
      </c>
      <c r="G21" s="1">
        <f t="shared" ca="1" si="1"/>
        <v>96.008975878817097</v>
      </c>
      <c r="H21" s="1">
        <f t="shared" ca="1" si="2"/>
        <v>86.958034433164528</v>
      </c>
      <c r="I21">
        <f ca="1">AVERAGE(B2:B21)</f>
        <v>90.976500000000001</v>
      </c>
      <c r="J21">
        <f ca="1">_xlfn.STDEV.S(B2:B21)</f>
        <v>2.2627353614131427</v>
      </c>
      <c r="K21">
        <f ca="1">I21+2*J21</f>
        <v>95.501970722826286</v>
      </c>
      <c r="L21">
        <f ca="1">I21-2*J21</f>
        <v>86.451029277173717</v>
      </c>
    </row>
    <row r="22" spans="1:12" x14ac:dyDescent="0.25">
      <c r="A22" vm="61">
        <f ca="1"/>
        <v>45691</v>
      </c>
      <c r="B22" vm="62">
        <f ca="1"/>
        <v>95.62</v>
      </c>
      <c r="C22" s="1" vm="63">
        <f ca="1"/>
        <v>3234925</v>
      </c>
      <c r="D22" s="2">
        <f t="shared" ca="1" si="0"/>
        <v>309323528.5</v>
      </c>
      <c r="E22" s="1">
        <f ca="1">SUM($D$2:D22)/SUM($C$2:C22)</f>
        <v>91.736882155657284</v>
      </c>
      <c r="F22" s="1">
        <f ca="1">_xlfn.STDEV.S($B$2:B22)</f>
        <v>2.4270844747595919</v>
      </c>
      <c r="G22" s="1">
        <f t="shared" ca="1" si="1"/>
        <v>96.591051105176462</v>
      </c>
      <c r="H22" s="1">
        <f t="shared" ca="1" si="2"/>
        <v>86.882713206138106</v>
      </c>
      <c r="I22">
        <f t="shared" ref="I22:I85" ca="1" si="3">AVERAGE(B3:B22)</f>
        <v>91.305999999999997</v>
      </c>
      <c r="J22">
        <f t="shared" ref="J22:J85" ca="1" si="4">_xlfn.STDEV.S(B3:B22)</f>
        <v>2.4374412813440238</v>
      </c>
      <c r="K22">
        <f t="shared" ref="K22:K85" ca="1" si="5">I22+2*J22</f>
        <v>96.180882562688041</v>
      </c>
      <c r="L22">
        <f t="shared" ref="L22:L85" ca="1" si="6">I22-2*J22</f>
        <v>86.431117437311954</v>
      </c>
    </row>
    <row r="23" spans="1:12" x14ac:dyDescent="0.25">
      <c r="A23" vm="64">
        <f ca="1"/>
        <v>45692</v>
      </c>
      <c r="B23" vm="65">
        <f ca="1"/>
        <v>94.91</v>
      </c>
      <c r="C23" s="1" vm="66">
        <f ca="1"/>
        <v>2186451</v>
      </c>
      <c r="D23" s="2">
        <f t="shared" ca="1" si="0"/>
        <v>207516064.41</v>
      </c>
      <c r="E23" s="1">
        <f ca="1">SUM($D$2:D23)/SUM($C$2:C23)</f>
        <v>91.863029603727568</v>
      </c>
      <c r="F23" s="1">
        <f ca="1">_xlfn.STDEV.S($B$2:B23)</f>
        <v>2.4973329496628711</v>
      </c>
      <c r="G23" s="1">
        <f t="shared" ca="1" si="1"/>
        <v>96.857695503053307</v>
      </c>
      <c r="H23" s="1">
        <f t="shared" ca="1" si="2"/>
        <v>86.86836370440183</v>
      </c>
      <c r="I23">
        <f t="shared" ca="1" si="3"/>
        <v>91.589500000000015</v>
      </c>
      <c r="J23">
        <f t="shared" ca="1" si="4"/>
        <v>2.5130637100014614</v>
      </c>
      <c r="K23">
        <f t="shared" ca="1" si="5"/>
        <v>96.615627420002937</v>
      </c>
      <c r="L23">
        <f t="shared" ca="1" si="6"/>
        <v>86.563372579997093</v>
      </c>
    </row>
    <row r="24" spans="1:12" x14ac:dyDescent="0.25">
      <c r="A24" vm="67">
        <f ca="1"/>
        <v>45693</v>
      </c>
      <c r="B24" vm="68">
        <f ca="1"/>
        <v>96.19</v>
      </c>
      <c r="C24" s="1" vm="69">
        <f ca="1"/>
        <v>1874087</v>
      </c>
      <c r="D24" s="2">
        <f t="shared" ca="1" si="0"/>
        <v>180268428.53</v>
      </c>
      <c r="E24" s="1">
        <f ca="1">SUM($D$2:D24)/SUM($C$2:C24)</f>
        <v>92.005614637010169</v>
      </c>
      <c r="F24" s="1">
        <f ca="1">_xlfn.STDEV.S($B$2:B24)</f>
        <v>2.6390937479136043</v>
      </c>
      <c r="G24" s="1">
        <f t="shared" ca="1" si="1"/>
        <v>97.28380213283738</v>
      </c>
      <c r="H24" s="1">
        <f t="shared" ca="1" si="2"/>
        <v>86.727427141182957</v>
      </c>
      <c r="I24">
        <f t="shared" ca="1" si="3"/>
        <v>91.980500000000021</v>
      </c>
      <c r="J24">
        <f t="shared" ca="1" si="4"/>
        <v>2.5928656672533279</v>
      </c>
      <c r="K24">
        <f t="shared" ca="1" si="5"/>
        <v>97.166231334506676</v>
      </c>
      <c r="L24">
        <f t="shared" ca="1" si="6"/>
        <v>86.794768665493365</v>
      </c>
    </row>
    <row r="25" spans="1:12" x14ac:dyDescent="0.25">
      <c r="A25" vm="70">
        <f ca="1"/>
        <v>45694</v>
      </c>
      <c r="B25" vm="71">
        <f ca="1"/>
        <v>95.42</v>
      </c>
      <c r="C25" s="1" vm="72">
        <f ca="1"/>
        <v>1587040</v>
      </c>
      <c r="D25" s="2">
        <f t="shared" ca="1" si="0"/>
        <v>151435356.80000001</v>
      </c>
      <c r="E25" s="1">
        <f ca="1">SUM($D$2:D25)/SUM($C$2:C25)</f>
        <v>92.098307764076338</v>
      </c>
      <c r="F25" s="1">
        <f ca="1">_xlfn.STDEV.S($B$2:B25)</f>
        <v>2.6977120942528789</v>
      </c>
      <c r="G25" s="1">
        <f t="shared" ca="1" si="1"/>
        <v>97.493731952582095</v>
      </c>
      <c r="H25" s="1">
        <f t="shared" ca="1" si="2"/>
        <v>86.702883575570581</v>
      </c>
      <c r="I25">
        <f t="shared" ca="1" si="3"/>
        <v>92.351500000000016</v>
      </c>
      <c r="J25">
        <f t="shared" ca="1" si="4"/>
        <v>2.5232503578561216</v>
      </c>
      <c r="K25">
        <f t="shared" ca="1" si="5"/>
        <v>97.398000715712257</v>
      </c>
      <c r="L25">
        <f t="shared" ca="1" si="6"/>
        <v>87.304999284287774</v>
      </c>
    </row>
    <row r="26" spans="1:12" x14ac:dyDescent="0.25">
      <c r="A26" vm="73">
        <f ca="1"/>
        <v>45695</v>
      </c>
      <c r="B26" vm="74">
        <f ca="1"/>
        <v>96.08</v>
      </c>
      <c r="C26" s="1" vm="75">
        <f ca="1"/>
        <v>1520031</v>
      </c>
      <c r="D26" s="2">
        <f t="shared" ca="1" si="0"/>
        <v>146044578.47999999</v>
      </c>
      <c r="E26" s="1">
        <f ca="1">SUM($D$2:D26)/SUM($C$2:C26)</f>
        <v>92.19921428503784</v>
      </c>
      <c r="F26" s="1">
        <f ca="1">_xlfn.STDEV.S($B$2:B26)</f>
        <v>2.7801333900852065</v>
      </c>
      <c r="G26" s="1">
        <f t="shared" ca="1" si="1"/>
        <v>97.759481065208249</v>
      </c>
      <c r="H26" s="1">
        <f t="shared" ca="1" si="2"/>
        <v>86.638947504867431</v>
      </c>
      <c r="I26">
        <f t="shared" ca="1" si="3"/>
        <v>92.705000000000013</v>
      </c>
      <c r="J26">
        <f t="shared" ca="1" si="4"/>
        <v>2.5257192826473882</v>
      </c>
      <c r="K26">
        <f t="shared" ca="1" si="5"/>
        <v>97.756438565294786</v>
      </c>
      <c r="L26">
        <f t="shared" ca="1" si="6"/>
        <v>87.653561434705239</v>
      </c>
    </row>
    <row r="27" spans="1:12" x14ac:dyDescent="0.25">
      <c r="A27" vm="76">
        <f ca="1"/>
        <v>45698</v>
      </c>
      <c r="B27" vm="77">
        <f ca="1"/>
        <v>96.7</v>
      </c>
      <c r="C27" s="1" vm="78">
        <f ca="1"/>
        <v>1570620</v>
      </c>
      <c r="D27" s="2">
        <f t="shared" ca="1" si="0"/>
        <v>151878954</v>
      </c>
      <c r="E27" s="1">
        <f ca="1">SUM($D$2:D27)/SUM($C$2:C27)</f>
        <v>92.314064667775298</v>
      </c>
      <c r="F27" s="1">
        <f ca="1">_xlfn.STDEV.S($B$2:B27)</f>
        <v>2.8813957355100293</v>
      </c>
      <c r="G27" s="1">
        <f t="shared" ca="1" si="1"/>
        <v>98.076856138795364</v>
      </c>
      <c r="H27" s="1">
        <f t="shared" ca="1" si="2"/>
        <v>86.551273196755233</v>
      </c>
      <c r="I27">
        <f t="shared" ca="1" si="3"/>
        <v>93.132500000000007</v>
      </c>
      <c r="J27">
        <f t="shared" ca="1" si="4"/>
        <v>2.4361615083439854</v>
      </c>
      <c r="K27">
        <f t="shared" ca="1" si="5"/>
        <v>98.004823016687979</v>
      </c>
      <c r="L27">
        <f t="shared" ca="1" si="6"/>
        <v>88.260176983312036</v>
      </c>
    </row>
    <row r="28" spans="1:12" x14ac:dyDescent="0.25">
      <c r="A28" vm="79">
        <f ca="1"/>
        <v>45699</v>
      </c>
      <c r="B28" vm="80">
        <f ca="1"/>
        <v>96.31</v>
      </c>
      <c r="C28" s="1" vm="81">
        <f ca="1"/>
        <v>3162385</v>
      </c>
      <c r="D28" s="2">
        <f t="shared" ca="1" si="0"/>
        <v>304569299.35000002</v>
      </c>
      <c r="E28" s="1">
        <f ca="1">SUM($D$2:D28)/SUM($C$2:C28)</f>
        <v>92.509339727662308</v>
      </c>
      <c r="F28" s="1">
        <f ca="1">_xlfn.STDEV.S($B$2:B28)</f>
        <v>2.939619914574882</v>
      </c>
      <c r="G28" s="1">
        <f t="shared" ca="1" si="1"/>
        <v>98.388579556812076</v>
      </c>
      <c r="H28" s="1">
        <f t="shared" ca="1" si="2"/>
        <v>86.63009989851254</v>
      </c>
      <c r="I28">
        <f t="shared" ca="1" si="3"/>
        <v>93.524500000000018</v>
      </c>
      <c r="J28">
        <f t="shared" ca="1" si="4"/>
        <v>2.2716455315591455</v>
      </c>
      <c r="K28">
        <f t="shared" ca="1" si="5"/>
        <v>98.067791063118307</v>
      </c>
      <c r="L28">
        <f t="shared" ca="1" si="6"/>
        <v>88.981208936881728</v>
      </c>
    </row>
    <row r="29" spans="1:12" x14ac:dyDescent="0.25">
      <c r="A29" vm="82">
        <f ca="1"/>
        <v>45700</v>
      </c>
      <c r="B29" vm="83">
        <f ca="1"/>
        <v>94.57</v>
      </c>
      <c r="C29" s="1" vm="84">
        <f ca="1"/>
        <v>3704165</v>
      </c>
      <c r="D29" s="2">
        <f t="shared" ca="1" si="0"/>
        <v>350302884.04999995</v>
      </c>
      <c r="E29" s="1">
        <f ca="1">SUM($D$2:D29)/SUM($C$2:C29)</f>
        <v>92.620906916736132</v>
      </c>
      <c r="F29" s="1">
        <f ca="1">_xlfn.STDEV.S($B$2:B29)</f>
        <v>2.9177871543871863</v>
      </c>
      <c r="G29" s="1">
        <f t="shared" ca="1" si="1"/>
        <v>98.456481225510501</v>
      </c>
      <c r="H29" s="1">
        <f t="shared" ca="1" si="2"/>
        <v>86.785332607961763</v>
      </c>
      <c r="I29">
        <f t="shared" ca="1" si="3"/>
        <v>93.784499999999994</v>
      </c>
      <c r="J29">
        <f t="shared" ca="1" si="4"/>
        <v>2.0587207959773166</v>
      </c>
      <c r="K29">
        <f t="shared" ca="1" si="5"/>
        <v>97.901941591954625</v>
      </c>
      <c r="L29">
        <f t="shared" ca="1" si="6"/>
        <v>89.667058408045364</v>
      </c>
    </row>
    <row r="30" spans="1:12" x14ac:dyDescent="0.25">
      <c r="A30" vm="85">
        <f ca="1"/>
        <v>45701</v>
      </c>
      <c r="B30" vm="86">
        <f ca="1"/>
        <v>95.66</v>
      </c>
      <c r="C30" s="1" vm="87">
        <f ca="1"/>
        <v>1860296</v>
      </c>
      <c r="D30" s="2">
        <f t="shared" ca="1" si="0"/>
        <v>177955915.35999998</v>
      </c>
      <c r="E30" s="1">
        <f ca="1">SUM($D$2:D30)/SUM($C$2:C30)</f>
        <v>92.701354815788292</v>
      </c>
      <c r="F30" s="1">
        <f ca="1">_xlfn.STDEV.S($B$2:B30)</f>
        <v>2.9310521993089589</v>
      </c>
      <c r="G30" s="1">
        <f t="shared" ca="1" si="1"/>
        <v>98.563459214406208</v>
      </c>
      <c r="H30" s="1">
        <f t="shared" ca="1" si="2"/>
        <v>86.839250417170376</v>
      </c>
      <c r="I30">
        <f t="shared" ca="1" si="3"/>
        <v>94.056000000000012</v>
      </c>
      <c r="J30">
        <f t="shared" ca="1" si="4"/>
        <v>1.9185668993726606</v>
      </c>
      <c r="K30">
        <f t="shared" ca="1" si="5"/>
        <v>97.893133798745339</v>
      </c>
      <c r="L30">
        <f t="shared" ca="1" si="6"/>
        <v>90.218866201254684</v>
      </c>
    </row>
    <row r="31" spans="1:12" x14ac:dyDescent="0.25">
      <c r="A31" vm="88">
        <f ca="1"/>
        <v>45702</v>
      </c>
      <c r="B31" vm="89">
        <f ca="1"/>
        <v>94.92</v>
      </c>
      <c r="C31" s="1" vm="90">
        <f ca="1"/>
        <v>1948212</v>
      </c>
      <c r="D31" s="2">
        <f t="shared" ca="1" si="0"/>
        <v>184924283.03999999</v>
      </c>
      <c r="E31" s="1">
        <f ca="1">SUM($D$2:D31)/SUM($C$2:C31)</f>
        <v>92.76120108173204</v>
      </c>
      <c r="F31" s="1">
        <f ca="1">_xlfn.STDEV.S($B$2:B31)</f>
        <v>2.9152233998896828</v>
      </c>
      <c r="G31" s="1">
        <f t="shared" ca="1" si="1"/>
        <v>98.591647881511406</v>
      </c>
      <c r="H31" s="1">
        <f t="shared" ca="1" si="2"/>
        <v>86.930754281952673</v>
      </c>
      <c r="I31">
        <f t="shared" ca="1" si="3"/>
        <v>94.191000000000003</v>
      </c>
      <c r="J31">
        <f t="shared" ca="1" si="4"/>
        <v>1.8771223777507517</v>
      </c>
      <c r="K31">
        <f t="shared" ca="1" si="5"/>
        <v>97.945244755501506</v>
      </c>
      <c r="L31">
        <f t="shared" ca="1" si="6"/>
        <v>90.436755244498499</v>
      </c>
    </row>
    <row r="32" spans="1:12" x14ac:dyDescent="0.25">
      <c r="A32" vm="91">
        <f ca="1"/>
        <v>45706</v>
      </c>
      <c r="B32" vm="92">
        <f ca="1"/>
        <v>95.76</v>
      </c>
      <c r="C32" s="1" vm="93">
        <f ca="1"/>
        <v>2568491</v>
      </c>
      <c r="D32" s="2">
        <f t="shared" ca="1" si="0"/>
        <v>245958698.16000003</v>
      </c>
      <c r="E32" s="1">
        <f ca="1">SUM($D$2:D32)/SUM($C$2:C32)</f>
        <v>92.864183269056028</v>
      </c>
      <c r="F32" s="1">
        <f ca="1">_xlfn.STDEV.S($B$2:B32)</f>
        <v>2.9243322185981504</v>
      </c>
      <c r="G32" s="1">
        <f t="shared" ca="1" si="1"/>
        <v>98.712847706252333</v>
      </c>
      <c r="H32" s="1">
        <f t="shared" ca="1" si="2"/>
        <v>87.015518831859723</v>
      </c>
      <c r="I32">
        <f t="shared" ca="1" si="3"/>
        <v>94.296500000000009</v>
      </c>
      <c r="J32">
        <f t="shared" ca="1" si="4"/>
        <v>1.9042149231859875</v>
      </c>
      <c r="K32">
        <f t="shared" ca="1" si="5"/>
        <v>98.104929846371988</v>
      </c>
      <c r="L32">
        <f t="shared" ca="1" si="6"/>
        <v>90.48807015362803</v>
      </c>
    </row>
    <row r="33" spans="1:12" x14ac:dyDescent="0.25">
      <c r="A33" vm="94">
        <f ca="1"/>
        <v>45707</v>
      </c>
      <c r="B33" vm="95">
        <f ca="1"/>
        <v>95.26</v>
      </c>
      <c r="C33" s="1" vm="96">
        <f ca="1"/>
        <v>1857550</v>
      </c>
      <c r="D33" s="2">
        <f t="shared" ca="1" si="0"/>
        <v>176950213</v>
      </c>
      <c r="E33" s="1">
        <f ca="1">SUM($D$2:D33)/SUM($C$2:C33)</f>
        <v>92.922243205827925</v>
      </c>
      <c r="F33" s="1">
        <f ca="1">_xlfn.STDEV.S($B$2:B33)</f>
        <v>2.9139781137785929</v>
      </c>
      <c r="G33" s="1">
        <f t="shared" ca="1" si="1"/>
        <v>98.750199433385106</v>
      </c>
      <c r="H33" s="1">
        <f t="shared" ca="1" si="2"/>
        <v>87.094286978270745</v>
      </c>
      <c r="I33">
        <f t="shared" ca="1" si="3"/>
        <v>94.399000000000001</v>
      </c>
      <c r="J33">
        <f t="shared" ca="1" si="4"/>
        <v>1.8978156418699688</v>
      </c>
      <c r="K33">
        <f t="shared" ca="1" si="5"/>
        <v>98.194631283739938</v>
      </c>
      <c r="L33">
        <f t="shared" ca="1" si="6"/>
        <v>90.603368716260064</v>
      </c>
    </row>
    <row r="34" spans="1:12" x14ac:dyDescent="0.25">
      <c r="A34" vm="97">
        <f ca="1"/>
        <v>45708</v>
      </c>
      <c r="B34" vm="92">
        <f ca="1"/>
        <v>95.76</v>
      </c>
      <c r="C34" s="1" vm="98">
        <f ca="1"/>
        <v>2580181</v>
      </c>
      <c r="D34" s="2">
        <f t="shared" ca="1" si="0"/>
        <v>247078132.56</v>
      </c>
      <c r="E34" s="1">
        <f ca="1">SUM($D$2:D34)/SUM($C$2:C34)</f>
        <v>93.01465544301449</v>
      </c>
      <c r="F34" s="1">
        <f ca="1">_xlfn.STDEV.S($B$2:B34)</f>
        <v>2.9166073587043702</v>
      </c>
      <c r="G34" s="1">
        <f t="shared" ca="1" si="1"/>
        <v>98.847870160423227</v>
      </c>
      <c r="H34" s="1">
        <f t="shared" ca="1" si="2"/>
        <v>87.181440725605754</v>
      </c>
      <c r="I34">
        <f t="shared" ca="1" si="3"/>
        <v>94.648499999999999</v>
      </c>
      <c r="J34">
        <f t="shared" ca="1" si="4"/>
        <v>1.7147971339276029</v>
      </c>
      <c r="K34">
        <f t="shared" ca="1" si="5"/>
        <v>98.078094267855207</v>
      </c>
      <c r="L34">
        <f t="shared" ca="1" si="6"/>
        <v>91.21890573214479</v>
      </c>
    </row>
    <row r="35" spans="1:12" x14ac:dyDescent="0.25">
      <c r="A35" vm="99">
        <f ca="1"/>
        <v>45709</v>
      </c>
      <c r="B35" vm="100">
        <f ca="1"/>
        <v>98.26</v>
      </c>
      <c r="C35" s="1" vm="101">
        <f ca="1"/>
        <v>4414893</v>
      </c>
      <c r="D35" s="2">
        <f t="shared" ca="1" si="0"/>
        <v>433807386.18000001</v>
      </c>
      <c r="E35" s="1">
        <f ca="1">SUM($D$2:D35)/SUM($C$2:C35)</f>
        <v>93.291508227916381</v>
      </c>
      <c r="F35" s="1">
        <f ca="1">_xlfn.STDEV.S($B$2:B35)</f>
        <v>3.0203997002675189</v>
      </c>
      <c r="G35" s="1">
        <f t="shared" ca="1" si="1"/>
        <v>99.332307628451417</v>
      </c>
      <c r="H35" s="1">
        <f t="shared" ca="1" si="2"/>
        <v>87.250708827381345</v>
      </c>
      <c r="I35">
        <f t="shared" ca="1" si="3"/>
        <v>95.023499999999999</v>
      </c>
      <c r="J35">
        <f t="shared" ca="1" si="4"/>
        <v>1.6380356496345529</v>
      </c>
      <c r="K35">
        <f t="shared" ca="1" si="5"/>
        <v>98.299571299269104</v>
      </c>
      <c r="L35">
        <f t="shared" ca="1" si="6"/>
        <v>91.747428700730893</v>
      </c>
    </row>
    <row r="36" spans="1:12" x14ac:dyDescent="0.25">
      <c r="A36" vm="102">
        <f ca="1"/>
        <v>45712</v>
      </c>
      <c r="B36" vm="103">
        <f ca="1"/>
        <v>99.68</v>
      </c>
      <c r="C36" s="1" vm="104">
        <f ca="1"/>
        <v>2943078</v>
      </c>
      <c r="D36" s="2">
        <f t="shared" ca="1" si="0"/>
        <v>293366015.04000002</v>
      </c>
      <c r="E36" s="1">
        <f ca="1">SUM($D$2:D36)/SUM($C$2:C36)</f>
        <v>93.508646746923802</v>
      </c>
      <c r="F36" s="1">
        <f ca="1">_xlfn.STDEV.S($B$2:B36)</f>
        <v>3.1845309668759074</v>
      </c>
      <c r="G36" s="1">
        <f t="shared" ca="1" si="1"/>
        <v>99.87770868067561</v>
      </c>
      <c r="H36" s="1">
        <f t="shared" ca="1" si="2"/>
        <v>87.139584813171993</v>
      </c>
      <c r="I36">
        <f t="shared" ca="1" si="3"/>
        <v>95.477500000000006</v>
      </c>
      <c r="J36">
        <f t="shared" ca="1" si="4"/>
        <v>1.6054737782447861</v>
      </c>
      <c r="K36">
        <f t="shared" ca="1" si="5"/>
        <v>98.688447556489578</v>
      </c>
      <c r="L36">
        <f t="shared" ca="1" si="6"/>
        <v>92.266552443510435</v>
      </c>
    </row>
    <row r="37" spans="1:12" x14ac:dyDescent="0.25">
      <c r="A37" vm="105">
        <f ca="1"/>
        <v>45713</v>
      </c>
      <c r="B37" vm="106">
        <f ca="1"/>
        <v>100.97</v>
      </c>
      <c r="C37" s="1" vm="107">
        <f ca="1"/>
        <v>3481345</v>
      </c>
      <c r="D37" s="2">
        <f t="shared" ca="1" si="0"/>
        <v>351511404.64999998</v>
      </c>
      <c r="E37" s="1">
        <f ca="1">SUM($D$2:D37)/SUM($C$2:C37)</f>
        <v>93.797038171831886</v>
      </c>
      <c r="F37" s="1">
        <f ca="1">_xlfn.STDEV.S($B$2:B37)</f>
        <v>3.3978599240539715</v>
      </c>
      <c r="G37" s="1">
        <f t="shared" ca="1" si="1"/>
        <v>100.59275801993982</v>
      </c>
      <c r="H37" s="1">
        <f t="shared" ca="1" si="2"/>
        <v>87.00131832372395</v>
      </c>
      <c r="I37">
        <f t="shared" ca="1" si="3"/>
        <v>95.781500000000008</v>
      </c>
      <c r="J37">
        <f t="shared" ca="1" si="4"/>
        <v>2.0124278999833973</v>
      </c>
      <c r="K37">
        <f t="shared" ca="1" si="5"/>
        <v>99.806355799966809</v>
      </c>
      <c r="L37">
        <f t="shared" ca="1" si="6"/>
        <v>91.756644200033207</v>
      </c>
    </row>
    <row r="38" spans="1:12" x14ac:dyDescent="0.25">
      <c r="A38" vm="108">
        <f ca="1"/>
        <v>45714</v>
      </c>
      <c r="B38" vm="109">
        <f ca="1"/>
        <v>99.96</v>
      </c>
      <c r="C38" s="1" vm="110">
        <f ca="1"/>
        <v>2072708</v>
      </c>
      <c r="D38" s="2">
        <f t="shared" ca="1" si="0"/>
        <v>207187891.67999998</v>
      </c>
      <c r="E38" s="1">
        <f ca="1">SUM($D$2:D38)/SUM($C$2:C38)</f>
        <v>93.935670500476448</v>
      </c>
      <c r="F38" s="1">
        <f ca="1">_xlfn.STDEV.S($B$2:B38)</f>
        <v>3.5207539758634874</v>
      </c>
      <c r="G38" s="1">
        <f t="shared" ca="1" si="1"/>
        <v>100.97717845220342</v>
      </c>
      <c r="H38" s="1">
        <f t="shared" ca="1" si="2"/>
        <v>86.894162548749478</v>
      </c>
      <c r="I38">
        <f t="shared" ca="1" si="3"/>
        <v>96.110000000000014</v>
      </c>
      <c r="J38">
        <f t="shared" ca="1" si="4"/>
        <v>2.1340571688687269</v>
      </c>
      <c r="K38">
        <f t="shared" ca="1" si="5"/>
        <v>100.37811433773747</v>
      </c>
      <c r="L38">
        <f t="shared" ca="1" si="6"/>
        <v>91.841885662262555</v>
      </c>
    </row>
    <row r="39" spans="1:12" x14ac:dyDescent="0.25">
      <c r="A39" vm="111">
        <f ca="1"/>
        <v>45715</v>
      </c>
      <c r="B39" vm="112">
        <f ca="1"/>
        <v>99.92</v>
      </c>
      <c r="C39" s="1" vm="113">
        <f ca="1"/>
        <v>3314096</v>
      </c>
      <c r="D39" s="2">
        <f t="shared" ca="1" si="0"/>
        <v>331144472.31999999</v>
      </c>
      <c r="E39" s="1">
        <f ca="1">SUM($D$2:D39)/SUM($C$2:C39)</f>
        <v>94.143435149484489</v>
      </c>
      <c r="F39" s="1">
        <f ca="1">_xlfn.STDEV.S($B$2:B39)</f>
        <v>3.6230650793202774</v>
      </c>
      <c r="G39" s="1">
        <f t="shared" ca="1" si="1"/>
        <v>101.38956530812504</v>
      </c>
      <c r="H39" s="1">
        <f t="shared" ca="1" si="2"/>
        <v>86.897304990843935</v>
      </c>
      <c r="I39">
        <f t="shared" ca="1" si="3"/>
        <v>96.47750000000002</v>
      </c>
      <c r="J39">
        <f t="shared" ca="1" si="4"/>
        <v>2.1252018479986421</v>
      </c>
      <c r="K39">
        <f t="shared" ca="1" si="5"/>
        <v>100.7279036959973</v>
      </c>
      <c r="L39">
        <f t="shared" ca="1" si="6"/>
        <v>92.227096304002742</v>
      </c>
    </row>
    <row r="40" spans="1:12" x14ac:dyDescent="0.25">
      <c r="A40" vm="114">
        <f ca="1"/>
        <v>45716</v>
      </c>
      <c r="B40" vm="115">
        <f ca="1"/>
        <v>101.52</v>
      </c>
      <c r="C40" s="1" vm="116">
        <f ca="1"/>
        <v>5254613</v>
      </c>
      <c r="D40" s="2">
        <f t="shared" ca="1" si="0"/>
        <v>533448311.75999999</v>
      </c>
      <c r="E40" s="1">
        <f ca="1">SUM($D$2:D40)/SUM($C$2:C40)</f>
        <v>94.528305328969921</v>
      </c>
      <c r="F40" s="1">
        <f ca="1">_xlfn.STDEV.S($B$2:B40)</f>
        <v>3.7868061489488203</v>
      </c>
      <c r="G40" s="1">
        <f t="shared" ca="1" si="1"/>
        <v>102.10191762686756</v>
      </c>
      <c r="H40" s="1">
        <f t="shared" ca="1" si="2"/>
        <v>86.954693031072281</v>
      </c>
      <c r="I40">
        <f t="shared" ca="1" si="3"/>
        <v>96.860500000000002</v>
      </c>
      <c r="J40">
        <f t="shared" ca="1" si="4"/>
        <v>2.3107858654123437</v>
      </c>
      <c r="K40">
        <f t="shared" ca="1" si="5"/>
        <v>101.48207173082469</v>
      </c>
      <c r="L40">
        <f t="shared" ca="1" si="6"/>
        <v>92.238928269175318</v>
      </c>
    </row>
    <row r="41" spans="1:12" x14ac:dyDescent="0.25">
      <c r="A41" vm="117">
        <f ca="1"/>
        <v>45719</v>
      </c>
      <c r="B41" vm="118">
        <f ca="1"/>
        <v>104.02</v>
      </c>
      <c r="C41" s="1" vm="119">
        <f ca="1"/>
        <v>3555914</v>
      </c>
      <c r="D41" s="2">
        <f t="shared" ca="1" si="0"/>
        <v>369886174.27999997</v>
      </c>
      <c r="E41" s="1">
        <f ca="1">SUM($D$2:D41)/SUM($C$2:C41)</f>
        <v>94.852006958448783</v>
      </c>
      <c r="F41" s="1">
        <f ca="1">_xlfn.STDEV.S($B$2:B41)</f>
        <v>4.0645919150509355</v>
      </c>
      <c r="G41" s="1">
        <f t="shared" ca="1" si="1"/>
        <v>102.98119078855065</v>
      </c>
      <c r="H41" s="1">
        <f t="shared" ca="1" si="2"/>
        <v>86.722823128346917</v>
      </c>
      <c r="I41">
        <f t="shared" ca="1" si="3"/>
        <v>97.374499999999998</v>
      </c>
      <c r="J41">
        <f t="shared" ca="1" si="4"/>
        <v>2.6920144580044991</v>
      </c>
      <c r="K41">
        <f t="shared" ca="1" si="5"/>
        <v>102.758528916009</v>
      </c>
      <c r="L41">
        <f t="shared" ca="1" si="6"/>
        <v>91.990471083990997</v>
      </c>
    </row>
    <row r="42" spans="1:12" x14ac:dyDescent="0.25">
      <c r="A42" vm="120">
        <f ca="1"/>
        <v>45720</v>
      </c>
      <c r="B42" vm="121">
        <f ca="1"/>
        <v>102.15</v>
      </c>
      <c r="C42" s="1" vm="122">
        <f ca="1"/>
        <v>3592034</v>
      </c>
      <c r="D42" s="2">
        <f t="shared" ca="1" si="0"/>
        <v>366926273.10000002</v>
      </c>
      <c r="E42" s="1">
        <f ca="1">SUM($D$2:D42)/SUM($C$2:C42)</f>
        <v>95.09505057597309</v>
      </c>
      <c r="F42" s="1">
        <f ca="1">_xlfn.STDEV.S($B$2:B42)</f>
        <v>4.2022523722403919</v>
      </c>
      <c r="G42" s="1">
        <f t="shared" ca="1" si="1"/>
        <v>103.49955532045388</v>
      </c>
      <c r="H42" s="1">
        <f t="shared" ca="1" si="2"/>
        <v>86.690545831492301</v>
      </c>
      <c r="I42">
        <f t="shared" ca="1" si="3"/>
        <v>97.700999999999993</v>
      </c>
      <c r="J42">
        <f t="shared" ca="1" si="4"/>
        <v>2.8588457368959976</v>
      </c>
      <c r="K42">
        <f t="shared" ca="1" si="5"/>
        <v>103.41869147379199</v>
      </c>
      <c r="L42">
        <f t="shared" ca="1" si="6"/>
        <v>91.983308526207992</v>
      </c>
    </row>
    <row r="43" spans="1:12" x14ac:dyDescent="0.25">
      <c r="A43" vm="123">
        <f ca="1"/>
        <v>45721</v>
      </c>
      <c r="B43" vm="124">
        <f ca="1"/>
        <v>100.2</v>
      </c>
      <c r="C43" s="1" vm="125">
        <f ca="1"/>
        <v>5509676</v>
      </c>
      <c r="D43" s="2">
        <f t="shared" ca="1" si="0"/>
        <v>552069535.20000005</v>
      </c>
      <c r="E43" s="1">
        <f ca="1">SUM($D$2:D43)/SUM($C$2:C43)</f>
        <v>95.34314746315917</v>
      </c>
      <c r="F43" s="1">
        <f ca="1">_xlfn.STDEV.S($B$2:B43)</f>
        <v>4.2470553370546797</v>
      </c>
      <c r="G43" s="1">
        <f t="shared" ca="1" si="1"/>
        <v>103.83725813726853</v>
      </c>
      <c r="H43" s="1">
        <f t="shared" ca="1" si="2"/>
        <v>86.849036789049805</v>
      </c>
      <c r="I43">
        <f t="shared" ca="1" si="3"/>
        <v>97.965500000000006</v>
      </c>
      <c r="J43">
        <f t="shared" ca="1" si="4"/>
        <v>2.8316174938679386</v>
      </c>
      <c r="K43">
        <f t="shared" ca="1" si="5"/>
        <v>103.62873498773588</v>
      </c>
      <c r="L43">
        <f t="shared" ca="1" si="6"/>
        <v>92.302265012264129</v>
      </c>
    </row>
    <row r="44" spans="1:12" x14ac:dyDescent="0.25">
      <c r="A44" vm="126">
        <f ca="1"/>
        <v>45722</v>
      </c>
      <c r="B44" vm="127">
        <f ca="1"/>
        <v>100.91</v>
      </c>
      <c r="C44" s="1" vm="128">
        <f ca="1"/>
        <v>4345916</v>
      </c>
      <c r="D44" s="2">
        <f t="shared" ca="1" si="0"/>
        <v>438546383.56</v>
      </c>
      <c r="E44" s="1">
        <f ca="1">SUM($D$2:D44)/SUM($C$2:C44)</f>
        <v>95.548669191683118</v>
      </c>
      <c r="F44" s="1">
        <f ca="1">_xlfn.STDEV.S($B$2:B44)</f>
        <v>4.3082395240091707</v>
      </c>
      <c r="G44" s="1">
        <f t="shared" ca="1" si="1"/>
        <v>104.16514823970147</v>
      </c>
      <c r="H44" s="1">
        <f t="shared" ca="1" si="2"/>
        <v>86.932190143664769</v>
      </c>
      <c r="I44">
        <f t="shared" ca="1" si="3"/>
        <v>98.201500000000024</v>
      </c>
      <c r="J44">
        <f t="shared" ca="1" si="4"/>
        <v>2.872252508691429</v>
      </c>
      <c r="K44">
        <f t="shared" ca="1" si="5"/>
        <v>103.94600501738289</v>
      </c>
      <c r="L44">
        <f t="shared" ca="1" si="6"/>
        <v>92.456994982617161</v>
      </c>
    </row>
    <row r="45" spans="1:12" x14ac:dyDescent="0.25">
      <c r="A45" vm="129">
        <f ca="1"/>
        <v>45723</v>
      </c>
      <c r="B45" vm="130">
        <f ca="1"/>
        <v>103.64</v>
      </c>
      <c r="C45" s="1" vm="131">
        <f ca="1"/>
        <v>2865771</v>
      </c>
      <c r="D45" s="2">
        <f t="shared" ca="1" si="0"/>
        <v>297008506.44</v>
      </c>
      <c r="E45" s="1">
        <f ca="1">SUM($D$2:D45)/SUM($C$2:C45)</f>
        <v>95.740970361327385</v>
      </c>
      <c r="F45" s="1">
        <f ca="1">_xlfn.STDEV.S($B$2:B45)</f>
        <v>4.4679932922058656</v>
      </c>
      <c r="G45" s="1">
        <f t="shared" ca="1" si="1"/>
        <v>104.67695694573912</v>
      </c>
      <c r="H45" s="1">
        <f t="shared" ca="1" si="2"/>
        <v>86.804983776915648</v>
      </c>
      <c r="I45">
        <f t="shared" ca="1" si="3"/>
        <v>98.612500000000026</v>
      </c>
      <c r="J45">
        <f t="shared" ca="1" si="4"/>
        <v>3.0366963957564139</v>
      </c>
      <c r="K45">
        <f t="shared" ca="1" si="5"/>
        <v>104.68589279151286</v>
      </c>
      <c r="L45">
        <f t="shared" ca="1" si="6"/>
        <v>92.539107208487195</v>
      </c>
    </row>
    <row r="46" spans="1:12" x14ac:dyDescent="0.25">
      <c r="A46" vm="132">
        <f ca="1"/>
        <v>45726</v>
      </c>
      <c r="B46" vm="133">
        <f ca="1"/>
        <v>106.66</v>
      </c>
      <c r="C46" s="1" vm="134">
        <f ca="1"/>
        <v>3471894</v>
      </c>
      <c r="D46" s="2">
        <f t="shared" ca="1" si="0"/>
        <v>370312214.03999996</v>
      </c>
      <c r="E46" s="1">
        <f ca="1">SUM($D$2:D46)/SUM($C$2:C46)</f>
        <v>96.046563068451263</v>
      </c>
      <c r="F46" s="1">
        <f ca="1">_xlfn.STDEV.S($B$2:B46)</f>
        <v>4.7542117212960848</v>
      </c>
      <c r="G46" s="1">
        <f t="shared" ca="1" si="1"/>
        <v>105.55498651104344</v>
      </c>
      <c r="H46" s="1">
        <f t="shared" ca="1" si="2"/>
        <v>86.538139625859088</v>
      </c>
      <c r="I46">
        <f t="shared" ca="1" si="3"/>
        <v>99.141500000000036</v>
      </c>
      <c r="J46">
        <f t="shared" ca="1" si="4"/>
        <v>3.4638042290005502</v>
      </c>
      <c r="K46">
        <f t="shared" ca="1" si="5"/>
        <v>106.06910845800114</v>
      </c>
      <c r="L46">
        <f t="shared" ca="1" si="6"/>
        <v>92.213891541998933</v>
      </c>
    </row>
    <row r="47" spans="1:12" x14ac:dyDescent="0.25">
      <c r="A47" vm="135">
        <f ca="1"/>
        <v>45727</v>
      </c>
      <c r="B47" vm="136">
        <f ca="1"/>
        <v>103.77</v>
      </c>
      <c r="C47" s="1" vm="137">
        <f ca="1"/>
        <v>2731268</v>
      </c>
      <c r="D47" s="2">
        <f t="shared" ca="1" si="0"/>
        <v>283423680.36000001</v>
      </c>
      <c r="E47" s="1">
        <f ca="1">SUM($D$2:D47)/SUM($C$2:C47)</f>
        <v>96.212946207519735</v>
      </c>
      <c r="F47" s="1">
        <f ca="1">_xlfn.STDEV.S($B$2:B47)</f>
        <v>4.8708646823354877</v>
      </c>
      <c r="G47" s="1">
        <f t="shared" ca="1" si="1"/>
        <v>105.95467557219071</v>
      </c>
      <c r="H47" s="1">
        <f t="shared" ca="1" si="2"/>
        <v>86.471216842848762</v>
      </c>
      <c r="I47">
        <f t="shared" ca="1" si="3"/>
        <v>99.495000000000033</v>
      </c>
      <c r="J47">
        <f t="shared" ca="1" si="4"/>
        <v>3.5609261066248052</v>
      </c>
      <c r="K47">
        <f t="shared" ca="1" si="5"/>
        <v>106.61685221324964</v>
      </c>
      <c r="L47">
        <f t="shared" ca="1" si="6"/>
        <v>92.373147786750422</v>
      </c>
    </row>
    <row r="48" spans="1:12" x14ac:dyDescent="0.25">
      <c r="A48" vm="138">
        <f ca="1"/>
        <v>45728</v>
      </c>
      <c r="B48" vm="139">
        <f ca="1"/>
        <v>102.64</v>
      </c>
      <c r="C48" s="1" vm="140">
        <f ca="1"/>
        <v>3739207</v>
      </c>
      <c r="D48" s="2">
        <f t="shared" ca="1" si="0"/>
        <v>383792206.48000002</v>
      </c>
      <c r="E48" s="1">
        <f ca="1">SUM($D$2:D48)/SUM($C$2:C48)</f>
        <v>96.397066892643778</v>
      </c>
      <c r="F48" s="1">
        <f ca="1">_xlfn.STDEV.S($B$2:B48)</f>
        <v>4.9347859898842055</v>
      </c>
      <c r="G48" s="1">
        <f t="shared" ca="1" si="1"/>
        <v>106.26663887241219</v>
      </c>
      <c r="H48" s="1">
        <f t="shared" ca="1" si="2"/>
        <v>86.527494912875369</v>
      </c>
      <c r="I48">
        <f t="shared" ca="1" si="3"/>
        <v>99.811500000000024</v>
      </c>
      <c r="J48">
        <f t="shared" ca="1" si="4"/>
        <v>3.5442099186374967</v>
      </c>
      <c r="K48">
        <f t="shared" ca="1" si="5"/>
        <v>106.89991983727502</v>
      </c>
      <c r="L48">
        <f t="shared" ca="1" si="6"/>
        <v>92.723080162725026</v>
      </c>
    </row>
    <row r="49" spans="1:12" x14ac:dyDescent="0.25">
      <c r="A49" vm="141">
        <f ca="1"/>
        <v>45729</v>
      </c>
      <c r="B49" vm="142">
        <f ca="1"/>
        <v>104.57</v>
      </c>
      <c r="C49" s="1" vm="143">
        <f ca="1"/>
        <v>2392163</v>
      </c>
      <c r="D49" s="2">
        <f t="shared" ca="1" si="0"/>
        <v>250148484.91</v>
      </c>
      <c r="E49" s="1">
        <f ca="1">SUM($D$2:D49)/SUM($C$2:C49)</f>
        <v>96.544160027646996</v>
      </c>
      <c r="F49" s="1">
        <f ca="1">_xlfn.STDEV.S($B$2:B49)</f>
        <v>5.0556896534835296</v>
      </c>
      <c r="G49" s="1">
        <f t="shared" ca="1" si="1"/>
        <v>106.65553933461405</v>
      </c>
      <c r="H49" s="1">
        <f t="shared" ca="1" si="2"/>
        <v>86.432780720679943</v>
      </c>
      <c r="I49">
        <f t="shared" ca="1" si="3"/>
        <v>100.31150000000002</v>
      </c>
      <c r="J49">
        <f t="shared" ca="1" si="4"/>
        <v>3.470454657003283</v>
      </c>
      <c r="K49">
        <f t="shared" ca="1" si="5"/>
        <v>107.25240931400658</v>
      </c>
      <c r="L49">
        <f t="shared" ca="1" si="6"/>
        <v>93.370590685993463</v>
      </c>
    </row>
    <row r="50" spans="1:12" x14ac:dyDescent="0.25">
      <c r="A50" vm="144">
        <f ca="1"/>
        <v>45730</v>
      </c>
      <c r="B50" vm="145">
        <f ca="1"/>
        <v>106.41</v>
      </c>
      <c r="C50" s="1" vm="146">
        <f ca="1"/>
        <v>3779158</v>
      </c>
      <c r="D50" s="2">
        <f t="shared" ca="1" si="0"/>
        <v>402140202.77999997</v>
      </c>
      <c r="E50" s="1">
        <f ca="1">SUM($D$2:D50)/SUM($C$2:C50)</f>
        <v>96.816917660389677</v>
      </c>
      <c r="F50" s="1">
        <f ca="1">_xlfn.STDEV.S($B$2:B50)</f>
        <v>5.2332602983551411</v>
      </c>
      <c r="G50" s="1">
        <f t="shared" ca="1" si="1"/>
        <v>107.28343825709996</v>
      </c>
      <c r="H50" s="1">
        <f t="shared" ca="1" si="2"/>
        <v>86.350397063679395</v>
      </c>
      <c r="I50">
        <f t="shared" ca="1" si="3"/>
        <v>100.84900000000002</v>
      </c>
      <c r="J50">
        <f t="shared" ca="1" si="4"/>
        <v>3.5438172995558843</v>
      </c>
      <c r="K50">
        <f t="shared" ca="1" si="5"/>
        <v>107.93663459911178</v>
      </c>
      <c r="L50">
        <f t="shared" ca="1" si="6"/>
        <v>93.761365400888252</v>
      </c>
    </row>
    <row r="51" spans="1:12" x14ac:dyDescent="0.25">
      <c r="A51" vm="147">
        <f ca="1"/>
        <v>45733</v>
      </c>
      <c r="B51" vm="148">
        <f ca="1"/>
        <v>107.62</v>
      </c>
      <c r="C51" s="1" vm="149">
        <f ca="1"/>
        <v>3930736</v>
      </c>
      <c r="D51" s="2">
        <f t="shared" ca="1" si="0"/>
        <v>423025808.31999999</v>
      </c>
      <c r="E51" s="1">
        <f ca="1">SUM($D$2:D51)/SUM($C$2:C51)</f>
        <v>97.118883049759319</v>
      </c>
      <c r="F51" s="1">
        <f ca="1">_xlfn.STDEV.S($B$2:B51)</f>
        <v>5.4393091885808058</v>
      </c>
      <c r="G51" s="1">
        <f t="shared" ca="1" si="1"/>
        <v>107.99750142692093</v>
      </c>
      <c r="H51" s="1">
        <f t="shared" ca="1" si="2"/>
        <v>86.240264672597704</v>
      </c>
      <c r="I51">
        <f t="shared" ca="1" si="3"/>
        <v>101.48400000000001</v>
      </c>
      <c r="J51">
        <f t="shared" ca="1" si="4"/>
        <v>3.56328559205213</v>
      </c>
      <c r="K51">
        <f t="shared" ca="1" si="5"/>
        <v>108.61057118410427</v>
      </c>
      <c r="L51">
        <f t="shared" ca="1" si="6"/>
        <v>94.357428815895744</v>
      </c>
    </row>
    <row r="52" spans="1:12" x14ac:dyDescent="0.25">
      <c r="A52" vm="150">
        <f ca="1"/>
        <v>45734</v>
      </c>
      <c r="B52" vm="151">
        <f ca="1"/>
        <v>107.81</v>
      </c>
      <c r="C52" s="1" vm="152">
        <f ca="1"/>
        <v>3275711</v>
      </c>
      <c r="D52" s="2">
        <f t="shared" ca="1" si="0"/>
        <v>353154402.91000003</v>
      </c>
      <c r="E52" s="1">
        <f ca="1">SUM($D$2:D52)/SUM($C$2:C52)</f>
        <v>97.362251290577177</v>
      </c>
      <c r="F52" s="1">
        <f ca="1">_xlfn.STDEV.S($B$2:B52)</f>
        <v>5.6282905564865162</v>
      </c>
      <c r="G52" s="1">
        <f t="shared" ca="1" si="1"/>
        <v>108.61883240355021</v>
      </c>
      <c r="H52" s="1">
        <f t="shared" ca="1" si="2"/>
        <v>86.105670177604139</v>
      </c>
      <c r="I52">
        <f t="shared" ca="1" si="3"/>
        <v>102.08650000000003</v>
      </c>
      <c r="J52">
        <f t="shared" ca="1" si="4"/>
        <v>3.5632410955846288</v>
      </c>
      <c r="K52">
        <f t="shared" ca="1" si="5"/>
        <v>109.21298219116929</v>
      </c>
      <c r="L52">
        <f t="shared" ca="1" si="6"/>
        <v>94.96001780883077</v>
      </c>
    </row>
    <row r="53" spans="1:12" x14ac:dyDescent="0.25">
      <c r="A53" vm="153">
        <f ca="1"/>
        <v>45735</v>
      </c>
      <c r="B53" vm="154">
        <f ca="1"/>
        <v>107.49</v>
      </c>
      <c r="C53" s="1" vm="155">
        <f ca="1"/>
        <v>2293611</v>
      </c>
      <c r="D53" s="2">
        <f t="shared" ca="1" si="0"/>
        <v>246540246.38999999</v>
      </c>
      <c r="E53" s="1">
        <f ca="1">SUM($D$2:D53)/SUM($C$2:C53)</f>
        <v>97.521142688510849</v>
      </c>
      <c r="F53" s="1">
        <f ca="1">_xlfn.STDEV.S($B$2:B53)</f>
        <v>5.7833240368783967</v>
      </c>
      <c r="G53" s="1">
        <f t="shared" ca="1" si="1"/>
        <v>109.08779076226764</v>
      </c>
      <c r="H53" s="1">
        <f t="shared" ca="1" si="2"/>
        <v>85.954494614754054</v>
      </c>
      <c r="I53">
        <f t="shared" ca="1" si="3"/>
        <v>102.69800000000001</v>
      </c>
      <c r="J53">
        <f t="shared" ca="1" si="4"/>
        <v>3.3744794530338091</v>
      </c>
      <c r="K53">
        <f t="shared" ca="1" si="5"/>
        <v>109.44695890606762</v>
      </c>
      <c r="L53">
        <f t="shared" ca="1" si="6"/>
        <v>95.949041093932394</v>
      </c>
    </row>
    <row r="54" spans="1:12" x14ac:dyDescent="0.25">
      <c r="A54" vm="156">
        <f ca="1"/>
        <v>45736</v>
      </c>
      <c r="B54" vm="157">
        <f ca="1"/>
        <v>108.48</v>
      </c>
      <c r="C54" s="1" vm="158">
        <f ca="1"/>
        <v>1896164</v>
      </c>
      <c r="D54" s="2">
        <f t="shared" ca="1" si="0"/>
        <v>205695870.72</v>
      </c>
      <c r="E54" s="1">
        <f ca="1">SUM($D$2:D54)/SUM($C$2:C54)</f>
        <v>97.661460320016005</v>
      </c>
      <c r="F54" s="1">
        <f ca="1">_xlfn.STDEV.S($B$2:B54)</f>
        <v>5.9570541297027839</v>
      </c>
      <c r="G54" s="1">
        <f t="shared" ca="1" si="1"/>
        <v>109.57556857942157</v>
      </c>
      <c r="H54" s="1">
        <f t="shared" ca="1" si="2"/>
        <v>85.747352060610439</v>
      </c>
      <c r="I54">
        <f t="shared" ca="1" si="3"/>
        <v>103.33399999999999</v>
      </c>
      <c r="J54">
        <f t="shared" ca="1" si="4"/>
        <v>3.191772977021095</v>
      </c>
      <c r="K54">
        <f t="shared" ca="1" si="5"/>
        <v>109.71754595404218</v>
      </c>
      <c r="L54">
        <f t="shared" ca="1" si="6"/>
        <v>96.950454045957798</v>
      </c>
    </row>
    <row r="55" spans="1:12" x14ac:dyDescent="0.25">
      <c r="A55" vm="159">
        <f ca="1"/>
        <v>45737</v>
      </c>
      <c r="B55" vm="160">
        <f ca="1"/>
        <v>107.8</v>
      </c>
      <c r="C55" s="1" vm="161">
        <f ca="1"/>
        <v>4415458</v>
      </c>
      <c r="D55" s="2">
        <f t="shared" ca="1" si="0"/>
        <v>475986372.39999998</v>
      </c>
      <c r="E55" s="1">
        <f ca="1">SUM($D$2:D55)/SUM($C$2:C55)</f>
        <v>97.954997202939722</v>
      </c>
      <c r="F55" s="1">
        <f ca="1">_xlfn.STDEV.S($B$2:B55)</f>
        <v>6.08815265005948</v>
      </c>
      <c r="G55" s="1">
        <f t="shared" ca="1" si="1"/>
        <v>110.13130250305868</v>
      </c>
      <c r="H55" s="1">
        <f t="shared" ca="1" si="2"/>
        <v>85.778691902820768</v>
      </c>
      <c r="I55">
        <f t="shared" ca="1" si="3"/>
        <v>103.81100000000001</v>
      </c>
      <c r="J55">
        <f t="shared" ca="1" si="4"/>
        <v>3.1052585280964591</v>
      </c>
      <c r="K55">
        <f t="shared" ca="1" si="5"/>
        <v>110.02151705619292</v>
      </c>
      <c r="L55">
        <f t="shared" ca="1" si="6"/>
        <v>97.600482943807094</v>
      </c>
    </row>
    <row r="56" spans="1:12" x14ac:dyDescent="0.25">
      <c r="A56" vm="162">
        <f ca="1"/>
        <v>45740</v>
      </c>
      <c r="B56" vm="163">
        <f ca="1"/>
        <v>106.83</v>
      </c>
      <c r="C56" s="1" vm="164">
        <f ca="1"/>
        <v>1897938</v>
      </c>
      <c r="D56" s="2">
        <f t="shared" ca="1" si="0"/>
        <v>202756716.53999999</v>
      </c>
      <c r="E56" s="1">
        <f ca="1">SUM($D$2:D56)/SUM($C$2:C56)</f>
        <v>98.064088627115254</v>
      </c>
      <c r="F56" s="1">
        <f ca="1">_xlfn.STDEV.S($B$2:B56)</f>
        <v>6.1758878095129148</v>
      </c>
      <c r="G56" s="1">
        <f t="shared" ca="1" si="1"/>
        <v>110.41586424614108</v>
      </c>
      <c r="H56" s="1">
        <f t="shared" ca="1" si="2"/>
        <v>85.712313008089424</v>
      </c>
      <c r="I56">
        <f t="shared" ca="1" si="3"/>
        <v>104.16849999999999</v>
      </c>
      <c r="J56">
        <f t="shared" ca="1" si="4"/>
        <v>3.0149020670138214</v>
      </c>
      <c r="K56">
        <f t="shared" ca="1" si="5"/>
        <v>110.19830413402764</v>
      </c>
      <c r="L56">
        <f t="shared" ca="1" si="6"/>
        <v>98.138695865972352</v>
      </c>
    </row>
    <row r="57" spans="1:12" x14ac:dyDescent="0.25">
      <c r="A57" vm="165">
        <f ca="1"/>
        <v>45741</v>
      </c>
      <c r="B57" vm="166">
        <f ca="1"/>
        <v>105.55</v>
      </c>
      <c r="C57" s="1" vm="167">
        <f ca="1"/>
        <v>2543771</v>
      </c>
      <c r="D57" s="2">
        <f t="shared" ca="1" si="0"/>
        <v>268495029.05000001</v>
      </c>
      <c r="E57" s="1">
        <f ca="1">SUM($D$2:D57)/SUM($C$2:C57)</f>
        <v>98.185418069477734</v>
      </c>
      <c r="F57" s="1">
        <f ca="1">_xlfn.STDEV.S($B$2:B57)</f>
        <v>6.221255435063866</v>
      </c>
      <c r="G57" s="1">
        <f t="shared" ca="1" si="1"/>
        <v>110.62792893960547</v>
      </c>
      <c r="H57" s="1">
        <f t="shared" ca="1" si="2"/>
        <v>85.74290719935</v>
      </c>
      <c r="I57">
        <f t="shared" ca="1" si="3"/>
        <v>104.39749999999999</v>
      </c>
      <c r="J57">
        <f t="shared" ca="1" si="4"/>
        <v>2.9319687565650634</v>
      </c>
      <c r="K57">
        <f t="shared" ca="1" si="5"/>
        <v>110.26143751313012</v>
      </c>
      <c r="L57">
        <f t="shared" ca="1" si="6"/>
        <v>98.533562486869869</v>
      </c>
    </row>
    <row r="58" spans="1:12" x14ac:dyDescent="0.25">
      <c r="A58" vm="168">
        <f ca="1"/>
        <v>45742</v>
      </c>
      <c r="B58" vm="169">
        <f ca="1"/>
        <v>107.46</v>
      </c>
      <c r="C58" s="1" vm="170">
        <f ca="1"/>
        <v>1925093</v>
      </c>
      <c r="D58" s="2">
        <f t="shared" ca="1" si="0"/>
        <v>206870493.78</v>
      </c>
      <c r="E58" s="1">
        <f ca="1">SUM($D$2:D58)/SUM($C$2:C58)</f>
        <v>98.297799617277533</v>
      </c>
      <c r="F58" s="1">
        <f ca="1">_xlfn.STDEV.S($B$2:B58)</f>
        <v>6.3102361396262028</v>
      </c>
      <c r="G58" s="1">
        <f t="shared" ca="1" si="1"/>
        <v>110.91827189652994</v>
      </c>
      <c r="H58" s="1">
        <f t="shared" ca="1" si="2"/>
        <v>85.677327338025123</v>
      </c>
      <c r="I58">
        <f t="shared" ca="1" si="3"/>
        <v>104.77249999999999</v>
      </c>
      <c r="J58">
        <f t="shared" ca="1" si="4"/>
        <v>2.8116990087471083</v>
      </c>
      <c r="K58">
        <f t="shared" ca="1" si="5"/>
        <v>110.3958980174942</v>
      </c>
      <c r="L58">
        <f t="shared" ca="1" si="6"/>
        <v>99.149101982505783</v>
      </c>
    </row>
    <row r="59" spans="1:12" x14ac:dyDescent="0.25">
      <c r="A59" vm="171">
        <f ca="1"/>
        <v>45743</v>
      </c>
      <c r="B59" vm="172">
        <f ca="1"/>
        <v>107.89</v>
      </c>
      <c r="C59" s="1" vm="173">
        <f ca="1"/>
        <v>1859144</v>
      </c>
      <c r="D59" s="2">
        <f t="shared" ca="1" si="0"/>
        <v>200583046.16</v>
      </c>
      <c r="E59" s="1">
        <f ca="1">SUM($D$2:D59)/SUM($C$2:C59)</f>
        <v>98.408749690697263</v>
      </c>
      <c r="F59" s="1">
        <f ca="1">_xlfn.STDEV.S($B$2:B59)</f>
        <v>6.401939087294954</v>
      </c>
      <c r="G59" s="1">
        <f t="shared" ca="1" si="1"/>
        <v>111.21262786528717</v>
      </c>
      <c r="H59" s="1">
        <f t="shared" ca="1" si="2"/>
        <v>85.604871516107352</v>
      </c>
      <c r="I59">
        <f t="shared" ca="1" si="3"/>
        <v>105.17100000000001</v>
      </c>
      <c r="J59">
        <f t="shared" ca="1" si="4"/>
        <v>2.6477734439574538</v>
      </c>
      <c r="K59">
        <f t="shared" ca="1" si="5"/>
        <v>110.46654688791492</v>
      </c>
      <c r="L59">
        <f t="shared" ca="1" si="6"/>
        <v>99.875453112085097</v>
      </c>
    </row>
    <row r="60" spans="1:12" x14ac:dyDescent="0.25">
      <c r="A60" vm="174">
        <f ca="1"/>
        <v>45744</v>
      </c>
      <c r="B60" vm="175">
        <f ca="1"/>
        <v>108.77</v>
      </c>
      <c r="C60" s="1" vm="176">
        <f ca="1"/>
        <v>2392331</v>
      </c>
      <c r="D60" s="2">
        <f t="shared" ca="1" si="0"/>
        <v>260213842.87</v>
      </c>
      <c r="E60" s="1">
        <f ca="1">SUM($D$2:D60)/SUM($C$2:C60)</f>
        <v>98.560704125698891</v>
      </c>
      <c r="F60" s="1">
        <f ca="1">_xlfn.STDEV.S($B$2:B60)</f>
        <v>6.5089349954493603</v>
      </c>
      <c r="G60" s="1">
        <f t="shared" ca="1" si="1"/>
        <v>111.57857411659761</v>
      </c>
      <c r="H60" s="1">
        <f t="shared" ca="1" si="2"/>
        <v>85.542834134800174</v>
      </c>
      <c r="I60">
        <f t="shared" ca="1" si="3"/>
        <v>105.5335</v>
      </c>
      <c r="J60">
        <f t="shared" ca="1" si="4"/>
        <v>2.6177356124792479</v>
      </c>
      <c r="K60">
        <f t="shared" ca="1" si="5"/>
        <v>110.76897122495851</v>
      </c>
      <c r="L60">
        <f t="shared" ca="1" si="6"/>
        <v>100.2980287750415</v>
      </c>
    </row>
    <row r="61" spans="1:12" x14ac:dyDescent="0.25">
      <c r="A61" vm="177">
        <f ca="1"/>
        <v>45747</v>
      </c>
      <c r="B61" vm="178">
        <f ca="1"/>
        <v>110.59</v>
      </c>
      <c r="C61" s="1" vm="179">
        <f ca="1"/>
        <v>2920439</v>
      </c>
      <c r="D61" s="2">
        <f t="shared" ca="1" si="0"/>
        <v>322971349.00999999</v>
      </c>
      <c r="E61" s="1">
        <f ca="1">SUM($D$2:D61)/SUM($C$2:C61)</f>
        <v>98.772277912211678</v>
      </c>
      <c r="F61" s="1">
        <f ca="1">_xlfn.STDEV.S($B$2:B61)</f>
        <v>6.6595456403266136</v>
      </c>
      <c r="G61" s="1">
        <f t="shared" ca="1" si="1"/>
        <v>112.0913691928649</v>
      </c>
      <c r="H61" s="1">
        <f t="shared" ca="1" si="2"/>
        <v>85.453186631558452</v>
      </c>
      <c r="I61">
        <f t="shared" ca="1" si="3"/>
        <v>105.86199999999999</v>
      </c>
      <c r="J61">
        <f t="shared" ca="1" si="4"/>
        <v>2.8220701621327557</v>
      </c>
      <c r="K61">
        <f t="shared" ca="1" si="5"/>
        <v>111.5061403242655</v>
      </c>
      <c r="L61">
        <f t="shared" ca="1" si="6"/>
        <v>100.21785967573449</v>
      </c>
    </row>
    <row r="62" spans="1:12" x14ac:dyDescent="0.25">
      <c r="A62" vm="180">
        <f ca="1"/>
        <v>45748</v>
      </c>
      <c r="B62" vm="181">
        <f ca="1"/>
        <v>110.06</v>
      </c>
      <c r="C62" s="1" vm="182">
        <f ca="1"/>
        <v>2507642</v>
      </c>
      <c r="D62" s="2">
        <f t="shared" ca="1" si="0"/>
        <v>275991078.51999998</v>
      </c>
      <c r="E62" s="1">
        <f ca="1">SUM($D$2:D62)/SUM($C$2:C62)</f>
        <v>98.940210741133242</v>
      </c>
      <c r="F62" s="1">
        <f ca="1">_xlfn.STDEV.S($B$2:B62)</f>
        <v>6.7798760204342248</v>
      </c>
      <c r="G62" s="1">
        <f t="shared" ca="1" si="1"/>
        <v>112.49996278200169</v>
      </c>
      <c r="H62" s="1">
        <f t="shared" ca="1" si="2"/>
        <v>85.380458700264796</v>
      </c>
      <c r="I62">
        <f t="shared" ca="1" si="3"/>
        <v>106.25749999999998</v>
      </c>
      <c r="J62">
        <f t="shared" ca="1" si="4"/>
        <v>2.8287376299238804</v>
      </c>
      <c r="K62">
        <f t="shared" ca="1" si="5"/>
        <v>111.91497525984774</v>
      </c>
      <c r="L62">
        <f t="shared" ca="1" si="6"/>
        <v>100.60002474015222</v>
      </c>
    </row>
    <row r="63" spans="1:12" x14ac:dyDescent="0.25">
      <c r="A63" vm="183">
        <f ca="1"/>
        <v>45749</v>
      </c>
      <c r="B63" vm="184">
        <f ca="1"/>
        <v>109.58</v>
      </c>
      <c r="C63" s="1" vm="185">
        <f ca="1"/>
        <v>2015191</v>
      </c>
      <c r="D63" s="2">
        <f t="shared" ca="1" si="0"/>
        <v>220824629.78</v>
      </c>
      <c r="E63" s="1">
        <f ca="1">SUM($D$2:D63)/SUM($C$2:C63)</f>
        <v>99.065915419703799</v>
      </c>
      <c r="F63" s="1">
        <f ca="1">_xlfn.STDEV.S($B$2:B63)</f>
        <v>6.8758436740161697</v>
      </c>
      <c r="G63" s="1">
        <f t="shared" ca="1" si="1"/>
        <v>112.81760276773613</v>
      </c>
      <c r="H63" s="1">
        <f t="shared" ca="1" si="2"/>
        <v>85.314228071671465</v>
      </c>
      <c r="I63">
        <f t="shared" ca="1" si="3"/>
        <v>106.72649999999999</v>
      </c>
      <c r="J63">
        <f t="shared" ca="1" si="4"/>
        <v>2.5337703858915588</v>
      </c>
      <c r="K63">
        <f t="shared" ca="1" si="5"/>
        <v>111.7940407717831</v>
      </c>
      <c r="L63">
        <f t="shared" ca="1" si="6"/>
        <v>101.65895922821687</v>
      </c>
    </row>
    <row r="64" spans="1:12" x14ac:dyDescent="0.25">
      <c r="A64" vm="186">
        <f ca="1"/>
        <v>45750</v>
      </c>
      <c r="B64" vm="187">
        <f ca="1"/>
        <v>112.72</v>
      </c>
      <c r="C64" s="1" vm="188">
        <f ca="1"/>
        <v>4175537</v>
      </c>
      <c r="D64" s="2">
        <f t="shared" ca="1" si="0"/>
        <v>470666530.63999999</v>
      </c>
      <c r="E64" s="1">
        <f ca="1">SUM($D$2:D64)/SUM($C$2:C64)</f>
        <v>99.39218273321687</v>
      </c>
      <c r="F64" s="1">
        <f ca="1">_xlfn.STDEV.S($B$2:B64)</f>
        <v>7.0531523857456033</v>
      </c>
      <c r="G64" s="1">
        <f t="shared" ca="1" si="1"/>
        <v>113.49848750470808</v>
      </c>
      <c r="H64" s="1">
        <f t="shared" ca="1" si="2"/>
        <v>85.28587796172566</v>
      </c>
      <c r="I64">
        <f t="shared" ca="1" si="3"/>
        <v>107.31699999999998</v>
      </c>
      <c r="J64">
        <f t="shared" ca="1" si="4"/>
        <v>2.4825328746431969</v>
      </c>
      <c r="K64">
        <f t="shared" ca="1" si="5"/>
        <v>112.28206574928637</v>
      </c>
      <c r="L64">
        <f t="shared" ca="1" si="6"/>
        <v>102.35193425071358</v>
      </c>
    </row>
    <row r="65" spans="1:12" x14ac:dyDescent="0.25">
      <c r="A65" vm="189">
        <f ca="1"/>
        <v>45751</v>
      </c>
      <c r="B65" vm="190">
        <f ca="1"/>
        <v>109.32</v>
      </c>
      <c r="C65" s="1" vm="191">
        <f ca="1"/>
        <v>6395885</v>
      </c>
      <c r="D65" s="2">
        <f t="shared" ca="1" si="0"/>
        <v>699198148.19999993</v>
      </c>
      <c r="E65" s="1">
        <f ca="1">SUM($D$2:D65)/SUM($C$2:C65)</f>
        <v>99.742725666040087</v>
      </c>
      <c r="F65" s="1">
        <f ca="1">_xlfn.STDEV.S($B$2:B65)</f>
        <v>7.1223160288686547</v>
      </c>
      <c r="G65" s="1">
        <f t="shared" ca="1" si="1"/>
        <v>113.98735772377739</v>
      </c>
      <c r="H65" s="1">
        <f t="shared" ca="1" si="2"/>
        <v>85.498093608302781</v>
      </c>
      <c r="I65">
        <f t="shared" ca="1" si="3"/>
        <v>107.601</v>
      </c>
      <c r="J65">
        <f t="shared" ca="1" si="4"/>
        <v>2.3617007698512089</v>
      </c>
      <c r="K65">
        <f t="shared" ca="1" si="5"/>
        <v>112.32440153970242</v>
      </c>
      <c r="L65">
        <f t="shared" ca="1" si="6"/>
        <v>102.87759846029758</v>
      </c>
    </row>
    <row r="66" spans="1:12" x14ac:dyDescent="0.25">
      <c r="A66" vm="192">
        <f ca="1"/>
        <v>45754</v>
      </c>
      <c r="B66" vm="193">
        <f ca="1"/>
        <v>105.4</v>
      </c>
      <c r="C66" s="1" vm="194">
        <f ca="1"/>
        <v>4405486</v>
      </c>
      <c r="D66" s="2">
        <f t="shared" ca="1" si="0"/>
        <v>464338224.40000004</v>
      </c>
      <c r="E66" s="1">
        <f ca="1">SUM($D$2:D66)/SUM($C$2:C66)</f>
        <v>99.877049104954907</v>
      </c>
      <c r="F66" s="1">
        <f ca="1">_xlfn.STDEV.S($B$2:B66)</f>
        <v>7.1131046687677921</v>
      </c>
      <c r="G66" s="1">
        <f t="shared" ca="1" si="1"/>
        <v>114.10325844249049</v>
      </c>
      <c r="H66" s="1">
        <f t="shared" ca="1" si="2"/>
        <v>85.650839767419328</v>
      </c>
      <c r="I66">
        <f t="shared" ca="1" si="3"/>
        <v>107.53799999999998</v>
      </c>
      <c r="J66">
        <f t="shared" ca="1" si="4"/>
        <v>2.4045408796910204</v>
      </c>
      <c r="K66">
        <f t="shared" ca="1" si="5"/>
        <v>112.34708175938202</v>
      </c>
      <c r="L66">
        <f t="shared" ca="1" si="6"/>
        <v>102.72891824061794</v>
      </c>
    </row>
    <row r="67" spans="1:12" x14ac:dyDescent="0.25">
      <c r="A67" vm="195">
        <f ca="1"/>
        <v>45755</v>
      </c>
      <c r="B67" vm="196">
        <f ca="1"/>
        <v>106.05</v>
      </c>
      <c r="C67" s="1" vm="197">
        <f ca="1"/>
        <v>2683063</v>
      </c>
      <c r="D67" s="2">
        <f t="shared" ref="D67:D130" ca="1" si="7">B67*C67</f>
        <v>284538831.14999998</v>
      </c>
      <c r="E67" s="1">
        <f ca="1">SUM($D$2:D67)/SUM($C$2:C67)</f>
        <v>99.965040319545153</v>
      </c>
      <c r="F67" s="1">
        <f ca="1">_xlfn.STDEV.S($B$2:B67)</f>
        <v>7.112172639239688</v>
      </c>
      <c r="G67" s="1">
        <f t="shared" ref="G67:G130" ca="1" si="8">IF(E67="","", E67 + (F67*2))</f>
        <v>114.18938559802453</v>
      </c>
      <c r="H67" s="1">
        <f t="shared" ref="H67:H130" ca="1" si="9">IF(E67="","", E67 - (F67*2))</f>
        <v>85.740695041065777</v>
      </c>
      <c r="I67">
        <f t="shared" ca="1" si="3"/>
        <v>107.652</v>
      </c>
      <c r="J67">
        <f t="shared" ca="1" si="4"/>
        <v>2.2665870471052427</v>
      </c>
      <c r="K67">
        <f t="shared" ca="1" si="5"/>
        <v>112.18517409421048</v>
      </c>
      <c r="L67">
        <f t="shared" ca="1" si="6"/>
        <v>103.11882590578952</v>
      </c>
    </row>
    <row r="68" spans="1:12" x14ac:dyDescent="0.25">
      <c r="A68" vm="198">
        <f ca="1"/>
        <v>45756</v>
      </c>
      <c r="B68" vm="199">
        <f ca="1"/>
        <v>105.77</v>
      </c>
      <c r="C68" s="1" vm="200">
        <f ca="1"/>
        <v>4912769</v>
      </c>
      <c r="D68" s="2">
        <f t="shared" ca="1" si="7"/>
        <v>519623577.13</v>
      </c>
      <c r="E68" s="1">
        <f ca="1">SUM($D$2:D68)/SUM($C$2:C68)</f>
        <v>100.11269643775749</v>
      </c>
      <c r="F68" s="1">
        <f ca="1">_xlfn.STDEV.S($B$2:B68)</f>
        <v>7.1056542993068099</v>
      </c>
      <c r="G68" s="1">
        <f t="shared" ca="1" si="8"/>
        <v>114.32400503637112</v>
      </c>
      <c r="H68" s="1">
        <f t="shared" ca="1" si="9"/>
        <v>85.901387839143865</v>
      </c>
      <c r="I68">
        <f t="shared" ca="1" si="3"/>
        <v>107.80850000000001</v>
      </c>
      <c r="J68">
        <f t="shared" ca="1" si="4"/>
        <v>1.9939758616498116</v>
      </c>
      <c r="K68">
        <f t="shared" ca="1" si="5"/>
        <v>111.79645172329963</v>
      </c>
      <c r="L68">
        <f t="shared" ca="1" si="6"/>
        <v>103.82054827670039</v>
      </c>
    </row>
    <row r="69" spans="1:12" x14ac:dyDescent="0.25">
      <c r="A69" vm="201">
        <f ca="1"/>
        <v>45757</v>
      </c>
      <c r="B69" vm="202">
        <f ca="1"/>
        <v>108.3</v>
      </c>
      <c r="C69" s="1" vm="203">
        <f ca="1"/>
        <v>3382289</v>
      </c>
      <c r="D69" s="2">
        <f t="shared" ca="1" si="7"/>
        <v>366301898.69999999</v>
      </c>
      <c r="E69" s="1">
        <f ca="1">SUM($D$2:D69)/SUM($C$2:C69)</f>
        <v>100.25360518281812</v>
      </c>
      <c r="F69" s="1">
        <f ca="1">_xlfn.STDEV.S($B$2:B69)</f>
        <v>7.139153139587556</v>
      </c>
      <c r="G69" s="1">
        <f t="shared" ca="1" si="8"/>
        <v>114.53191146199323</v>
      </c>
      <c r="H69" s="1">
        <f t="shared" ca="1" si="9"/>
        <v>85.975298903643008</v>
      </c>
      <c r="I69">
        <f t="shared" ca="1" si="3"/>
        <v>107.995</v>
      </c>
      <c r="J69">
        <f t="shared" ca="1" si="4"/>
        <v>1.8439217359804223</v>
      </c>
      <c r="K69">
        <f t="shared" ca="1" si="5"/>
        <v>111.68284347196085</v>
      </c>
      <c r="L69">
        <f t="shared" ca="1" si="6"/>
        <v>104.30715652803916</v>
      </c>
    </row>
    <row r="70" spans="1:12" x14ac:dyDescent="0.25">
      <c r="A70" vm="204">
        <f ca="1"/>
        <v>45758</v>
      </c>
      <c r="B70" vm="205">
        <f ca="1"/>
        <v>109.84</v>
      </c>
      <c r="C70" s="1" vm="206">
        <f ca="1"/>
        <v>2617288</v>
      </c>
      <c r="D70" s="2">
        <f t="shared" ca="1" si="7"/>
        <v>287482913.92000002</v>
      </c>
      <c r="E70" s="1">
        <f ca="1">SUM($D$2:D70)/SUM($C$2:C70)</f>
        <v>100.37959847501976</v>
      </c>
      <c r="F70" s="1">
        <f ca="1">_xlfn.STDEV.S($B$2:B70)</f>
        <v>7.1994607108348205</v>
      </c>
      <c r="G70" s="1">
        <f t="shared" ca="1" si="8"/>
        <v>114.7785198966894</v>
      </c>
      <c r="H70" s="1">
        <f t="shared" ca="1" si="9"/>
        <v>85.980677053350121</v>
      </c>
      <c r="I70">
        <f t="shared" ca="1" si="3"/>
        <v>108.1665</v>
      </c>
      <c r="J70">
        <f t="shared" ca="1" si="4"/>
        <v>1.848248886748866</v>
      </c>
      <c r="K70">
        <f t="shared" ca="1" si="5"/>
        <v>111.86299777349772</v>
      </c>
      <c r="L70">
        <f t="shared" ca="1" si="6"/>
        <v>104.47000222650227</v>
      </c>
    </row>
    <row r="71" spans="1:12" x14ac:dyDescent="0.25">
      <c r="A71" vm="207">
        <f ca="1"/>
        <v>45761</v>
      </c>
      <c r="B71" vm="208">
        <f ca="1"/>
        <v>112.25</v>
      </c>
      <c r="C71" s="1" vm="209">
        <f ca="1"/>
        <v>2133340</v>
      </c>
      <c r="D71" s="2">
        <f t="shared" ca="1" si="7"/>
        <v>239467415</v>
      </c>
      <c r="E71" s="1">
        <f ca="1">SUM($D$2:D71)/SUM($C$2:C71)</f>
        <v>100.50541519050138</v>
      </c>
      <c r="F71" s="1">
        <f ca="1">_xlfn.STDEV.S($B$2:B71)</f>
        <v>7.3092811543809706</v>
      </c>
      <c r="G71" s="1">
        <f t="shared" ca="1" si="8"/>
        <v>115.12397749926332</v>
      </c>
      <c r="H71" s="1">
        <f t="shared" ca="1" si="9"/>
        <v>85.886852881739443</v>
      </c>
      <c r="I71">
        <f t="shared" ca="1" si="3"/>
        <v>108.398</v>
      </c>
      <c r="J71">
        <f t="shared" ca="1" si="4"/>
        <v>2.0546342996414619</v>
      </c>
      <c r="K71">
        <f t="shared" ca="1" si="5"/>
        <v>112.50726859928292</v>
      </c>
      <c r="L71">
        <f t="shared" ca="1" si="6"/>
        <v>104.28873140071707</v>
      </c>
    </row>
    <row r="72" spans="1:12" x14ac:dyDescent="0.25">
      <c r="A72" vm="210">
        <f ca="1"/>
        <v>45762</v>
      </c>
      <c r="B72" vm="211">
        <f ca="1"/>
        <v>111.81</v>
      </c>
      <c r="C72" s="1" vm="212">
        <f ca="1"/>
        <v>2314523</v>
      </c>
      <c r="D72" s="2">
        <f t="shared" ca="1" si="7"/>
        <v>258786816.63</v>
      </c>
      <c r="E72" s="1">
        <f ca="1">SUM($D$2:D72)/SUM($C$2:C72)</f>
        <v>100.63393301181027</v>
      </c>
      <c r="F72" s="1">
        <f ca="1">_xlfn.STDEV.S($B$2:B72)</f>
        <v>7.3996307564629156</v>
      </c>
      <c r="G72" s="1">
        <f t="shared" ca="1" si="8"/>
        <v>115.43319452473611</v>
      </c>
      <c r="H72" s="1">
        <f t="shared" ca="1" si="9"/>
        <v>85.834671498884433</v>
      </c>
      <c r="I72">
        <f t="shared" ca="1" si="3"/>
        <v>108.59799999999998</v>
      </c>
      <c r="J72">
        <f t="shared" ca="1" si="4"/>
        <v>2.1849355042871954</v>
      </c>
      <c r="K72">
        <f t="shared" ca="1" si="5"/>
        <v>112.96787100857438</v>
      </c>
      <c r="L72">
        <f t="shared" ca="1" si="6"/>
        <v>104.22812899142559</v>
      </c>
    </row>
    <row r="73" spans="1:12" x14ac:dyDescent="0.25">
      <c r="A73" vm="213">
        <f ca="1"/>
        <v>45763</v>
      </c>
      <c r="B73" vm="214">
        <f ca="1"/>
        <v>111.44</v>
      </c>
      <c r="C73" s="1" vm="215">
        <f ca="1"/>
        <v>2133038</v>
      </c>
      <c r="D73" s="2">
        <f t="shared" ca="1" si="7"/>
        <v>237705754.72</v>
      </c>
      <c r="E73" s="1">
        <f ca="1">SUM($D$2:D73)/SUM($C$2:C73)</f>
        <v>100.74597658755954</v>
      </c>
      <c r="F73" s="1">
        <f ca="1">_xlfn.STDEV.S($B$2:B73)</f>
        <v>7.4744330208240939</v>
      </c>
      <c r="G73" s="1">
        <f t="shared" ca="1" si="8"/>
        <v>115.69484262920773</v>
      </c>
      <c r="H73" s="1">
        <f t="shared" ca="1" si="9"/>
        <v>85.797110545911352</v>
      </c>
      <c r="I73">
        <f t="shared" ca="1" si="3"/>
        <v>108.79549999999999</v>
      </c>
      <c r="J73">
        <f t="shared" ca="1" si="4"/>
        <v>2.2568503320009139</v>
      </c>
      <c r="K73">
        <f t="shared" ca="1" si="5"/>
        <v>113.30920066400182</v>
      </c>
      <c r="L73">
        <f t="shared" ca="1" si="6"/>
        <v>104.28179933599816</v>
      </c>
    </row>
    <row r="74" spans="1:12" x14ac:dyDescent="0.25">
      <c r="A74" vm="216">
        <f ca="1"/>
        <v>45764</v>
      </c>
      <c r="B74" vm="217">
        <f ca="1"/>
        <v>112.1</v>
      </c>
      <c r="C74" s="1" vm="218">
        <f ca="1"/>
        <v>2055242</v>
      </c>
      <c r="D74" s="2">
        <f t="shared" ca="1" si="7"/>
        <v>230392628.19999999</v>
      </c>
      <c r="E74" s="1">
        <f ca="1">SUM($D$2:D74)/SUM($C$2:C74)</f>
        <v>100.85828601431962</v>
      </c>
      <c r="F74" s="1">
        <f ca="1">_xlfn.STDEV.S($B$2:B74)</f>
        <v>7.5572212812085002</v>
      </c>
      <c r="G74" s="1">
        <f t="shared" ca="1" si="8"/>
        <v>115.97272857673661</v>
      </c>
      <c r="H74" s="1">
        <f t="shared" ca="1" si="9"/>
        <v>85.74384345190262</v>
      </c>
      <c r="I74">
        <f t="shared" ca="1" si="3"/>
        <v>108.97649999999999</v>
      </c>
      <c r="J74">
        <f t="shared" ca="1" si="4"/>
        <v>2.37241887443796</v>
      </c>
      <c r="K74">
        <f t="shared" ca="1" si="5"/>
        <v>113.72133774887591</v>
      </c>
      <c r="L74">
        <f t="shared" ca="1" si="6"/>
        <v>104.23166225112406</v>
      </c>
    </row>
    <row r="75" spans="1:12" x14ac:dyDescent="0.25">
      <c r="A75" vm="219">
        <f ca="1"/>
        <v>45768</v>
      </c>
      <c r="B75" vm="220">
        <f ca="1"/>
        <v>110.96</v>
      </c>
      <c r="C75" s="1" vm="221">
        <f ca="1"/>
        <v>2333943</v>
      </c>
      <c r="D75" s="2">
        <f t="shared" ca="1" si="7"/>
        <v>258974315.27999997</v>
      </c>
      <c r="E75" s="1">
        <f ca="1">SUM($D$2:D75)/SUM($C$2:C75)</f>
        <v>100.97049756428643</v>
      </c>
      <c r="F75" s="1">
        <f ca="1">_xlfn.STDEV.S($B$2:B75)</f>
        <v>7.6102953027195079</v>
      </c>
      <c r="G75" s="1">
        <f t="shared" ca="1" si="8"/>
        <v>116.19108816972545</v>
      </c>
      <c r="H75" s="1">
        <f t="shared" ca="1" si="9"/>
        <v>85.749906958847419</v>
      </c>
      <c r="I75">
        <f t="shared" ca="1" si="3"/>
        <v>109.1345</v>
      </c>
      <c r="J75">
        <f t="shared" ca="1" si="4"/>
        <v>2.3950595531547632</v>
      </c>
      <c r="K75">
        <f t="shared" ca="1" si="5"/>
        <v>113.92461910630954</v>
      </c>
      <c r="L75">
        <f t="shared" ca="1" si="6"/>
        <v>104.34438089369047</v>
      </c>
    </row>
    <row r="76" spans="1:12" x14ac:dyDescent="0.25">
      <c r="A76" vm="222">
        <f ca="1"/>
        <v>45769</v>
      </c>
      <c r="B76" vm="223">
        <f ca="1"/>
        <v>113.3</v>
      </c>
      <c r="C76" s="1" vm="224">
        <f ca="1"/>
        <v>1833656</v>
      </c>
      <c r="D76" s="2">
        <f t="shared" ca="1" si="7"/>
        <v>207753224.79999998</v>
      </c>
      <c r="E76" s="1">
        <f ca="1">SUM($D$2:D76)/SUM($C$2:C76)</f>
        <v>101.07716748507254</v>
      </c>
      <c r="F76" s="1">
        <f ca="1">_xlfn.STDEV.S($B$2:B76)</f>
        <v>7.7070258036896915</v>
      </c>
      <c r="G76" s="1">
        <f t="shared" ca="1" si="8"/>
        <v>116.49121909245191</v>
      </c>
      <c r="H76" s="1">
        <f t="shared" ca="1" si="9"/>
        <v>85.663115877693158</v>
      </c>
      <c r="I76">
        <f t="shared" ca="1" si="3"/>
        <v>109.458</v>
      </c>
      <c r="J76">
        <f t="shared" ca="1" si="4"/>
        <v>2.5019731160994136</v>
      </c>
      <c r="K76">
        <f t="shared" ca="1" si="5"/>
        <v>114.46194623219883</v>
      </c>
      <c r="L76">
        <f t="shared" ca="1" si="6"/>
        <v>104.45405376780117</v>
      </c>
    </row>
    <row r="77" spans="1:12" x14ac:dyDescent="0.25">
      <c r="A77" vm="225">
        <f ca="1"/>
        <v>45770</v>
      </c>
      <c r="B77" vm="226">
        <f ca="1"/>
        <v>112.52</v>
      </c>
      <c r="C77" s="1" vm="227">
        <f ca="1"/>
        <v>2098373</v>
      </c>
      <c r="D77" s="2">
        <f t="shared" ca="1" si="7"/>
        <v>236108929.95999998</v>
      </c>
      <c r="E77" s="1">
        <f ca="1">SUM($D$2:D77)/SUM($C$2:C77)</f>
        <v>101.18934767248383</v>
      </c>
      <c r="F77" s="1">
        <f ca="1">_xlfn.STDEV.S($B$2:B77)</f>
        <v>7.7798249472932426</v>
      </c>
      <c r="G77" s="1">
        <f t="shared" ca="1" si="8"/>
        <v>116.74899756707032</v>
      </c>
      <c r="H77" s="1">
        <f t="shared" ca="1" si="9"/>
        <v>85.629697777897348</v>
      </c>
      <c r="I77">
        <f t="shared" ca="1" si="3"/>
        <v>109.8065</v>
      </c>
      <c r="J77">
        <f t="shared" ca="1" si="4"/>
        <v>2.4128150735079896</v>
      </c>
      <c r="K77">
        <f t="shared" ca="1" si="5"/>
        <v>114.63213014701599</v>
      </c>
      <c r="L77">
        <f t="shared" ca="1" si="6"/>
        <v>104.98086985298401</v>
      </c>
    </row>
    <row r="78" spans="1:12" x14ac:dyDescent="0.25">
      <c r="A78" vm="228">
        <f ca="1"/>
        <v>45771</v>
      </c>
      <c r="B78" vm="229">
        <f ca="1"/>
        <v>111.29</v>
      </c>
      <c r="C78" s="1" vm="230">
        <f ca="1"/>
        <v>2389269</v>
      </c>
      <c r="D78" s="2">
        <f t="shared" ca="1" si="7"/>
        <v>265901747.01000002</v>
      </c>
      <c r="E78" s="1">
        <f ca="1">SUM($D$2:D78)/SUM($C$2:C78)</f>
        <v>101.30085243256035</v>
      </c>
      <c r="F78" s="1">
        <f ca="1">_xlfn.STDEV.S($B$2:B78)</f>
        <v>7.8238800263758099</v>
      </c>
      <c r="G78" s="1">
        <f t="shared" ca="1" si="8"/>
        <v>116.94861248531197</v>
      </c>
      <c r="H78" s="1">
        <f t="shared" ca="1" si="9"/>
        <v>85.653092379808726</v>
      </c>
      <c r="I78">
        <f t="shared" ca="1" si="3"/>
        <v>109.998</v>
      </c>
      <c r="J78">
        <f t="shared" ca="1" si="4"/>
        <v>2.3683563032084858</v>
      </c>
      <c r="K78">
        <f t="shared" ca="1" si="5"/>
        <v>114.73471260641698</v>
      </c>
      <c r="L78">
        <f t="shared" ca="1" si="6"/>
        <v>105.26128739358303</v>
      </c>
    </row>
    <row r="79" spans="1:12" x14ac:dyDescent="0.25">
      <c r="A79" vm="231">
        <f ca="1"/>
        <v>45772</v>
      </c>
      <c r="B79" vm="232">
        <f ca="1"/>
        <v>110.45</v>
      </c>
      <c r="C79" s="1" vm="233">
        <f ca="1"/>
        <v>2820849</v>
      </c>
      <c r="D79" s="2">
        <f t="shared" ca="1" si="7"/>
        <v>311562772.05000001</v>
      </c>
      <c r="E79" s="1">
        <f ca="1">SUM($D$2:D79)/SUM($C$2:C79)</f>
        <v>101.41856304793953</v>
      </c>
      <c r="F79" s="1">
        <f ca="1">_xlfn.STDEV.S($B$2:B79)</f>
        <v>7.8502819189584638</v>
      </c>
      <c r="G79" s="1">
        <f t="shared" ca="1" si="8"/>
        <v>117.11912688585646</v>
      </c>
      <c r="H79" s="1">
        <f t="shared" ca="1" si="9"/>
        <v>85.717999210022597</v>
      </c>
      <c r="I79">
        <f t="shared" ca="1" si="3"/>
        <v>110.12599999999998</v>
      </c>
      <c r="J79">
        <f t="shared" ca="1" si="4"/>
        <v>2.3170543913839348</v>
      </c>
      <c r="K79">
        <f t="shared" ca="1" si="5"/>
        <v>114.76010878276784</v>
      </c>
      <c r="L79">
        <f t="shared" ca="1" si="6"/>
        <v>105.49189121723211</v>
      </c>
    </row>
    <row r="80" spans="1:12" x14ac:dyDescent="0.25">
      <c r="A80" vm="234">
        <f ca="1"/>
        <v>45775</v>
      </c>
      <c r="B80" vm="235">
        <f ca="1"/>
        <v>111.13</v>
      </c>
      <c r="C80" s="1" vm="236">
        <f ca="1"/>
        <v>2938240</v>
      </c>
      <c r="D80" s="2">
        <f t="shared" ca="1" si="7"/>
        <v>326526611.19999999</v>
      </c>
      <c r="E80" s="1">
        <f ca="1">SUM($D$2:D80)/SUM($C$2:C80)</f>
        <v>101.54698655419644</v>
      </c>
      <c r="F80" s="1">
        <f ca="1">_xlfn.STDEV.S($B$2:B80)</f>
        <v>7.8848464992528715</v>
      </c>
      <c r="G80" s="1">
        <f t="shared" ca="1" si="8"/>
        <v>117.31667955270218</v>
      </c>
      <c r="H80" s="1">
        <f t="shared" ca="1" si="9"/>
        <v>85.77729355569069</v>
      </c>
      <c r="I80">
        <f t="shared" ca="1" si="3"/>
        <v>110.24399999999999</v>
      </c>
      <c r="J80">
        <f t="shared" ca="1" si="4"/>
        <v>2.3044222931709273</v>
      </c>
      <c r="K80">
        <f t="shared" ca="1" si="5"/>
        <v>114.85284458634185</v>
      </c>
      <c r="L80">
        <f t="shared" ca="1" si="6"/>
        <v>105.63515541365813</v>
      </c>
    </row>
    <row r="81" spans="1:12" x14ac:dyDescent="0.25">
      <c r="A81" vm="237">
        <f ca="1"/>
        <v>45776</v>
      </c>
      <c r="B81" vm="238">
        <f ca="1"/>
        <v>112.13</v>
      </c>
      <c r="C81" s="1" vm="239">
        <f ca="1"/>
        <v>2000418</v>
      </c>
      <c r="D81" s="2">
        <f t="shared" ca="1" si="7"/>
        <v>224306870.34</v>
      </c>
      <c r="E81" s="1">
        <f ca="1">SUM($D$2:D81)/SUM($C$2:C81)</f>
        <v>101.64141684791406</v>
      </c>
      <c r="F81" s="1">
        <f ca="1">_xlfn.STDEV.S($B$2:B81)</f>
        <v>7.9330875914852488</v>
      </c>
      <c r="G81" s="1">
        <f t="shared" ca="1" si="8"/>
        <v>117.50759203088455</v>
      </c>
      <c r="H81" s="1">
        <f t="shared" ca="1" si="9"/>
        <v>85.775241664943565</v>
      </c>
      <c r="I81">
        <f t="shared" ca="1" si="3"/>
        <v>110.321</v>
      </c>
      <c r="J81">
        <f t="shared" ca="1" si="4"/>
        <v>2.3420142028424564</v>
      </c>
      <c r="K81">
        <f t="shared" ca="1" si="5"/>
        <v>115.00502840568491</v>
      </c>
      <c r="L81">
        <f t="shared" ca="1" si="6"/>
        <v>105.63697159431509</v>
      </c>
    </row>
    <row r="82" spans="1:12" x14ac:dyDescent="0.25">
      <c r="A82" vm="240">
        <f ca="1"/>
        <v>45777</v>
      </c>
      <c r="B82" vm="241">
        <f ca="1"/>
        <v>112.75</v>
      </c>
      <c r="C82" s="1" vm="242">
        <f ca="1"/>
        <v>4940839</v>
      </c>
      <c r="D82" s="2">
        <f t="shared" ca="1" si="7"/>
        <v>557079597.25</v>
      </c>
      <c r="E82" s="1">
        <f ca="1">SUM($D$2:D82)/SUM($C$2:C82)</f>
        <v>101.88095426240987</v>
      </c>
      <c r="F82" s="1">
        <f ca="1">_xlfn.STDEV.S($B$2:B82)</f>
        <v>7.9883145346774036</v>
      </c>
      <c r="G82" s="1">
        <f t="shared" ca="1" si="8"/>
        <v>117.85758333176469</v>
      </c>
      <c r="H82" s="1">
        <f t="shared" ca="1" si="9"/>
        <v>85.904325193055058</v>
      </c>
      <c r="I82">
        <f t="shared" ca="1" si="3"/>
        <v>110.4555</v>
      </c>
      <c r="J82">
        <f t="shared" ca="1" si="4"/>
        <v>2.402692513783125</v>
      </c>
      <c r="K82">
        <f t="shared" ca="1" si="5"/>
        <v>115.26088502756625</v>
      </c>
      <c r="L82">
        <f t="shared" ca="1" si="6"/>
        <v>105.65011497243376</v>
      </c>
    </row>
    <row r="83" spans="1:12" x14ac:dyDescent="0.25">
      <c r="A83" vm="243">
        <f ca="1"/>
        <v>45778</v>
      </c>
      <c r="B83" vm="244">
        <f ca="1"/>
        <v>112.56</v>
      </c>
      <c r="C83" s="1" vm="245">
        <f ca="1"/>
        <v>3265519</v>
      </c>
      <c r="D83" s="2">
        <f t="shared" ca="1" si="7"/>
        <v>367566818.63999999</v>
      </c>
      <c r="E83" s="1">
        <f ca="1">SUM($D$2:D83)/SUM($C$2:C83)</f>
        <v>102.03101010465852</v>
      </c>
      <c r="F83" s="1">
        <f ca="1">_xlfn.STDEV.S($B$2:B83)</f>
        <v>8.036036912886944</v>
      </c>
      <c r="G83" s="1">
        <f t="shared" ca="1" si="8"/>
        <v>118.1030839304324</v>
      </c>
      <c r="H83" s="1">
        <f t="shared" ca="1" si="9"/>
        <v>85.958936278884636</v>
      </c>
      <c r="I83">
        <f t="shared" ca="1" si="3"/>
        <v>110.6045</v>
      </c>
      <c r="J83">
        <f t="shared" ca="1" si="4"/>
        <v>2.4376875906222448</v>
      </c>
      <c r="K83">
        <f t="shared" ca="1" si="5"/>
        <v>115.47987518124449</v>
      </c>
      <c r="L83">
        <f t="shared" ca="1" si="6"/>
        <v>105.72912481875551</v>
      </c>
    </row>
    <row r="84" spans="1:12" x14ac:dyDescent="0.25">
      <c r="A84" vm="246">
        <f ca="1"/>
        <v>45779</v>
      </c>
      <c r="B84" vm="247">
        <f ca="1"/>
        <v>110.03</v>
      </c>
      <c r="C84" s="1" vm="248">
        <f ca="1"/>
        <v>3421767</v>
      </c>
      <c r="D84" s="2">
        <f t="shared" ca="1" si="7"/>
        <v>376497023.00999999</v>
      </c>
      <c r="E84" s="1">
        <f ca="1">SUM($D$2:D84)/SUM($C$2:C84)</f>
        <v>102.14707636726183</v>
      </c>
      <c r="F84" s="1">
        <f ca="1">_xlfn.STDEV.S($B$2:B84)</f>
        <v>8.0426768416196275</v>
      </c>
      <c r="G84" s="1">
        <f t="shared" ca="1" si="8"/>
        <v>118.23243005050108</v>
      </c>
      <c r="H84" s="1">
        <f t="shared" ca="1" si="9"/>
        <v>86.061722684022584</v>
      </c>
      <c r="I84">
        <f t="shared" ca="1" si="3"/>
        <v>110.47</v>
      </c>
      <c r="J84">
        <f t="shared" ca="1" si="4"/>
        <v>2.3885362176776579</v>
      </c>
      <c r="K84">
        <f t="shared" ca="1" si="5"/>
        <v>115.24707243535532</v>
      </c>
      <c r="L84">
        <f t="shared" ca="1" si="6"/>
        <v>105.69292756464468</v>
      </c>
    </row>
    <row r="85" spans="1:12" x14ac:dyDescent="0.25">
      <c r="A85" vm="249">
        <f ca="1"/>
        <v>45782</v>
      </c>
      <c r="B85" vm="250">
        <f ca="1"/>
        <v>109.52</v>
      </c>
      <c r="C85" s="1" vm="251">
        <f ca="1"/>
        <v>3225219</v>
      </c>
      <c r="D85" s="2">
        <f t="shared" ca="1" si="7"/>
        <v>353225984.88</v>
      </c>
      <c r="E85" s="1">
        <f ca="1">SUM($D$2:D85)/SUM($C$2:C85)</f>
        <v>102.24655273573227</v>
      </c>
      <c r="F85" s="1">
        <f ca="1">_xlfn.STDEV.S($B$2:B85)</f>
        <v>8.0416132534291922</v>
      </c>
      <c r="G85" s="1">
        <f t="shared" ca="1" si="8"/>
        <v>118.32977924259065</v>
      </c>
      <c r="H85" s="1">
        <f t="shared" ca="1" si="9"/>
        <v>86.163326228873885</v>
      </c>
      <c r="I85">
        <f t="shared" ca="1" si="3"/>
        <v>110.48000000000002</v>
      </c>
      <c r="J85">
        <f t="shared" ca="1" si="4"/>
        <v>2.3838822825051795</v>
      </c>
      <c r="K85">
        <f t="shared" ca="1" si="5"/>
        <v>115.24776456501037</v>
      </c>
      <c r="L85">
        <f t="shared" ca="1" si="6"/>
        <v>105.71223543498967</v>
      </c>
    </row>
    <row r="86" spans="1:12" x14ac:dyDescent="0.25">
      <c r="A86" vm="252">
        <f ca="1"/>
        <v>45783</v>
      </c>
      <c r="B86" vm="253">
        <f ca="1"/>
        <v>110.47</v>
      </c>
      <c r="C86" s="1" vm="254">
        <f ca="1"/>
        <v>2186858</v>
      </c>
      <c r="D86" s="2">
        <f t="shared" ca="1" si="7"/>
        <v>241582203.25999999</v>
      </c>
      <c r="E86" s="1">
        <f ca="1">SUM($D$2:D86)/SUM($C$2:C86)</f>
        <v>102.32110150347071</v>
      </c>
      <c r="F86" s="1">
        <f ca="1">_xlfn.STDEV.S($B$2:B86)</f>
        <v>8.0511162160864345</v>
      </c>
      <c r="G86" s="1">
        <f t="shared" ca="1" si="8"/>
        <v>118.42333393564358</v>
      </c>
      <c r="H86" s="1">
        <f t="shared" ca="1" si="9"/>
        <v>86.218869071297846</v>
      </c>
      <c r="I86">
        <f t="shared" ref="I86:I149" ca="1" si="10">AVERAGE(B67:B86)</f>
        <v>110.73350000000001</v>
      </c>
      <c r="J86">
        <f t="shared" ref="J86:J149" ca="1" si="11">_xlfn.STDEV.S(B67:B86)</f>
        <v>2.0632556669905018</v>
      </c>
      <c r="K86">
        <f t="shared" ref="K86:K149" ca="1" si="12">I86+2*J86</f>
        <v>114.86001133398101</v>
      </c>
      <c r="L86">
        <f t="shared" ref="L86:L149" ca="1" si="13">I86-2*J86</f>
        <v>106.60698866601901</v>
      </c>
    </row>
    <row r="87" spans="1:12" x14ac:dyDescent="0.25">
      <c r="A87" vm="255">
        <f ca="1"/>
        <v>45784</v>
      </c>
      <c r="B87" vm="256">
        <f ca="1"/>
        <v>111.04</v>
      </c>
      <c r="C87" s="1" vm="257">
        <f ca="1"/>
        <v>3555181</v>
      </c>
      <c r="D87" s="2">
        <f t="shared" ca="1" si="7"/>
        <v>394767298.24000001</v>
      </c>
      <c r="E87" s="1">
        <f ca="1">SUM($D$2:D87)/SUM($C$2:C87)</f>
        <v>102.44773119392615</v>
      </c>
      <c r="F87" s="1">
        <f ca="1">_xlfn.STDEV.S($B$2:B87)</f>
        <v>8.0664980620435358</v>
      </c>
      <c r="G87" s="1">
        <f t="shared" ca="1" si="8"/>
        <v>118.58072731801322</v>
      </c>
      <c r="H87" s="1">
        <f t="shared" ca="1" si="9"/>
        <v>86.314735069839074</v>
      </c>
      <c r="I87">
        <f t="shared" ca="1" si="10"/>
        <v>110.98300000000002</v>
      </c>
      <c r="J87">
        <f t="shared" ca="1" si="11"/>
        <v>1.7441212536313011</v>
      </c>
      <c r="K87">
        <f t="shared" ca="1" si="12"/>
        <v>114.47124250726262</v>
      </c>
      <c r="L87">
        <f t="shared" ca="1" si="13"/>
        <v>107.49475749273742</v>
      </c>
    </row>
    <row r="88" spans="1:12" x14ac:dyDescent="0.25">
      <c r="A88" vm="258">
        <f ca="1"/>
        <v>45785</v>
      </c>
      <c r="B88" vm="259">
        <f ca="1"/>
        <v>107.75</v>
      </c>
      <c r="C88" s="1" vm="260">
        <f ca="1"/>
        <v>3652455</v>
      </c>
      <c r="D88" s="2">
        <f t="shared" ca="1" si="7"/>
        <v>393552026.25</v>
      </c>
      <c r="E88" s="1">
        <f ca="1">SUM($D$2:D88)/SUM($C$2:C88)</f>
        <v>102.52568307435101</v>
      </c>
      <c r="F88" s="1">
        <f ca="1">_xlfn.STDEV.S($B$2:B88)</f>
        <v>8.0445718564704283</v>
      </c>
      <c r="G88" s="1">
        <f t="shared" ca="1" si="8"/>
        <v>118.61482678729186</v>
      </c>
      <c r="H88" s="1">
        <f t="shared" ca="1" si="9"/>
        <v>86.436539361410155</v>
      </c>
      <c r="I88">
        <f t="shared" ca="1" si="10"/>
        <v>111.08199999999999</v>
      </c>
      <c r="J88">
        <f t="shared" ca="1" si="11"/>
        <v>1.4667924188514199</v>
      </c>
      <c r="K88">
        <f t="shared" ca="1" si="12"/>
        <v>114.01558483770283</v>
      </c>
      <c r="L88">
        <f t="shared" ca="1" si="13"/>
        <v>108.14841516229716</v>
      </c>
    </row>
    <row r="89" spans="1:12" x14ac:dyDescent="0.25">
      <c r="A89" vm="261">
        <f ca="1"/>
        <v>45786</v>
      </c>
      <c r="B89" vm="262">
        <f ca="1"/>
        <v>107.68</v>
      </c>
      <c r="C89" s="1" vm="263">
        <f ca="1"/>
        <v>2248912</v>
      </c>
      <c r="D89" s="2">
        <f t="shared" ca="1" si="7"/>
        <v>242162844.16000003</v>
      </c>
      <c r="E89" s="1">
        <f ca="1">SUM($D$2:D89)/SUM($C$2:C89)</f>
        <v>102.57192223512145</v>
      </c>
      <c r="F89" s="1">
        <f ca="1">_xlfn.STDEV.S($B$2:B89)</f>
        <v>8.0219499163090067</v>
      </c>
      <c r="G89" s="1">
        <f t="shared" ca="1" si="8"/>
        <v>118.61582206773946</v>
      </c>
      <c r="H89" s="1">
        <f t="shared" ca="1" si="9"/>
        <v>86.528022402503439</v>
      </c>
      <c r="I89">
        <f t="shared" ca="1" si="10"/>
        <v>111.05099999999997</v>
      </c>
      <c r="J89">
        <f t="shared" ca="1" si="11"/>
        <v>1.5337086115892919</v>
      </c>
      <c r="K89">
        <f t="shared" ca="1" si="12"/>
        <v>114.11841722317855</v>
      </c>
      <c r="L89">
        <f t="shared" ca="1" si="13"/>
        <v>107.98358277682139</v>
      </c>
    </row>
    <row r="90" spans="1:12" x14ac:dyDescent="0.25">
      <c r="A90" vm="264">
        <f ca="1"/>
        <v>45789</v>
      </c>
      <c r="B90" vm="265">
        <f ca="1"/>
        <v>103.54</v>
      </c>
      <c r="C90" s="1" vm="266">
        <f ca="1"/>
        <v>3918415</v>
      </c>
      <c r="D90" s="2">
        <f t="shared" ca="1" si="7"/>
        <v>405712689.10000002</v>
      </c>
      <c r="E90" s="1">
        <f ca="1">SUM($D$2:D90)/SUM($C$2:C90)</f>
        <v>102.58682103350965</v>
      </c>
      <c r="F90" s="1">
        <f ca="1">_xlfn.STDEV.S($B$2:B90)</f>
        <v>7.9779985461166021</v>
      </c>
      <c r="G90" s="1">
        <f t="shared" ca="1" si="8"/>
        <v>118.54281812574285</v>
      </c>
      <c r="H90" s="1">
        <f t="shared" ca="1" si="9"/>
        <v>86.630823941276446</v>
      </c>
      <c r="I90">
        <f t="shared" ca="1" si="10"/>
        <v>110.73599999999999</v>
      </c>
      <c r="J90">
        <f t="shared" ca="1" si="11"/>
        <v>2.2671229158979149</v>
      </c>
      <c r="K90">
        <f t="shared" ca="1" si="12"/>
        <v>115.27024583179582</v>
      </c>
      <c r="L90">
        <f t="shared" ca="1" si="13"/>
        <v>106.20175416820416</v>
      </c>
    </row>
    <row r="91" spans="1:12" x14ac:dyDescent="0.25">
      <c r="A91" vm="267">
        <f ca="1"/>
        <v>45790</v>
      </c>
      <c r="B91" vm="268">
        <f ca="1"/>
        <v>100.58</v>
      </c>
      <c r="C91" s="1" vm="269">
        <f ca="1"/>
        <v>4495917</v>
      </c>
      <c r="D91" s="2">
        <f t="shared" ca="1" si="7"/>
        <v>452199331.86000001</v>
      </c>
      <c r="E91" s="1">
        <f ca="1">SUM($D$2:D91)/SUM($C$2:C91)</f>
        <v>102.55199888858608</v>
      </c>
      <c r="F91" s="1">
        <f ca="1">_xlfn.STDEV.S($B$2:B91)</f>
        <v>7.9344197946763746</v>
      </c>
      <c r="G91" s="1">
        <f t="shared" ca="1" si="8"/>
        <v>118.42083847793883</v>
      </c>
      <c r="H91" s="1">
        <f t="shared" ca="1" si="9"/>
        <v>86.683159299233338</v>
      </c>
      <c r="I91">
        <f t="shared" ca="1" si="10"/>
        <v>110.1525</v>
      </c>
      <c r="J91">
        <f t="shared" ca="1" si="11"/>
        <v>3.1763913238304338</v>
      </c>
      <c r="K91">
        <f t="shared" ca="1" si="12"/>
        <v>116.50528264766088</v>
      </c>
      <c r="L91">
        <f t="shared" ca="1" si="13"/>
        <v>103.79971735233913</v>
      </c>
    </row>
    <row r="92" spans="1:12" x14ac:dyDescent="0.25">
      <c r="A92" vm="270">
        <f ca="1"/>
        <v>45791</v>
      </c>
      <c r="B92" vm="271">
        <f ca="1"/>
        <v>99.27</v>
      </c>
      <c r="C92" s="1" vm="272">
        <f ca="1"/>
        <v>3383905</v>
      </c>
      <c r="D92" s="2">
        <f t="shared" ca="1" si="7"/>
        <v>335920249.34999996</v>
      </c>
      <c r="E92" s="1">
        <f ca="1">SUM($D$2:D92)/SUM($C$2:C92)</f>
        <v>102.5096882122872</v>
      </c>
      <c r="F92" s="1">
        <f ca="1">_xlfn.STDEV.S($B$2:B92)</f>
        <v>7.8952622692578291</v>
      </c>
      <c r="G92" s="1">
        <f t="shared" ca="1" si="8"/>
        <v>118.30021275080286</v>
      </c>
      <c r="H92" s="1">
        <f t="shared" ca="1" si="9"/>
        <v>86.719163673771547</v>
      </c>
      <c r="I92">
        <f t="shared" ca="1" si="10"/>
        <v>109.52550000000001</v>
      </c>
      <c r="J92">
        <f t="shared" ca="1" si="11"/>
        <v>3.9704082714634348</v>
      </c>
      <c r="K92">
        <f t="shared" ca="1" si="12"/>
        <v>117.46631654292688</v>
      </c>
      <c r="L92">
        <f t="shared" ca="1" si="13"/>
        <v>101.58468345707314</v>
      </c>
    </row>
    <row r="93" spans="1:12" x14ac:dyDescent="0.25">
      <c r="A93" vm="273">
        <f ca="1"/>
        <v>45792</v>
      </c>
      <c r="B93" vm="274">
        <f ca="1"/>
        <v>102.01</v>
      </c>
      <c r="C93" s="1" vm="275">
        <f ca="1"/>
        <v>3497345</v>
      </c>
      <c r="D93" s="2">
        <f t="shared" ca="1" si="7"/>
        <v>356764163.45000005</v>
      </c>
      <c r="E93" s="1">
        <f ca="1">SUM($D$2:D93)/SUM($C$2:C93)</f>
        <v>102.50311795065889</v>
      </c>
      <c r="F93" s="1">
        <f ca="1">_xlfn.STDEV.S($B$2:B93)</f>
        <v>7.8517660132606304</v>
      </c>
      <c r="G93" s="1">
        <f t="shared" ca="1" si="8"/>
        <v>118.20664997718015</v>
      </c>
      <c r="H93" s="1">
        <f t="shared" ca="1" si="9"/>
        <v>86.799585924137631</v>
      </c>
      <c r="I93">
        <f t="shared" ca="1" si="10"/>
        <v>109.05400000000002</v>
      </c>
      <c r="J93">
        <f t="shared" ca="1" si="11"/>
        <v>4.279017841071771</v>
      </c>
      <c r="K93">
        <f t="shared" ca="1" si="12"/>
        <v>117.61203568214356</v>
      </c>
      <c r="L93">
        <f t="shared" ca="1" si="13"/>
        <v>100.49596431785648</v>
      </c>
    </row>
    <row r="94" spans="1:12" x14ac:dyDescent="0.25">
      <c r="A94" vm="276">
        <f ca="1"/>
        <v>45793</v>
      </c>
      <c r="B94" vm="277">
        <f ca="1"/>
        <v>104.29</v>
      </c>
      <c r="C94" s="1" vm="278">
        <f ca="1"/>
        <v>2758882</v>
      </c>
      <c r="D94" s="2">
        <f t="shared" ca="1" si="7"/>
        <v>287723803.78000003</v>
      </c>
      <c r="E94" s="1">
        <f ca="1">SUM($D$2:D94)/SUM($C$2:C94)</f>
        <v>102.52146189108589</v>
      </c>
      <c r="F94" s="1">
        <f ca="1">_xlfn.STDEV.S($B$2:B94)</f>
        <v>7.8127991211554191</v>
      </c>
      <c r="G94" s="1">
        <f t="shared" ca="1" si="8"/>
        <v>118.14706013339674</v>
      </c>
      <c r="H94" s="1">
        <f t="shared" ca="1" si="9"/>
        <v>86.895863648775048</v>
      </c>
      <c r="I94">
        <f t="shared" ca="1" si="10"/>
        <v>108.6635</v>
      </c>
      <c r="J94">
        <f t="shared" ca="1" si="11"/>
        <v>4.3423111418496454</v>
      </c>
      <c r="K94">
        <f t="shared" ca="1" si="12"/>
        <v>117.3481222836993</v>
      </c>
      <c r="L94">
        <f t="shared" ca="1" si="13"/>
        <v>99.978877716300701</v>
      </c>
    </row>
    <row r="95" spans="1:12" x14ac:dyDescent="0.25">
      <c r="A95" vm="279">
        <f ca="1"/>
        <v>45796</v>
      </c>
      <c r="B95" vm="280">
        <f ca="1"/>
        <v>105.38</v>
      </c>
      <c r="C95" s="1" vm="281">
        <f ca="1"/>
        <v>2047865</v>
      </c>
      <c r="D95" s="2">
        <f t="shared" ca="1" si="7"/>
        <v>215804013.69999999</v>
      </c>
      <c r="E95" s="1">
        <f ca="1">SUM($D$2:D95)/SUM($C$2:C95)</f>
        <v>102.54307971998061</v>
      </c>
      <c r="F95" s="1">
        <f ca="1">_xlfn.STDEV.S($B$2:B95)</f>
        <v>7.7786890744960848</v>
      </c>
      <c r="G95" s="1">
        <f t="shared" ca="1" si="8"/>
        <v>118.10045786897278</v>
      </c>
      <c r="H95" s="1">
        <f t="shared" ca="1" si="9"/>
        <v>86.985701570988439</v>
      </c>
      <c r="I95">
        <f t="shared" ca="1" si="10"/>
        <v>108.3845</v>
      </c>
      <c r="J95">
        <f t="shared" ca="1" si="11"/>
        <v>4.36618763610592</v>
      </c>
      <c r="K95">
        <f t="shared" ca="1" si="12"/>
        <v>117.11687527221184</v>
      </c>
      <c r="L95">
        <f t="shared" ca="1" si="13"/>
        <v>99.652124727788163</v>
      </c>
    </row>
    <row r="96" spans="1:12" x14ac:dyDescent="0.25">
      <c r="A96" vm="282">
        <f ca="1"/>
        <v>45797</v>
      </c>
      <c r="B96" vm="283">
        <f ca="1"/>
        <v>105.71</v>
      </c>
      <c r="C96" s="1" vm="284">
        <f ca="1"/>
        <v>2177662</v>
      </c>
      <c r="D96" s="2">
        <f t="shared" ca="1" si="7"/>
        <v>230200650.01999998</v>
      </c>
      <c r="E96" s="1">
        <f ca="1">SUM($D$2:D96)/SUM($C$2:C96)</f>
        <v>102.56834451599764</v>
      </c>
      <c r="F96" s="1">
        <f ca="1">_xlfn.STDEV.S($B$2:B96)</f>
        <v>7.7465838253417161</v>
      </c>
      <c r="G96" s="1">
        <f t="shared" ca="1" si="8"/>
        <v>118.06151216668107</v>
      </c>
      <c r="H96" s="1">
        <f t="shared" ca="1" si="9"/>
        <v>87.075176865314205</v>
      </c>
      <c r="I96">
        <f t="shared" ca="1" si="10"/>
        <v>108.005</v>
      </c>
      <c r="J96">
        <f t="shared" ca="1" si="11"/>
        <v>4.244617024445259</v>
      </c>
      <c r="K96">
        <f t="shared" ca="1" si="12"/>
        <v>116.49423404889052</v>
      </c>
      <c r="L96">
        <f t="shared" ca="1" si="13"/>
        <v>99.515765951109472</v>
      </c>
    </row>
    <row r="97" spans="1:12" x14ac:dyDescent="0.25">
      <c r="A97" vm="285">
        <f ca="1"/>
        <v>45798</v>
      </c>
      <c r="B97" vm="286">
        <f ca="1"/>
        <v>105.22</v>
      </c>
      <c r="C97" s="1" vm="287">
        <f ca="1"/>
        <v>2741568</v>
      </c>
      <c r="D97" s="2">
        <f t="shared" ca="1" si="7"/>
        <v>288467784.95999998</v>
      </c>
      <c r="E97" s="1">
        <f ca="1">SUM($D$2:D97)/SUM($C$2:C97)</f>
        <v>102.59471172811342</v>
      </c>
      <c r="F97" s="1">
        <f ca="1">_xlfn.STDEV.S($B$2:B97)</f>
        <v>7.7125609099360553</v>
      </c>
      <c r="G97" s="1">
        <f t="shared" ca="1" si="8"/>
        <v>118.01983354798554</v>
      </c>
      <c r="H97" s="1">
        <f t="shared" ca="1" si="9"/>
        <v>87.169589908241306</v>
      </c>
      <c r="I97">
        <f t="shared" ca="1" si="10"/>
        <v>107.63999999999999</v>
      </c>
      <c r="J97">
        <f t="shared" ca="1" si="11"/>
        <v>4.148716986199342</v>
      </c>
      <c r="K97">
        <f t="shared" ca="1" si="12"/>
        <v>115.93743397239867</v>
      </c>
      <c r="L97">
        <f t="shared" ca="1" si="13"/>
        <v>99.342566027601308</v>
      </c>
    </row>
    <row r="98" spans="1:12" x14ac:dyDescent="0.25">
      <c r="A98" vm="288">
        <f ca="1"/>
        <v>45799</v>
      </c>
      <c r="B98" vm="289">
        <f ca="1"/>
        <v>103.42</v>
      </c>
      <c r="C98" s="1" vm="290">
        <f ca="1"/>
        <v>2266069</v>
      </c>
      <c r="D98" s="2">
        <f t="shared" ca="1" si="7"/>
        <v>234356855.97999999</v>
      </c>
      <c r="E98" s="1">
        <f ca="1">SUM($D$2:D98)/SUM($C$2:C98)</f>
        <v>102.60143951150172</v>
      </c>
      <c r="F98" s="1">
        <f ca="1">_xlfn.STDEV.S($B$2:B98)</f>
        <v>7.6735150558173562</v>
      </c>
      <c r="G98" s="1">
        <f t="shared" ca="1" si="8"/>
        <v>117.94846962313643</v>
      </c>
      <c r="H98" s="1">
        <f t="shared" ca="1" si="9"/>
        <v>87.254409399867015</v>
      </c>
      <c r="I98">
        <f t="shared" ca="1" si="10"/>
        <v>107.2465</v>
      </c>
      <c r="J98">
        <f t="shared" ca="1" si="11"/>
        <v>4.1575185855836754</v>
      </c>
      <c r="K98">
        <f t="shared" ca="1" si="12"/>
        <v>115.56153717116734</v>
      </c>
      <c r="L98">
        <f t="shared" ca="1" si="13"/>
        <v>98.93146282883265</v>
      </c>
    </row>
    <row r="99" spans="1:12" x14ac:dyDescent="0.25">
      <c r="A99" vm="291">
        <f ca="1"/>
        <v>45800</v>
      </c>
      <c r="B99" vm="292">
        <f ca="1"/>
        <v>104.1</v>
      </c>
      <c r="C99" s="1" vm="293">
        <f ca="1"/>
        <v>2116235</v>
      </c>
      <c r="D99" s="2">
        <f t="shared" ca="1" si="7"/>
        <v>220300063.5</v>
      </c>
      <c r="E99" s="1">
        <f ca="1">SUM($D$2:D99)/SUM($C$2:C99)</f>
        <v>102.61276188810105</v>
      </c>
      <c r="F99" s="1">
        <f ca="1">_xlfn.STDEV.S($B$2:B99)</f>
        <v>7.6365811100166558</v>
      </c>
      <c r="G99" s="1">
        <f t="shared" ca="1" si="8"/>
        <v>117.88592410813436</v>
      </c>
      <c r="H99" s="1">
        <f t="shared" ca="1" si="9"/>
        <v>87.339599668067734</v>
      </c>
      <c r="I99">
        <f t="shared" ca="1" si="10"/>
        <v>106.929</v>
      </c>
      <c r="J99">
        <f t="shared" ca="1" si="11"/>
        <v>4.1424387680892067</v>
      </c>
      <c r="K99">
        <f t="shared" ca="1" si="12"/>
        <v>115.21387753617842</v>
      </c>
      <c r="L99">
        <f t="shared" ca="1" si="13"/>
        <v>98.644122463821589</v>
      </c>
    </row>
    <row r="100" spans="1:12" x14ac:dyDescent="0.25">
      <c r="A100" vm="294">
        <f ca="1"/>
        <v>45804</v>
      </c>
      <c r="B100" vm="295">
        <f ca="1"/>
        <v>103.97</v>
      </c>
      <c r="C100" s="1" vm="296">
        <f ca="1"/>
        <v>2638922</v>
      </c>
      <c r="D100" s="2">
        <f t="shared" ca="1" si="7"/>
        <v>274368720.33999997</v>
      </c>
      <c r="E100" s="1">
        <f ca="1">SUM($D$2:D100)/SUM($C$2:C100)</f>
        <v>102.62542992791612</v>
      </c>
      <c r="F100" s="1">
        <f ca="1">_xlfn.STDEV.S($B$2:B100)</f>
        <v>7.5998382220844203</v>
      </c>
      <c r="G100" s="1">
        <f t="shared" ca="1" si="8"/>
        <v>117.82510637208496</v>
      </c>
      <c r="H100" s="1">
        <f t="shared" ca="1" si="9"/>
        <v>87.425753483747272</v>
      </c>
      <c r="I100">
        <f t="shared" ca="1" si="10"/>
        <v>106.571</v>
      </c>
      <c r="J100">
        <f t="shared" ca="1" si="11"/>
        <v>4.0690111303543235</v>
      </c>
      <c r="K100">
        <f t="shared" ca="1" si="12"/>
        <v>114.70902226070865</v>
      </c>
      <c r="L100">
        <f t="shared" ca="1" si="13"/>
        <v>98.432977739291346</v>
      </c>
    </row>
    <row r="101" spans="1:12" x14ac:dyDescent="0.25">
      <c r="A101" vm="297">
        <f ca="1"/>
        <v>45805</v>
      </c>
      <c r="B101" vm="298">
        <f ca="1"/>
        <v>102.11</v>
      </c>
      <c r="C101" s="1" vm="299">
        <f ca="1"/>
        <v>1945687</v>
      </c>
      <c r="D101" s="2">
        <f t="shared" ca="1" si="7"/>
        <v>198674099.56999999</v>
      </c>
      <c r="E101" s="1">
        <f ca="1">SUM($D$2:D101)/SUM($C$2:C101)</f>
        <v>102.62190710386113</v>
      </c>
      <c r="F101" s="1">
        <f ca="1">_xlfn.STDEV.S($B$2:B101)</f>
        <v>7.5613578599923894</v>
      </c>
      <c r="G101" s="1">
        <f t="shared" ca="1" si="8"/>
        <v>117.74462282384592</v>
      </c>
      <c r="H101" s="1">
        <f t="shared" ca="1" si="9"/>
        <v>87.499191383876351</v>
      </c>
      <c r="I101">
        <f t="shared" ca="1" si="10"/>
        <v>106.07000000000001</v>
      </c>
      <c r="J101">
        <f t="shared" ca="1" si="11"/>
        <v>3.9640370171939887</v>
      </c>
      <c r="K101">
        <f t="shared" ca="1" si="12"/>
        <v>113.99807403438798</v>
      </c>
      <c r="L101">
        <f t="shared" ca="1" si="13"/>
        <v>98.141925965612032</v>
      </c>
    </row>
    <row r="102" spans="1:12" x14ac:dyDescent="0.25">
      <c r="A102" vm="300">
        <f ca="1"/>
        <v>45806</v>
      </c>
      <c r="B102" vm="301">
        <f ca="1"/>
        <v>103.38</v>
      </c>
      <c r="C102" s="1" vm="302">
        <f ca="1"/>
        <v>2762859</v>
      </c>
      <c r="D102" s="2">
        <f t="shared" ca="1" si="7"/>
        <v>285624363.42000002</v>
      </c>
      <c r="E102" s="1">
        <f ca="1">SUM($D$2:D102)/SUM($C$2:C102)</f>
        <v>102.62919387073275</v>
      </c>
      <c r="F102" s="1">
        <f ca="1">_xlfn.STDEV.S($B$2:B102)</f>
        <v>7.5244993333657586</v>
      </c>
      <c r="G102" s="1">
        <f t="shared" ca="1" si="8"/>
        <v>117.67819253746427</v>
      </c>
      <c r="H102" s="1">
        <f t="shared" ca="1" si="9"/>
        <v>87.580195204001228</v>
      </c>
      <c r="I102">
        <f t="shared" ca="1" si="10"/>
        <v>105.60149999999999</v>
      </c>
      <c r="J102">
        <f t="shared" ca="1" si="11"/>
        <v>3.6762542077500582</v>
      </c>
      <c r="K102">
        <f t="shared" ca="1" si="12"/>
        <v>112.9540084155001</v>
      </c>
      <c r="L102">
        <f t="shared" ca="1" si="13"/>
        <v>98.248991584499876</v>
      </c>
    </row>
    <row r="103" spans="1:12" x14ac:dyDescent="0.25">
      <c r="A103" vm="303">
        <f ca="1"/>
        <v>45807</v>
      </c>
      <c r="B103" vm="304">
        <f ca="1"/>
        <v>104.49</v>
      </c>
      <c r="C103" s="1" vm="305">
        <f ca="1"/>
        <v>6398572</v>
      </c>
      <c r="D103" s="2">
        <f t="shared" ca="1" si="7"/>
        <v>668586788.27999997</v>
      </c>
      <c r="E103" s="1">
        <f ca="1">SUM($D$2:D103)/SUM($C$2:C103)</f>
        <v>102.66971451060597</v>
      </c>
      <c r="F103" s="1">
        <f ca="1">_xlfn.STDEV.S($B$2:B103)</f>
        <v>7.4907922077332376</v>
      </c>
      <c r="G103" s="1">
        <f t="shared" ca="1" si="8"/>
        <v>117.65129892607244</v>
      </c>
      <c r="H103" s="1">
        <f t="shared" ca="1" si="9"/>
        <v>87.688130095139499</v>
      </c>
      <c r="I103">
        <f t="shared" ca="1" si="10"/>
        <v>105.19799999999998</v>
      </c>
      <c r="J103">
        <f t="shared" ca="1" si="11"/>
        <v>3.2954555631082414</v>
      </c>
      <c r="K103">
        <f t="shared" ca="1" si="12"/>
        <v>111.78891112621646</v>
      </c>
      <c r="L103">
        <f t="shared" ca="1" si="13"/>
        <v>98.607088873783496</v>
      </c>
    </row>
    <row r="104" spans="1:12" x14ac:dyDescent="0.25">
      <c r="A104" vm="306">
        <f ca="1"/>
        <v>45810</v>
      </c>
      <c r="B104" vm="307">
        <f ca="1"/>
        <v>103.86</v>
      </c>
      <c r="C104" s="1" vm="308">
        <f ca="1"/>
        <v>2292241</v>
      </c>
      <c r="D104" s="2">
        <f t="shared" ca="1" si="7"/>
        <v>238072150.25999999</v>
      </c>
      <c r="E104" s="1">
        <f ca="1">SUM($D$2:D104)/SUM($C$2:C104)</f>
        <v>102.6789280971572</v>
      </c>
      <c r="F104" s="1">
        <f ca="1">_xlfn.STDEV.S($B$2:B104)</f>
        <v>7.455872094421184</v>
      </c>
      <c r="G104" s="1">
        <f t="shared" ca="1" si="8"/>
        <v>117.59067228599956</v>
      </c>
      <c r="H104" s="1">
        <f t="shared" ca="1" si="9"/>
        <v>87.767183908314834</v>
      </c>
      <c r="I104">
        <f t="shared" ca="1" si="10"/>
        <v>104.8895</v>
      </c>
      <c r="J104">
        <f t="shared" ca="1" si="11"/>
        <v>3.1024531465141894</v>
      </c>
      <c r="K104">
        <f t="shared" ca="1" si="12"/>
        <v>111.09440629302837</v>
      </c>
      <c r="L104">
        <f t="shared" ca="1" si="13"/>
        <v>98.684593706971626</v>
      </c>
    </row>
    <row r="105" spans="1:12" x14ac:dyDescent="0.25">
      <c r="A105" vm="309">
        <f ca="1"/>
        <v>45811</v>
      </c>
      <c r="B105" vm="310">
        <f ca="1"/>
        <v>103.24</v>
      </c>
      <c r="C105" s="1" vm="311">
        <f ca="1"/>
        <v>2316659</v>
      </c>
      <c r="D105" s="2">
        <f t="shared" ca="1" si="7"/>
        <v>239171875.16</v>
      </c>
      <c r="E105" s="1">
        <f ca="1">SUM($D$2:D105)/SUM($C$2:C105)</f>
        <v>102.68328335253094</v>
      </c>
      <c r="F105" s="1">
        <f ca="1">_xlfn.STDEV.S($B$2:B105)</f>
        <v>7.4203280570745598</v>
      </c>
      <c r="G105" s="1">
        <f t="shared" ca="1" si="8"/>
        <v>117.52393946668005</v>
      </c>
      <c r="H105" s="1">
        <f t="shared" ca="1" si="9"/>
        <v>87.842627238381823</v>
      </c>
      <c r="I105">
        <f t="shared" ca="1" si="10"/>
        <v>104.57549999999999</v>
      </c>
      <c r="J105">
        <f t="shared" ca="1" si="11"/>
        <v>2.9216658460182403</v>
      </c>
      <c r="K105">
        <f t="shared" ca="1" si="12"/>
        <v>110.41883169203648</v>
      </c>
      <c r="L105">
        <f t="shared" ca="1" si="13"/>
        <v>98.732168307963505</v>
      </c>
    </row>
    <row r="106" spans="1:12" x14ac:dyDescent="0.25">
      <c r="A106" vm="312">
        <f ca="1"/>
        <v>45812</v>
      </c>
      <c r="B106" vm="313">
        <f ca="1"/>
        <v>102.21</v>
      </c>
      <c r="C106" s="1" vm="314">
        <f ca="1"/>
        <v>1845717</v>
      </c>
      <c r="D106" s="2">
        <f t="shared" ca="1" si="7"/>
        <v>188650734.56999999</v>
      </c>
      <c r="E106" s="1">
        <f ca="1">SUM($D$2:D106)/SUM($C$2:C106)</f>
        <v>102.68037436573563</v>
      </c>
      <c r="F106" s="1">
        <f ca="1">_xlfn.STDEV.S($B$2:B106)</f>
        <v>7.3845676958739475</v>
      </c>
      <c r="G106" s="1">
        <f t="shared" ca="1" si="8"/>
        <v>117.44950975748353</v>
      </c>
      <c r="H106" s="1">
        <f t="shared" ca="1" si="9"/>
        <v>87.911238973987736</v>
      </c>
      <c r="I106">
        <f t="shared" ca="1" si="10"/>
        <v>104.16249999999998</v>
      </c>
      <c r="J106">
        <f t="shared" ca="1" si="11"/>
        <v>2.6119721828937106</v>
      </c>
      <c r="K106">
        <f t="shared" ca="1" si="12"/>
        <v>109.3864443657874</v>
      </c>
      <c r="L106">
        <f t="shared" ca="1" si="13"/>
        <v>98.938555634212562</v>
      </c>
    </row>
    <row r="107" spans="1:12" x14ac:dyDescent="0.25">
      <c r="A107" vm="315">
        <f ca="1"/>
        <v>45813</v>
      </c>
      <c r="B107" vm="316">
        <f ca="1"/>
        <v>102.27</v>
      </c>
      <c r="C107" s="1" vm="317">
        <f ca="1"/>
        <v>2734457</v>
      </c>
      <c r="D107" s="2">
        <f t="shared" ca="1" si="7"/>
        <v>279652917.38999999</v>
      </c>
      <c r="E107" s="1">
        <f ca="1">SUM($D$2:D107)/SUM($C$2:C107)</f>
        <v>102.67667122724991</v>
      </c>
      <c r="F107" s="1">
        <f ca="1">_xlfn.STDEV.S($B$2:B107)</f>
        <v>7.3493237716927391</v>
      </c>
      <c r="G107" s="1">
        <f t="shared" ca="1" si="8"/>
        <v>117.37531877063539</v>
      </c>
      <c r="H107" s="1">
        <f t="shared" ca="1" si="9"/>
        <v>87.978023683864436</v>
      </c>
      <c r="I107">
        <f t="shared" ca="1" si="10"/>
        <v>103.724</v>
      </c>
      <c r="J107">
        <f t="shared" ca="1" si="11"/>
        <v>2.0782264706133202</v>
      </c>
      <c r="K107">
        <f t="shared" ca="1" si="12"/>
        <v>107.88045294122665</v>
      </c>
      <c r="L107">
        <f t="shared" ca="1" si="13"/>
        <v>99.567547058773357</v>
      </c>
    </row>
    <row r="108" spans="1:12" x14ac:dyDescent="0.25">
      <c r="A108" vm="318">
        <f ca="1"/>
        <v>45814</v>
      </c>
      <c r="B108" vm="319">
        <f ca="1"/>
        <v>101.61</v>
      </c>
      <c r="C108" s="1" vm="320">
        <f ca="1"/>
        <v>1694578</v>
      </c>
      <c r="D108" s="2">
        <f t="shared" ca="1" si="7"/>
        <v>172186070.58000001</v>
      </c>
      <c r="E108" s="1">
        <f ca="1">SUM($D$2:D108)/SUM($C$2:C108)</f>
        <v>102.67073939456239</v>
      </c>
      <c r="F108" s="1">
        <f ca="1">_xlfn.STDEV.S($B$2:B108)</f>
        <v>7.3147856630540016</v>
      </c>
      <c r="G108" s="1">
        <f t="shared" ca="1" si="8"/>
        <v>117.3003107206704</v>
      </c>
      <c r="H108" s="1">
        <f t="shared" ca="1" si="9"/>
        <v>88.041168068454382</v>
      </c>
      <c r="I108">
        <f t="shared" ca="1" si="10"/>
        <v>103.41699999999999</v>
      </c>
      <c r="J108">
        <f t="shared" ca="1" si="11"/>
        <v>1.8978772074970616</v>
      </c>
      <c r="K108">
        <f t="shared" ca="1" si="12"/>
        <v>107.21275441499411</v>
      </c>
      <c r="L108">
        <f t="shared" ca="1" si="13"/>
        <v>99.621245585005866</v>
      </c>
    </row>
    <row r="109" spans="1:12" x14ac:dyDescent="0.25">
      <c r="A109" vm="321">
        <f ca="1"/>
        <v>45817</v>
      </c>
      <c r="B109" vm="322">
        <f ca="1"/>
        <v>101.11</v>
      </c>
      <c r="C109" s="1" vm="323">
        <f ca="1"/>
        <v>1781808</v>
      </c>
      <c r="D109" s="2">
        <f t="shared" ca="1" si="7"/>
        <v>180158606.88</v>
      </c>
      <c r="E109" s="1">
        <f ca="1">SUM($D$2:D109)/SUM($C$2:C109)</f>
        <v>102.66166628870458</v>
      </c>
      <c r="F109" s="1">
        <f ca="1">_xlfn.STDEV.S($B$2:B109)</f>
        <v>7.2812506551043539</v>
      </c>
      <c r="G109" s="1">
        <f t="shared" ca="1" si="8"/>
        <v>117.22416759891328</v>
      </c>
      <c r="H109" s="1">
        <f t="shared" ca="1" si="9"/>
        <v>88.099164978495878</v>
      </c>
      <c r="I109">
        <f t="shared" ca="1" si="10"/>
        <v>103.0885</v>
      </c>
      <c r="J109">
        <f t="shared" ca="1" si="11"/>
        <v>1.6768964911720883</v>
      </c>
      <c r="K109">
        <f t="shared" ca="1" si="12"/>
        <v>106.44229298234417</v>
      </c>
      <c r="L109">
        <f t="shared" ca="1" si="13"/>
        <v>99.734707017655822</v>
      </c>
    </row>
    <row r="110" spans="1:12" x14ac:dyDescent="0.25">
      <c r="A110" vm="324">
        <f ca="1"/>
        <v>45818</v>
      </c>
      <c r="B110" vm="325">
        <f ca="1"/>
        <v>102.4</v>
      </c>
      <c r="C110" s="1" vm="326">
        <f ca="1"/>
        <v>2311885</v>
      </c>
      <c r="D110" s="2">
        <f t="shared" ca="1" si="7"/>
        <v>236737024</v>
      </c>
      <c r="E110" s="1">
        <f ca="1">SUM($D$2:D110)/SUM($C$2:C110)</f>
        <v>102.65970737550987</v>
      </c>
      <c r="F110" s="1">
        <f ca="1">_xlfn.STDEV.S($B$2:B110)</f>
        <v>7.2474965459919893</v>
      </c>
      <c r="G110" s="1">
        <f t="shared" ca="1" si="8"/>
        <v>117.15470046749385</v>
      </c>
      <c r="H110" s="1">
        <f t="shared" ca="1" si="9"/>
        <v>88.164714283525882</v>
      </c>
      <c r="I110">
        <f t="shared" ca="1" si="10"/>
        <v>103.03149999999998</v>
      </c>
      <c r="J110">
        <f t="shared" ca="1" si="11"/>
        <v>1.6801136396402661</v>
      </c>
      <c r="K110">
        <f t="shared" ca="1" si="12"/>
        <v>106.39172727928052</v>
      </c>
      <c r="L110">
        <f t="shared" ca="1" si="13"/>
        <v>99.671272720719443</v>
      </c>
    </row>
    <row r="111" spans="1:12" x14ac:dyDescent="0.25">
      <c r="A111" vm="327">
        <f ca="1"/>
        <v>45819</v>
      </c>
      <c r="B111" vm="328">
        <f ca="1"/>
        <v>102.55</v>
      </c>
      <c r="C111" s="1" vm="329">
        <f ca="1"/>
        <v>2439137</v>
      </c>
      <c r="D111" s="2">
        <f t="shared" ca="1" si="7"/>
        <v>250133499.34999999</v>
      </c>
      <c r="E111" s="1">
        <f ca="1">SUM($D$2:D111)/SUM($C$2:C111)</f>
        <v>102.65884765662361</v>
      </c>
      <c r="F111" s="1">
        <f ca="1">_xlfn.STDEV.S($B$2:B111)</f>
        <v>7.2142650018046588</v>
      </c>
      <c r="G111" s="1">
        <f t="shared" ca="1" si="8"/>
        <v>117.08737766023293</v>
      </c>
      <c r="H111" s="1">
        <f t="shared" ca="1" si="9"/>
        <v>88.230317653014282</v>
      </c>
      <c r="I111">
        <f t="shared" ca="1" si="10"/>
        <v>103.13</v>
      </c>
      <c r="J111">
        <f t="shared" ca="1" si="11"/>
        <v>1.5838128544416903</v>
      </c>
      <c r="K111">
        <f t="shared" ca="1" si="12"/>
        <v>106.29762570888337</v>
      </c>
      <c r="L111">
        <f t="shared" ca="1" si="13"/>
        <v>99.962374291116618</v>
      </c>
    </row>
    <row r="112" spans="1:12" x14ac:dyDescent="0.25">
      <c r="A112" vm="330">
        <f ca="1"/>
        <v>45820</v>
      </c>
      <c r="B112" vm="331">
        <f ca="1"/>
        <v>103.76</v>
      </c>
      <c r="C112" s="1" vm="332">
        <f ca="1"/>
        <v>1902564</v>
      </c>
      <c r="D112" s="2">
        <f t="shared" ca="1" si="7"/>
        <v>197410040.64000002</v>
      </c>
      <c r="E112" s="1">
        <f ca="1">SUM($D$2:D112)/SUM($C$2:C112)</f>
        <v>102.66553763255786</v>
      </c>
      <c r="F112" s="1">
        <f ca="1">_xlfn.STDEV.S($B$2:B112)</f>
        <v>7.1829745343654929</v>
      </c>
      <c r="G112" s="1">
        <f t="shared" ca="1" si="8"/>
        <v>117.03148670128884</v>
      </c>
      <c r="H112" s="1">
        <f t="shared" ca="1" si="9"/>
        <v>88.299588563826873</v>
      </c>
      <c r="I112">
        <f t="shared" ca="1" si="10"/>
        <v>103.3545</v>
      </c>
      <c r="J112">
        <f t="shared" ca="1" si="11"/>
        <v>1.3008113864653446</v>
      </c>
      <c r="K112">
        <f t="shared" ca="1" si="12"/>
        <v>105.95612277293068</v>
      </c>
      <c r="L112">
        <f t="shared" ca="1" si="13"/>
        <v>100.75287722706932</v>
      </c>
    </row>
    <row r="113" spans="1:12" x14ac:dyDescent="0.25">
      <c r="A113" vm="333">
        <f ca="1"/>
        <v>45821</v>
      </c>
      <c r="B113" vm="334">
        <f ca="1"/>
        <v>103.96</v>
      </c>
      <c r="C113" s="1" vm="335">
        <f ca="1"/>
        <v>3337359</v>
      </c>
      <c r="D113" s="2">
        <f t="shared" ca="1" si="7"/>
        <v>346951841.63999999</v>
      </c>
      <c r="E113" s="1">
        <f ca="1">SUM($D$2:D113)/SUM($C$2:C113)</f>
        <v>102.67918743541215</v>
      </c>
      <c r="F113" s="1">
        <f ca="1">_xlfn.STDEV.S($B$2:B113)</f>
        <v>7.1525038680878463</v>
      </c>
      <c r="G113" s="1">
        <f t="shared" ca="1" si="8"/>
        <v>116.98419517158784</v>
      </c>
      <c r="H113" s="1">
        <f t="shared" ca="1" si="9"/>
        <v>88.37417969923645</v>
      </c>
      <c r="I113">
        <f t="shared" ca="1" si="10"/>
        <v>103.45199999999997</v>
      </c>
      <c r="J113">
        <f t="shared" ca="1" si="11"/>
        <v>1.2673827154290924</v>
      </c>
      <c r="K113">
        <f t="shared" ca="1" si="12"/>
        <v>105.98676543085816</v>
      </c>
      <c r="L113">
        <f t="shared" ca="1" si="13"/>
        <v>100.91723456914178</v>
      </c>
    </row>
    <row r="114" spans="1:12" x14ac:dyDescent="0.25">
      <c r="A114" vm="336">
        <f ca="1"/>
        <v>45824</v>
      </c>
      <c r="B114" vm="337">
        <f ca="1"/>
        <v>101.63</v>
      </c>
      <c r="C114" s="1" vm="338">
        <f ca="1"/>
        <v>2737989</v>
      </c>
      <c r="D114" s="2">
        <f t="shared" ca="1" si="7"/>
        <v>278261822.06999999</v>
      </c>
      <c r="E114" s="1">
        <f ca="1">SUM($D$2:D114)/SUM($C$2:C114)</f>
        <v>102.67018877453991</v>
      </c>
      <c r="F114" s="1">
        <f ca="1">_xlfn.STDEV.S($B$2:B114)</f>
        <v>7.1207066499977634</v>
      </c>
      <c r="G114" s="1">
        <f t="shared" ca="1" si="8"/>
        <v>116.91160207453544</v>
      </c>
      <c r="H114" s="1">
        <f t="shared" ca="1" si="9"/>
        <v>88.428775474544381</v>
      </c>
      <c r="I114">
        <f t="shared" ca="1" si="10"/>
        <v>103.31899999999999</v>
      </c>
      <c r="J114">
        <f t="shared" ca="1" si="11"/>
        <v>1.3135444215436411</v>
      </c>
      <c r="K114">
        <f t="shared" ca="1" si="12"/>
        <v>105.94608884308727</v>
      </c>
      <c r="L114">
        <f t="shared" ca="1" si="13"/>
        <v>100.69191115691271</v>
      </c>
    </row>
    <row r="115" spans="1:12" x14ac:dyDescent="0.25">
      <c r="A115" vm="339">
        <f ca="1"/>
        <v>45825</v>
      </c>
      <c r="B115" vm="340">
        <f ca="1"/>
        <v>101.35</v>
      </c>
      <c r="C115" s="1" vm="341">
        <f ca="1"/>
        <v>2844894</v>
      </c>
      <c r="D115" s="2">
        <f t="shared" ca="1" si="7"/>
        <v>288330006.89999998</v>
      </c>
      <c r="E115" s="1">
        <f ca="1">SUM($D$2:D115)/SUM($C$2:C115)</f>
        <v>102.65852760569447</v>
      </c>
      <c r="F115" s="1">
        <f ca="1">_xlfn.STDEV.S($B$2:B115)</f>
        <v>7.0895756046683323</v>
      </c>
      <c r="G115" s="1">
        <f t="shared" ca="1" si="8"/>
        <v>116.83767881503114</v>
      </c>
      <c r="H115" s="1">
        <f t="shared" ca="1" si="9"/>
        <v>88.479376396357807</v>
      </c>
      <c r="I115">
        <f t="shared" ca="1" si="10"/>
        <v>103.11749999999999</v>
      </c>
      <c r="J115">
        <f t="shared" ca="1" si="11"/>
        <v>1.289630199953296</v>
      </c>
      <c r="K115">
        <f t="shared" ca="1" si="12"/>
        <v>105.69676039990658</v>
      </c>
      <c r="L115">
        <f t="shared" ca="1" si="13"/>
        <v>100.53823960009341</v>
      </c>
    </row>
    <row r="116" spans="1:12" x14ac:dyDescent="0.25">
      <c r="A116" vm="342">
        <f ca="1"/>
        <v>45826</v>
      </c>
      <c r="B116" vm="343">
        <f ca="1"/>
        <v>100.73</v>
      </c>
      <c r="C116" s="1" vm="344">
        <f ca="1"/>
        <v>2620595</v>
      </c>
      <c r="D116" s="2">
        <f t="shared" ca="1" si="7"/>
        <v>263972534.35000002</v>
      </c>
      <c r="E116" s="1">
        <f ca="1">SUM($D$2:D116)/SUM($C$2:C116)</f>
        <v>102.64296270444225</v>
      </c>
      <c r="F116" s="1">
        <f ca="1">_xlfn.STDEV.S($B$2:B116)</f>
        <v>7.0597291691699455</v>
      </c>
      <c r="G116" s="1">
        <f t="shared" ca="1" si="8"/>
        <v>116.76242104278215</v>
      </c>
      <c r="H116" s="1">
        <f t="shared" ca="1" si="9"/>
        <v>88.523504366102358</v>
      </c>
      <c r="I116">
        <f t="shared" ca="1" si="10"/>
        <v>102.8685</v>
      </c>
      <c r="J116">
        <f t="shared" ca="1" si="11"/>
        <v>1.2426384281672176</v>
      </c>
      <c r="K116">
        <f t="shared" ca="1" si="12"/>
        <v>105.35377685633443</v>
      </c>
      <c r="L116">
        <f t="shared" ca="1" si="13"/>
        <v>100.38322314366556</v>
      </c>
    </row>
    <row r="117" spans="1:12" x14ac:dyDescent="0.25">
      <c r="A117" vm="345">
        <f ca="1"/>
        <v>45828</v>
      </c>
      <c r="B117" vm="106">
        <f ca="1"/>
        <v>100.97</v>
      </c>
      <c r="C117" s="1" vm="346">
        <f ca="1"/>
        <v>7504224</v>
      </c>
      <c r="D117" s="2">
        <f t="shared" ca="1" si="7"/>
        <v>757701497.27999997</v>
      </c>
      <c r="E117" s="1">
        <f ca="1">SUM($D$2:D117)/SUM($C$2:C117)</f>
        <v>102.60517158790189</v>
      </c>
      <c r="F117" s="1">
        <f ca="1">_xlfn.STDEV.S($B$2:B117)</f>
        <v>7.0298645393975283</v>
      </c>
      <c r="G117" s="1">
        <f t="shared" ca="1" si="8"/>
        <v>116.66490066669695</v>
      </c>
      <c r="H117" s="1">
        <f t="shared" ca="1" si="9"/>
        <v>88.545442509106834</v>
      </c>
      <c r="I117">
        <f t="shared" ca="1" si="10"/>
        <v>102.65599999999999</v>
      </c>
      <c r="J117">
        <f t="shared" ca="1" si="11"/>
        <v>1.1812232731590713</v>
      </c>
      <c r="K117">
        <f t="shared" ca="1" si="12"/>
        <v>105.01844654631813</v>
      </c>
      <c r="L117">
        <f t="shared" ca="1" si="13"/>
        <v>100.29355345368185</v>
      </c>
    </row>
    <row r="118" spans="1:12" x14ac:dyDescent="0.25">
      <c r="A118" vm="347">
        <f ca="1"/>
        <v>45831</v>
      </c>
      <c r="B118" vm="348">
        <f ca="1"/>
        <v>101.15</v>
      </c>
      <c r="C118" s="1" vm="349">
        <f ca="1"/>
        <v>3957784</v>
      </c>
      <c r="D118" s="2">
        <f t="shared" ca="1" si="7"/>
        <v>400329851.60000002</v>
      </c>
      <c r="E118" s="1">
        <f ca="1">SUM($D$2:D118)/SUM($C$2:C118)</f>
        <v>102.5880390990599</v>
      </c>
      <c r="F118" s="1">
        <f ca="1">_xlfn.STDEV.S($B$2:B118)</f>
        <v>7.0001317058469867</v>
      </c>
      <c r="G118" s="1">
        <f t="shared" ca="1" si="8"/>
        <v>116.58830251075388</v>
      </c>
      <c r="H118" s="1">
        <f t="shared" ca="1" si="9"/>
        <v>88.587775687365919</v>
      </c>
      <c r="I118">
        <f t="shared" ca="1" si="10"/>
        <v>102.54249999999999</v>
      </c>
      <c r="J118">
        <f t="shared" ca="1" si="11"/>
        <v>1.2125912879362708</v>
      </c>
      <c r="K118">
        <f t="shared" ca="1" si="12"/>
        <v>104.96768257587253</v>
      </c>
      <c r="L118">
        <f t="shared" ca="1" si="13"/>
        <v>100.11731742412745</v>
      </c>
    </row>
    <row r="119" spans="1:12" x14ac:dyDescent="0.25">
      <c r="A119" vm="350">
        <f ca="1"/>
        <v>45832</v>
      </c>
      <c r="B119" vm="351">
        <f ca="1"/>
        <v>100.19</v>
      </c>
      <c r="C119" s="1" vm="352">
        <f ca="1"/>
        <v>2952898</v>
      </c>
      <c r="D119" s="2">
        <f t="shared" ca="1" si="7"/>
        <v>295850850.62</v>
      </c>
      <c r="E119" s="1">
        <f ca="1">SUM($D$2:D119)/SUM($C$2:C119)</f>
        <v>102.56715765191896</v>
      </c>
      <c r="F119" s="1">
        <f ca="1">_xlfn.STDEV.S($B$2:B119)</f>
        <v>6.9725119050225794</v>
      </c>
      <c r="G119" s="1">
        <f t="shared" ca="1" si="8"/>
        <v>116.51218146196412</v>
      </c>
      <c r="H119" s="1">
        <f t="shared" ca="1" si="9"/>
        <v>88.622133841873804</v>
      </c>
      <c r="I119">
        <f t="shared" ca="1" si="10"/>
        <v>102.34700000000001</v>
      </c>
      <c r="J119">
        <f t="shared" ca="1" si="11"/>
        <v>1.2624374919387609</v>
      </c>
      <c r="K119">
        <f t="shared" ca="1" si="12"/>
        <v>104.87187498387753</v>
      </c>
      <c r="L119">
        <f t="shared" ca="1" si="13"/>
        <v>99.822125016122484</v>
      </c>
    </row>
    <row r="120" spans="1:12" x14ac:dyDescent="0.25">
      <c r="A120" vm="353">
        <f ca="1"/>
        <v>45833</v>
      </c>
      <c r="B120" vm="354">
        <f ca="1"/>
        <v>98.05</v>
      </c>
      <c r="C120" s="1" vm="355">
        <f ca="1"/>
        <v>4397192</v>
      </c>
      <c r="D120" s="2">
        <f t="shared" ca="1" si="7"/>
        <v>431144675.59999996</v>
      </c>
      <c r="E120" s="1">
        <f ca="1">SUM($D$2:D120)/SUM($C$2:C120)</f>
        <v>102.50933455176872</v>
      </c>
      <c r="F120" s="1">
        <f ca="1">_xlfn.STDEV.S($B$2:B120)</f>
        <v>6.9530381823931355</v>
      </c>
      <c r="G120" s="1">
        <f t="shared" ca="1" si="8"/>
        <v>116.41541091655499</v>
      </c>
      <c r="H120" s="1">
        <f t="shared" ca="1" si="9"/>
        <v>88.603258186982444</v>
      </c>
      <c r="I120">
        <f t="shared" ca="1" si="10"/>
        <v>102.051</v>
      </c>
      <c r="J120">
        <f t="shared" ca="1" si="11"/>
        <v>1.527967001572591</v>
      </c>
      <c r="K120">
        <f t="shared" ca="1" si="12"/>
        <v>105.10693400314518</v>
      </c>
      <c r="L120">
        <f t="shared" ca="1" si="13"/>
        <v>98.995065996854819</v>
      </c>
    </row>
    <row r="121" spans="1:12" x14ac:dyDescent="0.25">
      <c r="A121" vm="356">
        <f ca="1"/>
        <v>45834</v>
      </c>
      <c r="B121" vm="357">
        <f ca="1"/>
        <v>98.41</v>
      </c>
      <c r="C121" s="1" vm="358">
        <f ca="1"/>
        <v>2655622</v>
      </c>
      <c r="D121" s="2">
        <f t="shared" ca="1" si="7"/>
        <v>261339761.01999998</v>
      </c>
      <c r="E121" s="1">
        <f ca="1">SUM($D$2:D121)/SUM($C$2:C121)</f>
        <v>102.47788635382409</v>
      </c>
      <c r="F121" s="1">
        <f ca="1">_xlfn.STDEV.S($B$2:B121)</f>
        <v>6.9319920055685378</v>
      </c>
      <c r="G121" s="1">
        <f t="shared" ca="1" si="8"/>
        <v>116.34187036496117</v>
      </c>
      <c r="H121" s="1">
        <f t="shared" ca="1" si="9"/>
        <v>88.613902342687012</v>
      </c>
      <c r="I121">
        <f t="shared" ca="1" si="10"/>
        <v>101.86600000000001</v>
      </c>
      <c r="J121">
        <f t="shared" ca="1" si="11"/>
        <v>1.7309547107091838</v>
      </c>
      <c r="K121">
        <f t="shared" ca="1" si="12"/>
        <v>105.32790942141838</v>
      </c>
      <c r="L121">
        <f t="shared" ca="1" si="13"/>
        <v>98.404090578581645</v>
      </c>
    </row>
    <row r="122" spans="1:12" x14ac:dyDescent="0.25">
      <c r="A122" vm="359">
        <f ca="1"/>
        <v>45835</v>
      </c>
      <c r="B122" vm="360">
        <f ca="1"/>
        <v>98.15</v>
      </c>
      <c r="C122" s="1" vm="361">
        <f ca="1"/>
        <v>2880053</v>
      </c>
      <c r="D122" s="2">
        <f t="shared" ca="1" si="7"/>
        <v>282677201.94999999</v>
      </c>
      <c r="E122" s="1">
        <f ca="1">SUM($D$2:D122)/SUM($C$2:C122)</f>
        <v>102.442176000654</v>
      </c>
      <c r="F122" s="1">
        <f ca="1">_xlfn.STDEV.S($B$2:B122)</f>
        <v>6.9122797336119479</v>
      </c>
      <c r="G122" s="1">
        <f t="shared" ca="1" si="8"/>
        <v>116.26673546787789</v>
      </c>
      <c r="H122" s="1">
        <f t="shared" ca="1" si="9"/>
        <v>88.617616533430109</v>
      </c>
      <c r="I122">
        <f t="shared" ca="1" si="10"/>
        <v>101.60450000000002</v>
      </c>
      <c r="J122">
        <f t="shared" ca="1" si="11"/>
        <v>1.8789231938589317</v>
      </c>
      <c r="K122">
        <f t="shared" ca="1" si="12"/>
        <v>105.36234638771788</v>
      </c>
      <c r="L122">
        <f t="shared" ca="1" si="13"/>
        <v>97.846653612282154</v>
      </c>
    </row>
    <row r="123" spans="1:12" x14ac:dyDescent="0.25">
      <c r="A123" vm="362">
        <f ca="1"/>
        <v>45838</v>
      </c>
      <c r="B123" vm="363">
        <f ca="1"/>
        <v>100.35</v>
      </c>
      <c r="C123" s="1" vm="364">
        <f ca="1"/>
        <v>2930483</v>
      </c>
      <c r="D123" s="2">
        <f t="shared" ca="1" si="7"/>
        <v>294073969.05000001</v>
      </c>
      <c r="E123" s="1">
        <f ca="1">SUM($D$2:D123)/SUM($C$2:C123)</f>
        <v>102.42475695916221</v>
      </c>
      <c r="F123" s="1">
        <f ca="1">_xlfn.STDEV.S($B$2:B123)</f>
        <v>6.8853694018962424</v>
      </c>
      <c r="G123" s="1">
        <f t="shared" ca="1" si="8"/>
        <v>116.19549576295469</v>
      </c>
      <c r="H123" s="1">
        <f t="shared" ca="1" si="9"/>
        <v>88.654018155369727</v>
      </c>
      <c r="I123">
        <f t="shared" ca="1" si="10"/>
        <v>101.39750000000001</v>
      </c>
      <c r="J123">
        <f t="shared" ca="1" si="11"/>
        <v>1.7691415551349365</v>
      </c>
      <c r="K123">
        <f t="shared" ca="1" si="12"/>
        <v>104.93578311026988</v>
      </c>
      <c r="L123">
        <f t="shared" ca="1" si="13"/>
        <v>97.859216889730135</v>
      </c>
    </row>
    <row r="124" spans="1:12" x14ac:dyDescent="0.25">
      <c r="A124" vm="365">
        <f ca="1"/>
        <v>45839</v>
      </c>
      <c r="B124" vm="366">
        <f ca="1"/>
        <v>100.78</v>
      </c>
      <c r="C124" s="1" vm="367">
        <f ca="1"/>
        <v>2749128</v>
      </c>
      <c r="D124" s="2">
        <f t="shared" ca="1" si="7"/>
        <v>277057119.83999997</v>
      </c>
      <c r="E124" s="1">
        <f ca="1">SUM($D$2:D124)/SUM($C$2:C124)</f>
        <v>102.41201005785254</v>
      </c>
      <c r="F124" s="1">
        <f ca="1">_xlfn.STDEV.S($B$2:B124)</f>
        <v>6.8580217518169206</v>
      </c>
      <c r="G124" s="1">
        <f t="shared" ca="1" si="8"/>
        <v>116.12805356148638</v>
      </c>
      <c r="H124" s="1">
        <f t="shared" ca="1" si="9"/>
        <v>88.6959665542187</v>
      </c>
      <c r="I124">
        <f t="shared" ca="1" si="10"/>
        <v>101.24350000000001</v>
      </c>
      <c r="J124">
        <f t="shared" ca="1" si="11"/>
        <v>1.6750562441460375</v>
      </c>
      <c r="K124">
        <f t="shared" ca="1" si="12"/>
        <v>104.59361248829208</v>
      </c>
      <c r="L124">
        <f t="shared" ca="1" si="13"/>
        <v>97.893387511707942</v>
      </c>
    </row>
    <row r="125" spans="1:12" x14ac:dyDescent="0.25">
      <c r="A125" vm="368">
        <f ca="1"/>
        <v>45840</v>
      </c>
      <c r="B125" vm="112">
        <f ca="1"/>
        <v>99.92</v>
      </c>
      <c r="C125" s="1" vm="369">
        <f ca="1"/>
        <v>2485839</v>
      </c>
      <c r="D125" s="2">
        <f t="shared" ca="1" si="7"/>
        <v>248385032.88</v>
      </c>
      <c r="E125" s="1">
        <f ca="1">SUM($D$2:D125)/SUM($C$2:C125)</f>
        <v>102.39466810949428</v>
      </c>
      <c r="F125" s="1">
        <f ca="1">_xlfn.STDEV.S($B$2:B125)</f>
        <v>6.8326941779850987</v>
      </c>
      <c r="G125" s="1">
        <f t="shared" ca="1" si="8"/>
        <v>116.06005646546447</v>
      </c>
      <c r="H125" s="1">
        <f t="shared" ca="1" si="9"/>
        <v>88.729279753524082</v>
      </c>
      <c r="I125">
        <f t="shared" ca="1" si="10"/>
        <v>101.07750000000001</v>
      </c>
      <c r="J125">
        <f t="shared" ca="1" si="11"/>
        <v>1.6307081929414333</v>
      </c>
      <c r="K125">
        <f t="shared" ca="1" si="12"/>
        <v>104.33891638588288</v>
      </c>
      <c r="L125">
        <f t="shared" ca="1" si="13"/>
        <v>97.816083614117147</v>
      </c>
    </row>
    <row r="126" spans="1:12" x14ac:dyDescent="0.25">
      <c r="A126" vm="370">
        <f ca="1"/>
        <v>45841</v>
      </c>
      <c r="B126" vm="371">
        <f ca="1"/>
        <v>100.31</v>
      </c>
      <c r="C126" s="1" vm="372">
        <f ca="1"/>
        <v>1316576</v>
      </c>
      <c r="D126" s="2">
        <f t="shared" ca="1" si="7"/>
        <v>132065738.56</v>
      </c>
      <c r="E126" s="1">
        <f ca="1">SUM($D$2:D126)/SUM($C$2:C126)</f>
        <v>102.38701284471124</v>
      </c>
      <c r="F126" s="1">
        <f ca="1">_xlfn.STDEV.S($B$2:B126)</f>
        <v>6.806775440454472</v>
      </c>
      <c r="G126" s="1">
        <f t="shared" ca="1" si="8"/>
        <v>116.00056372562018</v>
      </c>
      <c r="H126" s="1">
        <f t="shared" ca="1" si="9"/>
        <v>88.773461963802291</v>
      </c>
      <c r="I126">
        <f t="shared" ca="1" si="10"/>
        <v>100.98250000000002</v>
      </c>
      <c r="J126">
        <f t="shared" ca="1" si="11"/>
        <v>1.6165423627379256</v>
      </c>
      <c r="K126">
        <f t="shared" ca="1" si="12"/>
        <v>104.21558472547586</v>
      </c>
      <c r="L126">
        <f t="shared" ca="1" si="13"/>
        <v>97.749415274524168</v>
      </c>
    </row>
    <row r="127" spans="1:12" x14ac:dyDescent="0.25">
      <c r="A127" vm="373">
        <f ca="1"/>
        <v>45845</v>
      </c>
      <c r="B127" vm="374">
        <f ca="1"/>
        <v>99.71</v>
      </c>
      <c r="C127" s="1" vm="375">
        <f ca="1"/>
        <v>1800719</v>
      </c>
      <c r="D127" s="2">
        <f t="shared" ca="1" si="7"/>
        <v>179549691.48999998</v>
      </c>
      <c r="E127" s="1">
        <f ca="1">SUM($D$2:D127)/SUM($C$2:C127)</f>
        <v>102.37363463619928</v>
      </c>
      <c r="F127" s="1">
        <f ca="1">_xlfn.STDEV.S($B$2:B127)</f>
        <v>6.7825391883327741</v>
      </c>
      <c r="G127" s="1">
        <f t="shared" ca="1" si="8"/>
        <v>115.93871301286484</v>
      </c>
      <c r="H127" s="1">
        <f t="shared" ca="1" si="9"/>
        <v>88.808556259533731</v>
      </c>
      <c r="I127">
        <f t="shared" ca="1" si="10"/>
        <v>100.8545</v>
      </c>
      <c r="J127">
        <f t="shared" ca="1" si="11"/>
        <v>1.6105718990797222</v>
      </c>
      <c r="K127">
        <f t="shared" ca="1" si="12"/>
        <v>104.07564379815945</v>
      </c>
      <c r="L127">
        <f t="shared" ca="1" si="13"/>
        <v>97.633356201840556</v>
      </c>
    </row>
    <row r="128" spans="1:12" x14ac:dyDescent="0.25">
      <c r="A128" vm="376">
        <f ca="1"/>
        <v>45846</v>
      </c>
      <c r="B128" vm="377">
        <f ca="1"/>
        <v>99.31</v>
      </c>
      <c r="C128" s="1" vm="378">
        <f ca="1"/>
        <v>3451218</v>
      </c>
      <c r="D128" s="2">
        <f t="shared" ca="1" si="7"/>
        <v>342740459.57999998</v>
      </c>
      <c r="E128" s="1">
        <f ca="1">SUM($D$2:D128)/SUM($C$2:C128)</f>
        <v>102.34456958766853</v>
      </c>
      <c r="F128" s="1">
        <f ca="1">_xlfn.STDEV.S($B$2:B128)</f>
        <v>6.7597028338677516</v>
      </c>
      <c r="G128" s="1">
        <f t="shared" ca="1" si="8"/>
        <v>115.86397525540403</v>
      </c>
      <c r="H128" s="1">
        <f t="shared" ca="1" si="9"/>
        <v>88.825163919933033</v>
      </c>
      <c r="I128">
        <f t="shared" ca="1" si="10"/>
        <v>100.73949999999999</v>
      </c>
      <c r="J128">
        <f t="shared" ca="1" si="11"/>
        <v>1.6357051432912577</v>
      </c>
      <c r="K128">
        <f t="shared" ca="1" si="12"/>
        <v>104.01091028658252</v>
      </c>
      <c r="L128">
        <f t="shared" ca="1" si="13"/>
        <v>97.46808971341747</v>
      </c>
    </row>
    <row r="129" spans="1:12" x14ac:dyDescent="0.25">
      <c r="A129" vm="379">
        <f ca="1"/>
        <v>45847</v>
      </c>
      <c r="B129" vm="380">
        <f ca="1"/>
        <v>99.97</v>
      </c>
      <c r="C129" s="1" vm="381">
        <f ca="1"/>
        <v>2782533</v>
      </c>
      <c r="D129" s="2">
        <f t="shared" ca="1" si="7"/>
        <v>278169824.00999999</v>
      </c>
      <c r="E129" s="1">
        <f ca="1">SUM($D$2:D129)/SUM($C$2:C129)</f>
        <v>102.3265444887991</v>
      </c>
      <c r="F129" s="1">
        <f ca="1">_xlfn.STDEV.S($B$2:B129)</f>
        <v>6.7353163835425969</v>
      </c>
      <c r="G129" s="1">
        <f t="shared" ca="1" si="8"/>
        <v>115.79717725588429</v>
      </c>
      <c r="H129" s="1">
        <f t="shared" ca="1" si="9"/>
        <v>88.855911721713909</v>
      </c>
      <c r="I129">
        <f t="shared" ca="1" si="10"/>
        <v>100.6825</v>
      </c>
      <c r="J129">
        <f t="shared" ca="1" si="11"/>
        <v>1.6419656865444765</v>
      </c>
      <c r="K129">
        <f t="shared" ca="1" si="12"/>
        <v>103.96643137308895</v>
      </c>
      <c r="L129">
        <f t="shared" ca="1" si="13"/>
        <v>97.398568626911057</v>
      </c>
    </row>
    <row r="130" spans="1:12" x14ac:dyDescent="0.25">
      <c r="A130" vm="382">
        <f ca="1"/>
        <v>45848</v>
      </c>
      <c r="B130" vm="383">
        <f ca="1"/>
        <v>101.07</v>
      </c>
      <c r="C130" s="1" vm="384">
        <f ca="1"/>
        <v>1851807</v>
      </c>
      <c r="D130" s="2">
        <f t="shared" ca="1" si="7"/>
        <v>187162133.48999998</v>
      </c>
      <c r="E130" s="1">
        <f ca="1">SUM($D$2:D130)/SUM($C$2:C130)</f>
        <v>102.32022855504788</v>
      </c>
      <c r="F130" s="1">
        <f ca="1">_xlfn.STDEV.S($B$2:B130)</f>
        <v>6.7093889438606862</v>
      </c>
      <c r="G130" s="1">
        <f t="shared" ca="1" si="8"/>
        <v>115.73900644276925</v>
      </c>
      <c r="H130" s="1">
        <f t="shared" ca="1" si="9"/>
        <v>88.9014506673265</v>
      </c>
      <c r="I130">
        <f t="shared" ca="1" si="10"/>
        <v>100.616</v>
      </c>
      <c r="J130">
        <f t="shared" ca="1" si="11"/>
        <v>1.5950066820516684</v>
      </c>
      <c r="K130">
        <f t="shared" ca="1" si="12"/>
        <v>103.80601336410334</v>
      </c>
      <c r="L130">
        <f t="shared" ca="1" si="13"/>
        <v>97.425986635896663</v>
      </c>
    </row>
    <row r="131" spans="1:12" x14ac:dyDescent="0.25">
      <c r="A131" vm="385">
        <f ca="1"/>
        <v>45849</v>
      </c>
      <c r="B131" vm="386">
        <f ca="1"/>
        <v>100.59</v>
      </c>
      <c r="C131" s="1" vm="387">
        <f ca="1"/>
        <v>1853687</v>
      </c>
      <c r="D131" s="2">
        <f t="shared" ref="D131:D194" ca="1" si="14">B131*C131</f>
        <v>186462375.33000001</v>
      </c>
      <c r="E131" s="1">
        <f ca="1">SUM($D$2:D131)/SUM($C$2:C131)</f>
        <v>102.31156643564506</v>
      </c>
      <c r="F131" s="1">
        <f ca="1">_xlfn.STDEV.S($B$2:B131)</f>
        <v>6.684366225946631</v>
      </c>
      <c r="G131" s="1">
        <f t="shared" ref="G131:G194" ca="1" si="15">IF(E131="","", E131 + (F131*2))</f>
        <v>115.68029888753833</v>
      </c>
      <c r="H131" s="1">
        <f t="shared" ref="H131:H194" ca="1" si="16">IF(E131="","", E131 - (F131*2))</f>
        <v>88.942833983751797</v>
      </c>
      <c r="I131">
        <f t="shared" ca="1" si="10"/>
        <v>100.51799999999999</v>
      </c>
      <c r="J131">
        <f t="shared" ca="1" si="11"/>
        <v>1.528761452597287</v>
      </c>
      <c r="K131">
        <f t="shared" ca="1" si="12"/>
        <v>103.57552290519456</v>
      </c>
      <c r="L131">
        <f t="shared" ca="1" si="13"/>
        <v>97.460477094805412</v>
      </c>
    </row>
    <row r="132" spans="1:12" x14ac:dyDescent="0.25">
      <c r="A132" vm="388">
        <f ca="1"/>
        <v>45852</v>
      </c>
      <c r="B132" vm="389">
        <f ca="1"/>
        <v>101.01</v>
      </c>
      <c r="C132" s="1" vm="390">
        <f ca="1"/>
        <v>1409864</v>
      </c>
      <c r="D132" s="2">
        <f t="shared" ca="1" si="14"/>
        <v>142410362.64000002</v>
      </c>
      <c r="E132" s="1">
        <f ca="1">SUM($D$2:D132)/SUM($C$2:C132)</f>
        <v>102.30662927418361</v>
      </c>
      <c r="F132" s="1">
        <f ca="1">_xlfn.STDEV.S($B$2:B132)</f>
        <v>6.6590818324629852</v>
      </c>
      <c r="G132" s="1">
        <f t="shared" ca="1" si="15"/>
        <v>115.62479293910958</v>
      </c>
      <c r="H132" s="1">
        <f t="shared" ca="1" si="16"/>
        <v>88.988465609257631</v>
      </c>
      <c r="I132">
        <f t="shared" ca="1" si="10"/>
        <v>100.38049999999998</v>
      </c>
      <c r="J132">
        <f t="shared" ca="1" si="11"/>
        <v>1.3329526978617208</v>
      </c>
      <c r="K132">
        <f t="shared" ca="1" si="12"/>
        <v>103.04640539572343</v>
      </c>
      <c r="L132">
        <f t="shared" ca="1" si="13"/>
        <v>97.714594604276542</v>
      </c>
    </row>
    <row r="133" spans="1:12" x14ac:dyDescent="0.25">
      <c r="A133" vm="391">
        <f ca="1"/>
        <v>45853</v>
      </c>
      <c r="B133" vm="392">
        <f ca="1"/>
        <v>99.95</v>
      </c>
      <c r="C133" s="1" vm="393">
        <f ca="1"/>
        <v>1731322</v>
      </c>
      <c r="D133" s="2">
        <f t="shared" ca="1" si="14"/>
        <v>173045633.90000001</v>
      </c>
      <c r="E133" s="1">
        <f ca="1">SUM($D$2:D133)/SUM($C$2:C133)</f>
        <v>102.29570268584568</v>
      </c>
      <c r="F133" s="1">
        <f ca="1">_xlfn.STDEV.S($B$2:B133)</f>
        <v>6.6358161920606102</v>
      </c>
      <c r="G133" s="1">
        <f t="shared" ca="1" si="15"/>
        <v>115.5673350699669</v>
      </c>
      <c r="H133" s="1">
        <f t="shared" ca="1" si="16"/>
        <v>89.024070301724464</v>
      </c>
      <c r="I133">
        <f t="shared" ca="1" si="10"/>
        <v>100.17999999999999</v>
      </c>
      <c r="J133">
        <f t="shared" ca="1" si="11"/>
        <v>1.0343317191612937</v>
      </c>
      <c r="K133">
        <f t="shared" ca="1" si="12"/>
        <v>102.24866343832258</v>
      </c>
      <c r="L133">
        <f t="shared" ca="1" si="13"/>
        <v>98.111336561677405</v>
      </c>
    </row>
    <row r="134" spans="1:12" x14ac:dyDescent="0.25">
      <c r="A134" vm="394">
        <f ca="1"/>
        <v>45854</v>
      </c>
      <c r="B134" vm="395">
        <f ca="1"/>
        <v>100.46</v>
      </c>
      <c r="C134" s="1" vm="396">
        <f ca="1"/>
        <v>1865373</v>
      </c>
      <c r="D134" s="2">
        <f t="shared" ca="1" si="14"/>
        <v>187395371.57999998</v>
      </c>
      <c r="E134" s="1">
        <f ca="1">SUM($D$2:D134)/SUM($C$2:C134)</f>
        <v>102.28657796961934</v>
      </c>
      <c r="F134" s="1">
        <f ca="1">_xlfn.STDEV.S($B$2:B134)</f>
        <v>6.6118083967768779</v>
      </c>
      <c r="G134" s="1">
        <f t="shared" ca="1" si="15"/>
        <v>115.5101947631731</v>
      </c>
      <c r="H134" s="1">
        <f t="shared" ca="1" si="16"/>
        <v>89.062961176065585</v>
      </c>
      <c r="I134">
        <f t="shared" ca="1" si="10"/>
        <v>100.1215</v>
      </c>
      <c r="J134">
        <f t="shared" ca="1" si="11"/>
        <v>0.97964695574208605</v>
      </c>
      <c r="K134">
        <f t="shared" ca="1" si="12"/>
        <v>102.08079391148416</v>
      </c>
      <c r="L134">
        <f t="shared" ca="1" si="13"/>
        <v>98.162206088515831</v>
      </c>
    </row>
    <row r="135" spans="1:12" x14ac:dyDescent="0.25">
      <c r="A135" vm="397">
        <f ca="1"/>
        <v>45855</v>
      </c>
      <c r="B135" vm="398">
        <f ca="1"/>
        <v>100.6</v>
      </c>
      <c r="C135" s="1" vm="399">
        <f ca="1"/>
        <v>2131709</v>
      </c>
      <c r="D135" s="2">
        <f t="shared" ca="1" si="14"/>
        <v>214449925.39999998</v>
      </c>
      <c r="E135" s="1">
        <f ca="1">SUM($D$2:D135)/SUM($C$2:C135)</f>
        <v>102.27705163809452</v>
      </c>
      <c r="F135" s="1">
        <f ca="1">_xlfn.STDEV.S($B$2:B135)</f>
        <v>6.5878434052184289</v>
      </c>
      <c r="G135" s="1">
        <f t="shared" ca="1" si="15"/>
        <v>115.45273844853138</v>
      </c>
      <c r="H135" s="1">
        <f t="shared" ca="1" si="16"/>
        <v>89.101364827657662</v>
      </c>
      <c r="I135">
        <f t="shared" ca="1" si="10"/>
        <v>100.08399999999999</v>
      </c>
      <c r="J135">
        <f t="shared" ca="1" si="11"/>
        <v>0.94384655309508525</v>
      </c>
      <c r="K135">
        <f t="shared" ca="1" si="12"/>
        <v>101.97169310619016</v>
      </c>
      <c r="L135">
        <f t="shared" ca="1" si="13"/>
        <v>98.196306893809819</v>
      </c>
    </row>
    <row r="136" spans="1:12" x14ac:dyDescent="0.25">
      <c r="A136" vm="400">
        <f ca="1"/>
        <v>45856</v>
      </c>
      <c r="B136" vm="401">
        <f ca="1"/>
        <v>101.08</v>
      </c>
      <c r="C136" s="1" vm="402">
        <f ca="1"/>
        <v>1813453</v>
      </c>
      <c r="D136" s="2">
        <f t="shared" ca="1" si="14"/>
        <v>183303829.24000001</v>
      </c>
      <c r="E136" s="1">
        <f ca="1">SUM($D$2:D136)/SUM($C$2:C136)</f>
        <v>102.27132725446585</v>
      </c>
      <c r="F136" s="1">
        <f ca="1">_xlfn.STDEV.S($B$2:B136)</f>
        <v>6.5635747298123182</v>
      </c>
      <c r="G136" s="1">
        <f t="shared" ca="1" si="15"/>
        <v>115.39847671409048</v>
      </c>
      <c r="H136" s="1">
        <f t="shared" ca="1" si="16"/>
        <v>89.144177794841212</v>
      </c>
      <c r="I136">
        <f t="shared" ca="1" si="10"/>
        <v>100.10149999999999</v>
      </c>
      <c r="J136">
        <f t="shared" ca="1" si="11"/>
        <v>0.95956829657376308</v>
      </c>
      <c r="K136">
        <f t="shared" ca="1" si="12"/>
        <v>102.02063659314751</v>
      </c>
      <c r="L136">
        <f t="shared" ca="1" si="13"/>
        <v>98.18236340685246</v>
      </c>
    </row>
    <row r="137" spans="1:12" x14ac:dyDescent="0.25">
      <c r="A137" vm="403">
        <f ca="1"/>
        <v>45859</v>
      </c>
      <c r="B137" vm="404">
        <f ca="1"/>
        <v>102.07</v>
      </c>
      <c r="C137" s="1" vm="405">
        <f ca="1"/>
        <v>1667769</v>
      </c>
      <c r="D137" s="2">
        <f t="shared" ca="1" si="14"/>
        <v>170229181.82999998</v>
      </c>
      <c r="E137" s="1">
        <f ca="1">SUM($D$2:D137)/SUM($C$2:C137)</f>
        <v>102.27044571408051</v>
      </c>
      <c r="F137" s="1">
        <f ca="1">_xlfn.STDEV.S($B$2:B137)</f>
        <v>6.5392421488474941</v>
      </c>
      <c r="G137" s="1">
        <f t="shared" ca="1" si="15"/>
        <v>115.34893001177549</v>
      </c>
      <c r="H137" s="1">
        <f t="shared" ca="1" si="16"/>
        <v>89.191961416385524</v>
      </c>
      <c r="I137">
        <f t="shared" ca="1" si="10"/>
        <v>100.15649999999998</v>
      </c>
      <c r="J137">
        <f t="shared" ca="1" si="11"/>
        <v>1.0401127216240598</v>
      </c>
      <c r="K137">
        <f t="shared" ca="1" si="12"/>
        <v>102.2367254432481</v>
      </c>
      <c r="L137">
        <f t="shared" ca="1" si="13"/>
        <v>98.076274556751855</v>
      </c>
    </row>
    <row r="138" spans="1:12" x14ac:dyDescent="0.25">
      <c r="A138" vm="406">
        <f ca="1"/>
        <v>45860</v>
      </c>
      <c r="B138" vm="407">
        <f ca="1"/>
        <v>103.59</v>
      </c>
      <c r="C138" s="1" vm="408">
        <f ca="1"/>
        <v>1663862</v>
      </c>
      <c r="D138" s="2">
        <f t="shared" ca="1" si="14"/>
        <v>172359464.58000001</v>
      </c>
      <c r="E138" s="1">
        <f ca="1">SUM($D$2:D138)/SUM($C$2:C138)</f>
        <v>102.27618496583331</v>
      </c>
      <c r="F138" s="1">
        <f ca="1">_xlfn.STDEV.S($B$2:B138)</f>
        <v>6.5168076720787722</v>
      </c>
      <c r="G138" s="1">
        <f t="shared" ca="1" si="15"/>
        <v>115.30980030999085</v>
      </c>
      <c r="H138" s="1">
        <f t="shared" ca="1" si="16"/>
        <v>89.24256962167577</v>
      </c>
      <c r="I138">
        <f t="shared" ca="1" si="10"/>
        <v>100.27849999999998</v>
      </c>
      <c r="J138">
        <f t="shared" ca="1" si="11"/>
        <v>1.2785488278760249</v>
      </c>
      <c r="K138">
        <f t="shared" ca="1" si="12"/>
        <v>102.83559765575203</v>
      </c>
      <c r="L138">
        <f t="shared" ca="1" si="13"/>
        <v>97.721402344247934</v>
      </c>
    </row>
    <row r="139" spans="1:12" x14ac:dyDescent="0.25">
      <c r="A139" vm="409">
        <f ca="1"/>
        <v>45861</v>
      </c>
      <c r="B139" vm="328">
        <f ca="1"/>
        <v>102.55</v>
      </c>
      <c r="C139" s="1" vm="410">
        <f ca="1"/>
        <v>2563086</v>
      </c>
      <c r="D139" s="2">
        <f t="shared" ca="1" si="14"/>
        <v>262844469.29999998</v>
      </c>
      <c r="E139" s="1">
        <f ca="1">SUM($D$2:D139)/SUM($C$2:C139)</f>
        <v>102.27800731300265</v>
      </c>
      <c r="F139" s="1">
        <f ca="1">_xlfn.STDEV.S($B$2:B139)</f>
        <v>6.4932264998778351</v>
      </c>
      <c r="G139" s="1">
        <f t="shared" ca="1" si="15"/>
        <v>115.26446031275832</v>
      </c>
      <c r="H139" s="1">
        <f t="shared" ca="1" si="16"/>
        <v>89.291554313246976</v>
      </c>
      <c r="I139">
        <f t="shared" ca="1" si="10"/>
        <v>100.39649999999997</v>
      </c>
      <c r="J139">
        <f t="shared" ca="1" si="11"/>
        <v>1.3752024731308703</v>
      </c>
      <c r="K139">
        <f t="shared" ca="1" si="12"/>
        <v>103.14690494626171</v>
      </c>
      <c r="L139">
        <f t="shared" ca="1" si="13"/>
        <v>97.646095053738236</v>
      </c>
    </row>
    <row r="140" spans="1:12" x14ac:dyDescent="0.25">
      <c r="A140" vm="411">
        <f ca="1"/>
        <v>45862</v>
      </c>
      <c r="B140" vm="412">
        <f ca="1"/>
        <v>102.05</v>
      </c>
      <c r="C140" s="1" vm="413">
        <f ca="1"/>
        <v>2467810</v>
      </c>
      <c r="D140" s="2">
        <f t="shared" ca="1" si="14"/>
        <v>251840010.5</v>
      </c>
      <c r="E140" s="1">
        <f ca="1">SUM($D$2:D140)/SUM($C$2:C140)</f>
        <v>102.27655554551895</v>
      </c>
      <c r="F140" s="1">
        <f ca="1">_xlfn.STDEV.S($B$2:B140)</f>
        <v>6.4696717110527127</v>
      </c>
      <c r="G140" s="1">
        <f t="shared" ca="1" si="15"/>
        <v>115.21589896762437</v>
      </c>
      <c r="H140" s="1">
        <f t="shared" ca="1" si="16"/>
        <v>89.337212123413522</v>
      </c>
      <c r="I140">
        <f t="shared" ca="1" si="10"/>
        <v>100.59649999999998</v>
      </c>
      <c r="J140">
        <f t="shared" ca="1" si="11"/>
        <v>1.3050600913771218</v>
      </c>
      <c r="K140">
        <f t="shared" ca="1" si="12"/>
        <v>103.20662018275422</v>
      </c>
      <c r="L140">
        <f t="shared" ca="1" si="13"/>
        <v>97.986379817245734</v>
      </c>
    </row>
    <row r="141" spans="1:12" x14ac:dyDescent="0.25">
      <c r="A141" vm="414">
        <f ca="1"/>
        <v>45863</v>
      </c>
      <c r="B141" vm="415">
        <f ca="1"/>
        <v>102.26</v>
      </c>
      <c r="C141" s="1" vm="416">
        <f ca="1"/>
        <v>1375737</v>
      </c>
      <c r="D141" s="2">
        <f t="shared" ca="1" si="14"/>
        <v>140682865.62</v>
      </c>
      <c r="E141" s="1">
        <f ca="1">SUM($D$2:D141)/SUM($C$2:C141)</f>
        <v>102.2764969888092</v>
      </c>
      <c r="F141" s="1">
        <f ca="1">_xlfn.STDEV.S($B$2:B141)</f>
        <v>6.4464327300821029</v>
      </c>
      <c r="G141" s="1">
        <f t="shared" ca="1" si="15"/>
        <v>115.1693624489734</v>
      </c>
      <c r="H141" s="1">
        <f t="shared" ca="1" si="16"/>
        <v>89.383631528644997</v>
      </c>
      <c r="I141">
        <f t="shared" ca="1" si="10"/>
        <v>100.78899999999999</v>
      </c>
      <c r="J141">
        <f t="shared" ca="1" si="11"/>
        <v>1.2482783933756203</v>
      </c>
      <c r="K141">
        <f t="shared" ca="1" si="12"/>
        <v>103.28555678675123</v>
      </c>
      <c r="L141">
        <f t="shared" ca="1" si="13"/>
        <v>98.292443213248745</v>
      </c>
    </row>
    <row r="142" spans="1:12" x14ac:dyDescent="0.25">
      <c r="A142" vm="417">
        <f ca="1"/>
        <v>45866</v>
      </c>
      <c r="B142" vm="418">
        <f ca="1"/>
        <v>100.98</v>
      </c>
      <c r="C142" s="1" vm="419">
        <f ca="1"/>
        <v>1995248</v>
      </c>
      <c r="D142" s="2">
        <f t="shared" ca="1" si="14"/>
        <v>201480143.04000002</v>
      </c>
      <c r="E142" s="1">
        <f ca="1">SUM($D$2:D142)/SUM($C$2:C142)</f>
        <v>102.26988024941677</v>
      </c>
      <c r="F142" s="1">
        <f ca="1">_xlfn.STDEV.S($B$2:B142)</f>
        <v>6.4238298143150327</v>
      </c>
      <c r="G142" s="1">
        <f t="shared" ca="1" si="15"/>
        <v>115.11753987804684</v>
      </c>
      <c r="H142" s="1">
        <f t="shared" ca="1" si="16"/>
        <v>89.422220620786703</v>
      </c>
      <c r="I142">
        <f t="shared" ca="1" si="10"/>
        <v>100.93049999999998</v>
      </c>
      <c r="J142">
        <f t="shared" ca="1" si="11"/>
        <v>1.0828202698703537</v>
      </c>
      <c r="K142">
        <f t="shared" ca="1" si="12"/>
        <v>103.09614053974069</v>
      </c>
      <c r="L142">
        <f t="shared" ca="1" si="13"/>
        <v>98.764859460259274</v>
      </c>
    </row>
    <row r="143" spans="1:12" x14ac:dyDescent="0.25">
      <c r="A143" vm="420">
        <f ca="1"/>
        <v>45867</v>
      </c>
      <c r="B143" vm="421">
        <f ca="1"/>
        <v>102.24</v>
      </c>
      <c r="C143" s="1" vm="422">
        <f ca="1"/>
        <v>1265041</v>
      </c>
      <c r="D143" s="2">
        <f t="shared" ca="1" si="14"/>
        <v>129337791.83999999</v>
      </c>
      <c r="E143" s="1">
        <f ca="1">SUM($D$2:D143)/SUM($C$2:C143)</f>
        <v>102.26978387507252</v>
      </c>
      <c r="F143" s="1">
        <f ca="1">_xlfn.STDEV.S($B$2:B143)</f>
        <v>6.4010780326459047</v>
      </c>
      <c r="G143" s="1">
        <f t="shared" ca="1" si="15"/>
        <v>115.07193994036433</v>
      </c>
      <c r="H143" s="1">
        <f t="shared" ca="1" si="16"/>
        <v>89.467627809780709</v>
      </c>
      <c r="I143">
        <f t="shared" ca="1" si="10"/>
        <v>101.02499999999998</v>
      </c>
      <c r="J143">
        <f t="shared" ca="1" si="11"/>
        <v>1.1115825607995493</v>
      </c>
      <c r="K143">
        <f t="shared" ca="1" si="12"/>
        <v>103.24816512159907</v>
      </c>
      <c r="L143">
        <f t="shared" ca="1" si="13"/>
        <v>98.801834878400882</v>
      </c>
    </row>
    <row r="144" spans="1:12" x14ac:dyDescent="0.25">
      <c r="A144" vm="423">
        <f ca="1"/>
        <v>45868</v>
      </c>
      <c r="B144" vm="424">
        <f ca="1"/>
        <v>102.59</v>
      </c>
      <c r="C144" s="1" vm="425">
        <f ca="1"/>
        <v>1565213</v>
      </c>
      <c r="D144" s="2">
        <f t="shared" ca="1" si="14"/>
        <v>160575201.67000002</v>
      </c>
      <c r="E144" s="1">
        <f ca="1">SUM($D$2:D144)/SUM($C$2:C144)</f>
        <v>102.27105667336058</v>
      </c>
      <c r="F144" s="1">
        <f ca="1">_xlfn.STDEV.S($B$2:B144)</f>
        <v>6.3787676934891779</v>
      </c>
      <c r="G144" s="1">
        <f t="shared" ca="1" si="15"/>
        <v>115.02859206033894</v>
      </c>
      <c r="H144" s="1">
        <f t="shared" ca="1" si="16"/>
        <v>89.513521286382215</v>
      </c>
      <c r="I144">
        <f t="shared" ca="1" si="10"/>
        <v>101.11549999999998</v>
      </c>
      <c r="J144">
        <f t="shared" ca="1" si="11"/>
        <v>1.1630743063559024</v>
      </c>
      <c r="K144">
        <f t="shared" ca="1" si="12"/>
        <v>103.44164861271179</v>
      </c>
      <c r="L144">
        <f t="shared" ca="1" si="13"/>
        <v>98.789351387288178</v>
      </c>
    </row>
    <row r="145" spans="1:12" x14ac:dyDescent="0.25">
      <c r="A145" vm="426">
        <f ca="1"/>
        <v>45869</v>
      </c>
      <c r="B145" vm="427">
        <f ca="1"/>
        <v>103.5</v>
      </c>
      <c r="C145" s="1" vm="428">
        <f ca="1"/>
        <v>3483197</v>
      </c>
      <c r="D145" s="2">
        <f t="shared" ca="1" si="14"/>
        <v>360510889.5</v>
      </c>
      <c r="E145" s="1">
        <f ca="1">SUM($D$2:D145)/SUM($C$2:C145)</f>
        <v>102.28183194390171</v>
      </c>
      <c r="F145" s="1">
        <f ca="1">_xlfn.STDEV.S($B$2:B145)</f>
        <v>6.357832127838317</v>
      </c>
      <c r="G145" s="1">
        <f t="shared" ca="1" si="15"/>
        <v>114.99749619957834</v>
      </c>
      <c r="H145" s="1">
        <f t="shared" ca="1" si="16"/>
        <v>89.566167688225079</v>
      </c>
      <c r="I145">
        <f t="shared" ca="1" si="10"/>
        <v>101.29449999999999</v>
      </c>
      <c r="J145">
        <f t="shared" ca="1" si="11"/>
        <v>1.242194471595796</v>
      </c>
      <c r="K145">
        <f t="shared" ca="1" si="12"/>
        <v>103.77888894319157</v>
      </c>
      <c r="L145">
        <f t="shared" ca="1" si="13"/>
        <v>98.810111056808395</v>
      </c>
    </row>
    <row r="146" spans="1:12" x14ac:dyDescent="0.25">
      <c r="A146" vm="429">
        <f ca="1"/>
        <v>45870</v>
      </c>
      <c r="B146" vm="430">
        <f ca="1"/>
        <v>104.44</v>
      </c>
      <c r="C146" s="1" vm="431">
        <f ca="1"/>
        <v>2272580</v>
      </c>
      <c r="D146" s="2">
        <f t="shared" ca="1" si="14"/>
        <v>237348255.19999999</v>
      </c>
      <c r="E146" s="1">
        <f ca="1">SUM($D$2:D146)/SUM($C$2:C146)</f>
        <v>102.29410761963264</v>
      </c>
      <c r="F146" s="1">
        <f ca="1">_xlfn.STDEV.S($B$2:B146)</f>
        <v>6.3392111774644633</v>
      </c>
      <c r="G146" s="1">
        <f t="shared" ca="1" si="15"/>
        <v>114.97252997456157</v>
      </c>
      <c r="H146" s="1">
        <f t="shared" ca="1" si="16"/>
        <v>89.615685264703714</v>
      </c>
      <c r="I146">
        <f t="shared" ca="1" si="10"/>
        <v>101.501</v>
      </c>
      <c r="J146">
        <f t="shared" ca="1" si="11"/>
        <v>1.4028163401566605</v>
      </c>
      <c r="K146">
        <f t="shared" ca="1" si="12"/>
        <v>104.30663268031333</v>
      </c>
      <c r="L146">
        <f t="shared" ca="1" si="13"/>
        <v>98.695367319686682</v>
      </c>
    </row>
    <row r="147" spans="1:12" x14ac:dyDescent="0.25">
      <c r="A147" vm="432">
        <f ca="1"/>
        <v>45873</v>
      </c>
      <c r="B147" vm="433">
        <f ca="1"/>
        <v>105.36</v>
      </c>
      <c r="C147" s="1" vm="434">
        <f ca="1"/>
        <v>2345153</v>
      </c>
      <c r="D147" s="2">
        <f t="shared" ca="1" si="14"/>
        <v>247085320.08000001</v>
      </c>
      <c r="E147" s="1">
        <f ca="1">SUM($D$2:D147)/SUM($C$2:C147)</f>
        <v>102.31199832036613</v>
      </c>
      <c r="F147" s="1">
        <f ca="1">_xlfn.STDEV.S($B$2:B147)</f>
        <v>6.3237122165267134</v>
      </c>
      <c r="G147" s="1">
        <f t="shared" ca="1" si="15"/>
        <v>114.95942275341956</v>
      </c>
      <c r="H147" s="1">
        <f t="shared" ca="1" si="16"/>
        <v>89.664573887312699</v>
      </c>
      <c r="I147">
        <f t="shared" ca="1" si="10"/>
        <v>101.78349999999999</v>
      </c>
      <c r="J147">
        <f t="shared" ca="1" si="11"/>
        <v>1.580773544819118</v>
      </c>
      <c r="K147">
        <f t="shared" ca="1" si="12"/>
        <v>104.94504708963822</v>
      </c>
      <c r="L147">
        <f t="shared" ca="1" si="13"/>
        <v>98.621952910361756</v>
      </c>
    </row>
    <row r="148" spans="1:12" x14ac:dyDescent="0.25">
      <c r="A148" vm="435">
        <f ca="1"/>
        <v>45874</v>
      </c>
      <c r="B148" vm="436">
        <f ca="1"/>
        <v>104.18</v>
      </c>
      <c r="C148" s="1" vm="437">
        <f ca="1"/>
        <v>2515949</v>
      </c>
      <c r="D148" s="2">
        <f t="shared" ca="1" si="14"/>
        <v>262111566.82000002</v>
      </c>
      <c r="E148" s="1">
        <f ca="1">SUM($D$2:D148)/SUM($C$2:C148)</f>
        <v>102.32361997548423</v>
      </c>
      <c r="F148" s="1">
        <f ca="1">_xlfn.STDEV.S($B$2:B148)</f>
        <v>6.3047086484271837</v>
      </c>
      <c r="G148" s="1">
        <f t="shared" ca="1" si="15"/>
        <v>114.93303727233859</v>
      </c>
      <c r="H148" s="1">
        <f t="shared" ca="1" si="16"/>
        <v>89.714202678629874</v>
      </c>
      <c r="I148">
        <f t="shared" ca="1" si="10"/>
        <v>102.027</v>
      </c>
      <c r="J148">
        <f t="shared" ca="1" si="11"/>
        <v>1.5545725423645198</v>
      </c>
      <c r="K148">
        <f t="shared" ca="1" si="12"/>
        <v>105.13614508472904</v>
      </c>
      <c r="L148">
        <f t="shared" ca="1" si="13"/>
        <v>98.917854915270965</v>
      </c>
    </row>
    <row r="149" spans="1:12" x14ac:dyDescent="0.25">
      <c r="A149" vm="438">
        <f ca="1"/>
        <v>45875</v>
      </c>
      <c r="B149" vm="439">
        <f ca="1"/>
        <v>104.15</v>
      </c>
      <c r="C149" s="1" vm="440">
        <f ca="1"/>
        <v>1993167</v>
      </c>
      <c r="D149" s="2">
        <f t="shared" ca="1" si="14"/>
        <v>207588343.05000001</v>
      </c>
      <c r="E149" s="1">
        <f ca="1">SUM($D$2:D149)/SUM($C$2:C149)</f>
        <v>102.33257750965697</v>
      </c>
      <c r="F149" s="1">
        <f ca="1">_xlfn.STDEV.S($B$2:B149)</f>
        <v>6.285800112026668</v>
      </c>
      <c r="G149" s="1">
        <f t="shared" ca="1" si="15"/>
        <v>114.90417773371031</v>
      </c>
      <c r="H149" s="1">
        <f t="shared" ca="1" si="16"/>
        <v>89.76097728560363</v>
      </c>
      <c r="I149">
        <f t="shared" ca="1" si="10"/>
        <v>102.236</v>
      </c>
      <c r="J149">
        <f t="shared" ca="1" si="11"/>
        <v>1.5444208589221031</v>
      </c>
      <c r="K149">
        <f t="shared" ca="1" si="12"/>
        <v>105.32484171784421</v>
      </c>
      <c r="L149">
        <f t="shared" ca="1" si="13"/>
        <v>99.1471582821558</v>
      </c>
    </row>
    <row r="150" spans="1:12" x14ac:dyDescent="0.25">
      <c r="A150" vm="441">
        <f ca="1"/>
        <v>45876</v>
      </c>
      <c r="B150" vm="442">
        <f ca="1"/>
        <v>105</v>
      </c>
      <c r="C150" s="1" vm="443">
        <f ca="1"/>
        <v>2577713</v>
      </c>
      <c r="D150" s="2">
        <f t="shared" ca="1" si="14"/>
        <v>270659865</v>
      </c>
      <c r="E150" s="1">
        <f ca="1">SUM($D$2:D150)/SUM($C$2:C150)</f>
        <v>102.34939007628239</v>
      </c>
      <c r="F150" s="1">
        <f ca="1">_xlfn.STDEV.S($B$2:B150)</f>
        <v>6.2694210856456607</v>
      </c>
      <c r="G150" s="1">
        <f t="shared" ca="1" si="15"/>
        <v>114.88823224757371</v>
      </c>
      <c r="H150" s="1">
        <f t="shared" ca="1" si="16"/>
        <v>89.810547904991068</v>
      </c>
      <c r="I150">
        <f t="shared" ref="I150:I213" ca="1" si="17">AVERAGE(B131:B150)</f>
        <v>102.4325</v>
      </c>
      <c r="J150">
        <f t="shared" ref="J150:J213" ca="1" si="18">_xlfn.STDEV.S(B131:B150)</f>
        <v>1.6355809365482352</v>
      </c>
      <c r="K150">
        <f t="shared" ref="K150:K213" ca="1" si="19">I150+2*J150</f>
        <v>105.70366187309648</v>
      </c>
      <c r="L150">
        <f t="shared" ref="L150:L213" ca="1" si="20">I150-2*J150</f>
        <v>99.16133812690353</v>
      </c>
    </row>
    <row r="151" spans="1:12" x14ac:dyDescent="0.25">
      <c r="A151" vm="444">
        <f ca="1"/>
        <v>45877</v>
      </c>
      <c r="B151" vm="445">
        <f ca="1"/>
        <v>104.48</v>
      </c>
      <c r="C151" s="1" vm="446">
        <f ca="1"/>
        <v>2796477</v>
      </c>
      <c r="D151" s="2">
        <f t="shared" ca="1" si="14"/>
        <v>292175916.96000004</v>
      </c>
      <c r="E151" s="1">
        <f ca="1">SUM($D$2:D151)/SUM($C$2:C151)</f>
        <v>102.36385990253109</v>
      </c>
      <c r="F151" s="1">
        <f ca="1">_xlfn.STDEV.S($B$2:B151)</f>
        <v>6.2516343098124469</v>
      </c>
      <c r="G151" s="1">
        <f t="shared" ca="1" si="15"/>
        <v>114.86712852215598</v>
      </c>
      <c r="H151" s="1">
        <f t="shared" ca="1" si="16"/>
        <v>89.860591282906199</v>
      </c>
      <c r="I151">
        <f t="shared" ca="1" si="17"/>
        <v>102.627</v>
      </c>
      <c r="J151">
        <f t="shared" ca="1" si="18"/>
        <v>1.6362379829481131</v>
      </c>
      <c r="K151">
        <f t="shared" ca="1" si="19"/>
        <v>105.89947596589622</v>
      </c>
      <c r="L151">
        <f t="shared" ca="1" si="20"/>
        <v>99.354524034103775</v>
      </c>
    </row>
    <row r="152" spans="1:12" x14ac:dyDescent="0.25">
      <c r="A152" vm="447">
        <f ca="1"/>
        <v>45880</v>
      </c>
      <c r="B152" vm="448">
        <f ca="1"/>
        <v>104.12</v>
      </c>
      <c r="C152" s="1" vm="449">
        <f ca="1"/>
        <v>2357182</v>
      </c>
      <c r="D152" s="2">
        <f t="shared" ca="1" si="14"/>
        <v>245429789.84</v>
      </c>
      <c r="E152" s="1">
        <f ca="1">SUM($D$2:D152)/SUM($C$2:C152)</f>
        <v>102.37385578965504</v>
      </c>
      <c r="F152" s="1">
        <f ca="1">_xlfn.STDEV.S($B$2:B152)</f>
        <v>6.233117285155779</v>
      </c>
      <c r="G152" s="1">
        <f t="shared" ca="1" si="15"/>
        <v>114.8400903599666</v>
      </c>
      <c r="H152" s="1">
        <f t="shared" ca="1" si="16"/>
        <v>89.907621219343483</v>
      </c>
      <c r="I152">
        <f t="shared" ca="1" si="17"/>
        <v>102.7825</v>
      </c>
      <c r="J152">
        <f t="shared" ca="1" si="18"/>
        <v>1.6221975835267435</v>
      </c>
      <c r="K152">
        <f t="shared" ca="1" si="19"/>
        <v>106.02689516705348</v>
      </c>
      <c r="L152">
        <f t="shared" ca="1" si="20"/>
        <v>99.538104832946516</v>
      </c>
    </row>
    <row r="153" spans="1:12" x14ac:dyDescent="0.25">
      <c r="A153" vm="450">
        <f ca="1"/>
        <v>45881</v>
      </c>
      <c r="B153" vm="451">
        <f ca="1"/>
        <v>103.69</v>
      </c>
      <c r="C153" s="1" vm="452">
        <f ca="1"/>
        <v>2578774</v>
      </c>
      <c r="D153" s="2">
        <f t="shared" ca="1" si="14"/>
        <v>267393076.06</v>
      </c>
      <c r="E153" s="1">
        <f ca="1">SUM($D$2:D153)/SUM($C$2:C153)</f>
        <v>102.38200076624783</v>
      </c>
      <c r="F153" s="1">
        <f ca="1">_xlfn.STDEV.S($B$2:B153)</f>
        <v>6.2139060615827635</v>
      </c>
      <c r="G153" s="1">
        <f t="shared" ca="1" si="15"/>
        <v>114.80981288941335</v>
      </c>
      <c r="H153" s="1">
        <f t="shared" ca="1" si="16"/>
        <v>89.954188643082304</v>
      </c>
      <c r="I153">
        <f t="shared" ca="1" si="17"/>
        <v>102.9695</v>
      </c>
      <c r="J153">
        <f t="shared" ca="1" si="18"/>
        <v>1.4885544913385658</v>
      </c>
      <c r="K153">
        <f t="shared" ca="1" si="19"/>
        <v>105.94660898267713</v>
      </c>
      <c r="L153">
        <f t="shared" ca="1" si="20"/>
        <v>99.992391017322859</v>
      </c>
    </row>
    <row r="154" spans="1:12" x14ac:dyDescent="0.25">
      <c r="A154" vm="453">
        <f ca="1"/>
        <v>45882</v>
      </c>
      <c r="B154" vm="454">
        <f ca="1"/>
        <v>103.66</v>
      </c>
      <c r="C154" s="1" vm="455">
        <f ca="1"/>
        <v>2728415</v>
      </c>
      <c r="D154" s="2">
        <f t="shared" ca="1" si="14"/>
        <v>282827498.89999998</v>
      </c>
      <c r="E154" s="1">
        <f ca="1">SUM($D$2:D154)/SUM($C$2:C154)</f>
        <v>102.39031418727112</v>
      </c>
      <c r="F154" s="1">
        <f ca="1">_xlfn.STDEV.S($B$2:B154)</f>
        <v>6.1948183770633829</v>
      </c>
      <c r="G154" s="1">
        <f t="shared" ca="1" si="15"/>
        <v>114.77995094139789</v>
      </c>
      <c r="H154" s="1">
        <f t="shared" ca="1" si="16"/>
        <v>90.000677433144347</v>
      </c>
      <c r="I154">
        <f t="shared" ca="1" si="17"/>
        <v>103.12950000000001</v>
      </c>
      <c r="J154">
        <f t="shared" ca="1" si="18"/>
        <v>1.3720383414928021</v>
      </c>
      <c r="K154">
        <f t="shared" ca="1" si="19"/>
        <v>105.87357668298561</v>
      </c>
      <c r="L154">
        <f t="shared" ca="1" si="20"/>
        <v>100.3854233170144</v>
      </c>
    </row>
    <row r="155" spans="1:12" x14ac:dyDescent="0.25">
      <c r="A155" vm="456">
        <f ca="1"/>
        <v>45883</v>
      </c>
      <c r="B155" vm="457">
        <f ca="1"/>
        <v>102.86</v>
      </c>
      <c r="C155" s="1" vm="458">
        <f ca="1"/>
        <v>2171761</v>
      </c>
      <c r="D155" s="2">
        <f t="shared" ca="1" si="14"/>
        <v>223387336.46000001</v>
      </c>
      <c r="E155" s="1">
        <f ca="1">SUM($D$2:D155)/SUM($C$2:C155)</f>
        <v>102.39273362979085</v>
      </c>
      <c r="F155" s="1">
        <f ca="1">_xlfn.STDEV.S($B$2:B155)</f>
        <v>6.1748861171316367</v>
      </c>
      <c r="G155" s="1">
        <f t="shared" ca="1" si="15"/>
        <v>114.74250586405412</v>
      </c>
      <c r="H155" s="1">
        <f t="shared" ca="1" si="16"/>
        <v>90.042961395527584</v>
      </c>
      <c r="I155">
        <f t="shared" ca="1" si="17"/>
        <v>103.24250000000002</v>
      </c>
      <c r="J155">
        <f t="shared" ca="1" si="18"/>
        <v>1.2394008527043268</v>
      </c>
      <c r="K155">
        <f t="shared" ca="1" si="19"/>
        <v>105.72130170540868</v>
      </c>
      <c r="L155">
        <f t="shared" ca="1" si="20"/>
        <v>100.76369829459136</v>
      </c>
    </row>
    <row r="156" spans="1:12" x14ac:dyDescent="0.25">
      <c r="A156" vm="459">
        <f ca="1"/>
        <v>45884</v>
      </c>
      <c r="B156" vm="460">
        <f ca="1"/>
        <v>100.77</v>
      </c>
      <c r="C156" s="1" vm="461">
        <f ca="1"/>
        <v>3098753</v>
      </c>
      <c r="D156" s="2">
        <f t="shared" ca="1" si="14"/>
        <v>312261339.81</v>
      </c>
      <c r="E156" s="1">
        <f ca="1">SUM($D$2:D156)/SUM($C$2:C156)</f>
        <v>102.38089368503636</v>
      </c>
      <c r="F156" s="1">
        <f ca="1">_xlfn.STDEV.S($B$2:B156)</f>
        <v>6.155670149506598</v>
      </c>
      <c r="G156" s="1">
        <f t="shared" ca="1" si="15"/>
        <v>114.69223398404955</v>
      </c>
      <c r="H156" s="1">
        <f t="shared" ca="1" si="16"/>
        <v>90.069553386023159</v>
      </c>
      <c r="I156">
        <f t="shared" ca="1" si="17"/>
        <v>103.227</v>
      </c>
      <c r="J156">
        <f t="shared" ca="1" si="18"/>
        <v>1.2694428947998793</v>
      </c>
      <c r="K156">
        <f t="shared" ca="1" si="19"/>
        <v>105.76588578959976</v>
      </c>
      <c r="L156">
        <f t="shared" ca="1" si="20"/>
        <v>100.68811421040024</v>
      </c>
    </row>
    <row r="157" spans="1:12" x14ac:dyDescent="0.25">
      <c r="A157" vm="462">
        <f ca="1"/>
        <v>45887</v>
      </c>
      <c r="B157" vm="463">
        <f ca="1"/>
        <v>99.74</v>
      </c>
      <c r="C157" s="1" vm="464">
        <f ca="1"/>
        <v>2789322</v>
      </c>
      <c r="D157" s="2">
        <f t="shared" ca="1" si="14"/>
        <v>278206976.27999997</v>
      </c>
      <c r="E157" s="1">
        <f ca="1">SUM($D$2:D157)/SUM($C$2:C157)</f>
        <v>102.36366222592213</v>
      </c>
      <c r="F157" s="1">
        <f ca="1">_xlfn.STDEV.S($B$2:B157)</f>
        <v>6.1385592334330035</v>
      </c>
      <c r="G157" s="1">
        <f t="shared" ca="1" si="15"/>
        <v>114.64078069278813</v>
      </c>
      <c r="H157" s="1">
        <f t="shared" ca="1" si="16"/>
        <v>90.086543759056127</v>
      </c>
      <c r="I157">
        <f t="shared" ca="1" si="17"/>
        <v>103.1105</v>
      </c>
      <c r="J157">
        <f t="shared" ca="1" si="18"/>
        <v>1.4719713777251611</v>
      </c>
      <c r="K157">
        <f t="shared" ca="1" si="19"/>
        <v>106.05444275545032</v>
      </c>
      <c r="L157">
        <f t="shared" ca="1" si="20"/>
        <v>100.16655724454968</v>
      </c>
    </row>
    <row r="158" spans="1:12" x14ac:dyDescent="0.25">
      <c r="A158" vm="465">
        <f ca="1"/>
        <v>45888</v>
      </c>
      <c r="B158" vm="466">
        <f ca="1"/>
        <v>101.1</v>
      </c>
      <c r="C158" s="1" vm="467">
        <f ca="1"/>
        <v>3948355</v>
      </c>
      <c r="D158" s="2">
        <f t="shared" ca="1" si="14"/>
        <v>399178690.5</v>
      </c>
      <c r="E158" s="1">
        <f ca="1">SUM($D$2:D158)/SUM($C$2:C158)</f>
        <v>102.35209772477523</v>
      </c>
      <c r="F158" s="1">
        <f ca="1">_xlfn.STDEV.S($B$2:B158)</f>
        <v>6.1193044899561091</v>
      </c>
      <c r="G158" s="1">
        <f t="shared" ca="1" si="15"/>
        <v>114.59070670468745</v>
      </c>
      <c r="H158" s="1">
        <f t="shared" ca="1" si="16"/>
        <v>90.11348874486302</v>
      </c>
      <c r="I158">
        <f t="shared" ca="1" si="17"/>
        <v>102.98600000000002</v>
      </c>
      <c r="J158">
        <f t="shared" ca="1" si="18"/>
        <v>1.5333053391800016</v>
      </c>
      <c r="K158">
        <f t="shared" ca="1" si="19"/>
        <v>106.05261067836003</v>
      </c>
      <c r="L158">
        <f t="shared" ca="1" si="20"/>
        <v>99.919389321640011</v>
      </c>
    </row>
    <row r="159" spans="1:12" x14ac:dyDescent="0.25">
      <c r="A159" vm="468">
        <f ca="1"/>
        <v>45889</v>
      </c>
      <c r="B159" vm="469">
        <f ca="1"/>
        <v>101.76</v>
      </c>
      <c r="C159" s="1" vm="470">
        <f ca="1"/>
        <v>3216440</v>
      </c>
      <c r="D159" s="2">
        <f t="shared" ca="1" si="14"/>
        <v>327304934.40000004</v>
      </c>
      <c r="E159" s="1">
        <f ca="1">SUM($D$2:D159)/SUM($C$2:C159)</f>
        <v>102.34771622452416</v>
      </c>
      <c r="F159" s="1">
        <f ca="1">_xlfn.STDEV.S($B$2:B159)</f>
        <v>6.0998217618289772</v>
      </c>
      <c r="G159" s="1">
        <f t="shared" ca="1" si="15"/>
        <v>114.54735974818212</v>
      </c>
      <c r="H159" s="1">
        <f t="shared" ca="1" si="16"/>
        <v>90.148072700866209</v>
      </c>
      <c r="I159">
        <f t="shared" ca="1" si="17"/>
        <v>102.94649999999999</v>
      </c>
      <c r="J159">
        <f t="shared" ca="1" si="18"/>
        <v>1.5551485798029598</v>
      </c>
      <c r="K159">
        <f t="shared" ca="1" si="19"/>
        <v>106.05679715960591</v>
      </c>
      <c r="L159">
        <f t="shared" ca="1" si="20"/>
        <v>99.836202840394066</v>
      </c>
    </row>
    <row r="160" spans="1:12" x14ac:dyDescent="0.25">
      <c r="A160" vm="471">
        <f ca="1"/>
        <v>45890</v>
      </c>
      <c r="B160" vm="472">
        <f ca="1"/>
        <v>101.5</v>
      </c>
      <c r="C160" s="1" vm="473">
        <f ca="1"/>
        <v>2282712</v>
      </c>
      <c r="D160" s="2">
        <f t="shared" ca="1" si="14"/>
        <v>231695268</v>
      </c>
      <c r="E160" s="1">
        <f ca="1">SUM($D$2:D160)/SUM($C$2:C160)</f>
        <v>102.34328747857657</v>
      </c>
      <c r="F160" s="1">
        <f ca="1">_xlfn.STDEV.S($B$2:B160)</f>
        <v>6.0806299168993068</v>
      </c>
      <c r="G160" s="1">
        <f t="shared" ca="1" si="15"/>
        <v>114.50454731237518</v>
      </c>
      <c r="H160" s="1">
        <f t="shared" ca="1" si="16"/>
        <v>90.182027644777961</v>
      </c>
      <c r="I160">
        <f t="shared" ca="1" si="17"/>
        <v>102.91899999999998</v>
      </c>
      <c r="J160">
        <f t="shared" ca="1" si="18"/>
        <v>1.5765515332021689</v>
      </c>
      <c r="K160">
        <f t="shared" ca="1" si="19"/>
        <v>106.07210306640432</v>
      </c>
      <c r="L160">
        <f t="shared" ca="1" si="20"/>
        <v>99.765896933595641</v>
      </c>
    </row>
    <row r="161" spans="1:12" x14ac:dyDescent="0.25">
      <c r="A161" vm="474">
        <f ca="1"/>
        <v>45891</v>
      </c>
      <c r="B161" vm="475">
        <f ca="1"/>
        <v>101.65</v>
      </c>
      <c r="C161" s="1" vm="476">
        <f ca="1"/>
        <v>2753050</v>
      </c>
      <c r="D161" s="2">
        <f t="shared" ca="1" si="14"/>
        <v>279847532.5</v>
      </c>
      <c r="E161" s="1">
        <f ca="1">SUM($D$2:D161)/SUM($C$2:C161)</f>
        <v>102.33894658834761</v>
      </c>
      <c r="F161" s="1">
        <f ca="1">_xlfn.STDEV.S($B$2:B161)</f>
        <v>6.0615491457533883</v>
      </c>
      <c r="G161" s="1">
        <f t="shared" ca="1" si="15"/>
        <v>114.46204487985439</v>
      </c>
      <c r="H161" s="1">
        <f t="shared" ca="1" si="16"/>
        <v>90.215848296840832</v>
      </c>
      <c r="I161">
        <f t="shared" ca="1" si="17"/>
        <v>102.88849999999999</v>
      </c>
      <c r="J161">
        <f t="shared" ca="1" si="18"/>
        <v>1.5957551421456282</v>
      </c>
      <c r="K161">
        <f t="shared" ca="1" si="19"/>
        <v>106.08001028429125</v>
      </c>
      <c r="L161">
        <f t="shared" ca="1" si="20"/>
        <v>99.696989715708739</v>
      </c>
    </row>
    <row r="162" spans="1:12" x14ac:dyDescent="0.25">
      <c r="A162" vm="477">
        <f ca="1"/>
        <v>45894</v>
      </c>
      <c r="B162" vm="392">
        <f ca="1"/>
        <v>99.95</v>
      </c>
      <c r="C162" s="1" vm="478">
        <f ca="1"/>
        <v>2498894</v>
      </c>
      <c r="D162" s="2">
        <f t="shared" ca="1" si="14"/>
        <v>249764455.30000001</v>
      </c>
      <c r="E162" s="1">
        <f ca="1">SUM($D$2:D162)/SUM($C$2:C162)</f>
        <v>102.325446258116</v>
      </c>
      <c r="F162" s="1">
        <f ca="1">_xlfn.STDEV.S($B$2:B162)</f>
        <v>6.0447756208068304</v>
      </c>
      <c r="G162" s="1">
        <f t="shared" ca="1" si="15"/>
        <v>114.41499749972967</v>
      </c>
      <c r="H162" s="1">
        <f t="shared" ca="1" si="16"/>
        <v>90.23589501650234</v>
      </c>
      <c r="I162">
        <f t="shared" ca="1" si="17"/>
        <v>102.83699999999999</v>
      </c>
      <c r="J162">
        <f t="shared" ca="1" si="18"/>
        <v>1.6752316414847179</v>
      </c>
      <c r="K162">
        <f t="shared" ca="1" si="19"/>
        <v>106.18746328296942</v>
      </c>
      <c r="L162">
        <f t="shared" ca="1" si="20"/>
        <v>99.48653671703056</v>
      </c>
    </row>
    <row r="163" spans="1:12" x14ac:dyDescent="0.25">
      <c r="A163" vm="479">
        <f ca="1"/>
        <v>45895</v>
      </c>
      <c r="B163" vm="480">
        <f ca="1"/>
        <v>99.72</v>
      </c>
      <c r="C163" s="1" vm="481">
        <f ca="1"/>
        <v>3309463</v>
      </c>
      <c r="D163" s="2">
        <f t="shared" ca="1" si="14"/>
        <v>330019650.36000001</v>
      </c>
      <c r="E163" s="1">
        <f ca="1">SUM($D$2:D163)/SUM($C$2:C163)</f>
        <v>102.30609133251011</v>
      </c>
      <c r="F163" s="1">
        <f ca="1">_xlfn.STDEV.S($B$2:B163)</f>
        <v>6.0286488110713972</v>
      </c>
      <c r="G163" s="1">
        <f t="shared" ca="1" si="15"/>
        <v>114.3633889546529</v>
      </c>
      <c r="H163" s="1">
        <f t="shared" ca="1" si="16"/>
        <v>90.248793710367309</v>
      </c>
      <c r="I163">
        <f t="shared" ca="1" si="17"/>
        <v>102.71099999999998</v>
      </c>
      <c r="J163">
        <f t="shared" ca="1" si="18"/>
        <v>1.8117072495010724</v>
      </c>
      <c r="K163">
        <f t="shared" ca="1" si="19"/>
        <v>106.33441449900212</v>
      </c>
      <c r="L163">
        <f t="shared" ca="1" si="20"/>
        <v>99.087585500997847</v>
      </c>
    </row>
    <row r="164" spans="1:12" x14ac:dyDescent="0.25">
      <c r="A164" vm="482">
        <f ca="1"/>
        <v>45896</v>
      </c>
      <c r="B164" vm="483">
        <f ca="1"/>
        <v>100.07</v>
      </c>
      <c r="C164" s="1" vm="484">
        <f ca="1"/>
        <v>4313818</v>
      </c>
      <c r="D164" s="2">
        <f t="shared" ca="1" si="14"/>
        <v>431683767.25999999</v>
      </c>
      <c r="E164" s="1">
        <f ca="1">SUM($D$2:D164)/SUM($C$2:C164)</f>
        <v>102.28464672345292</v>
      </c>
      <c r="F164" s="1">
        <f ca="1">_xlfn.STDEV.S($B$2:B164)</f>
        <v>6.0118971988895389</v>
      </c>
      <c r="G164" s="1">
        <f t="shared" ca="1" si="15"/>
        <v>114.30844112123199</v>
      </c>
      <c r="H164" s="1">
        <f t="shared" ca="1" si="16"/>
        <v>90.260852325673852</v>
      </c>
      <c r="I164">
        <f t="shared" ca="1" si="17"/>
        <v>102.58500000000001</v>
      </c>
      <c r="J164">
        <f t="shared" ca="1" si="18"/>
        <v>1.9057544437833551</v>
      </c>
      <c r="K164">
        <f t="shared" ca="1" si="19"/>
        <v>106.39650888756672</v>
      </c>
      <c r="L164">
        <f t="shared" ca="1" si="20"/>
        <v>98.773491112433291</v>
      </c>
    </row>
    <row r="165" spans="1:12" x14ac:dyDescent="0.25">
      <c r="A165" vm="485">
        <f ca="1"/>
        <v>45897</v>
      </c>
      <c r="B165" vm="486">
        <f ca="1"/>
        <v>98.17</v>
      </c>
      <c r="C165" s="1" vm="487">
        <f ca="1"/>
        <v>2400163</v>
      </c>
      <c r="D165" s="2">
        <f t="shared" ca="1" si="14"/>
        <v>235624001.71000001</v>
      </c>
      <c r="E165" s="1">
        <f ca="1">SUM($D$2:D165)/SUM($C$2:C165)</f>
        <v>102.26280791815601</v>
      </c>
      <c r="F165" s="1">
        <f ca="1">_xlfn.STDEV.S($B$2:B165)</f>
        <v>6.0008058501682937</v>
      </c>
      <c r="G165" s="1">
        <f t="shared" ca="1" si="15"/>
        <v>114.2644196184926</v>
      </c>
      <c r="H165" s="1">
        <f t="shared" ca="1" si="16"/>
        <v>90.261196217819432</v>
      </c>
      <c r="I165">
        <f t="shared" ca="1" si="17"/>
        <v>102.3185</v>
      </c>
      <c r="J165">
        <f t="shared" ca="1" si="18"/>
        <v>2.1304886392809674</v>
      </c>
      <c r="K165">
        <f t="shared" ca="1" si="19"/>
        <v>106.57947727856194</v>
      </c>
      <c r="L165">
        <f t="shared" ca="1" si="20"/>
        <v>98.057522721438062</v>
      </c>
    </row>
    <row r="166" spans="1:12" x14ac:dyDescent="0.25">
      <c r="A166" vm="488">
        <f ca="1"/>
        <v>45898</v>
      </c>
      <c r="B166" vm="489">
        <f ca="1"/>
        <v>98.23</v>
      </c>
      <c r="C166" s="1" vm="490">
        <f ca="1"/>
        <v>4220120</v>
      </c>
      <c r="D166" s="2">
        <f t="shared" ca="1" si="14"/>
        <v>414542387.60000002</v>
      </c>
      <c r="E166" s="1">
        <f ca="1">SUM($D$2:D166)/SUM($C$2:C166)</f>
        <v>102.225521228392</v>
      </c>
      <c r="F166" s="1">
        <f ca="1">_xlfn.STDEV.S($B$2:B166)</f>
        <v>5.9895125405180423</v>
      </c>
      <c r="G166" s="1">
        <f t="shared" ca="1" si="15"/>
        <v>114.20454630942808</v>
      </c>
      <c r="H166" s="1">
        <f t="shared" ca="1" si="16"/>
        <v>90.246496147355913</v>
      </c>
      <c r="I166">
        <f t="shared" ca="1" si="17"/>
        <v>102.00800000000001</v>
      </c>
      <c r="J166">
        <f t="shared" ca="1" si="18"/>
        <v>2.2539733337982701</v>
      </c>
      <c r="K166">
        <f t="shared" ca="1" si="19"/>
        <v>106.51594666759655</v>
      </c>
      <c r="L166">
        <f t="shared" ca="1" si="20"/>
        <v>97.500053332403468</v>
      </c>
    </row>
    <row r="167" spans="1:12" x14ac:dyDescent="0.25">
      <c r="A167" vm="491">
        <f ca="1"/>
        <v>45902</v>
      </c>
      <c r="B167" vm="492">
        <f ca="1"/>
        <v>97.2</v>
      </c>
      <c r="C167" s="1" vm="493">
        <f ca="1"/>
        <v>3019315</v>
      </c>
      <c r="D167" s="2">
        <f t="shared" ca="1" si="14"/>
        <v>293477418</v>
      </c>
      <c r="E167" s="1">
        <f ca="1">SUM($D$2:D167)/SUM($C$2:C167)</f>
        <v>102.19249586309928</v>
      </c>
      <c r="F167" s="1">
        <f ca="1">_xlfn.STDEV.S($B$2:B167)</f>
        <v>5.9826280473896789</v>
      </c>
      <c r="G167" s="1">
        <f t="shared" ca="1" si="15"/>
        <v>114.15775195787865</v>
      </c>
      <c r="H167" s="1">
        <f t="shared" ca="1" si="16"/>
        <v>90.227239768319919</v>
      </c>
      <c r="I167">
        <f t="shared" ca="1" si="17"/>
        <v>101.60000000000001</v>
      </c>
      <c r="J167">
        <f t="shared" ca="1" si="18"/>
        <v>2.3516981546376905</v>
      </c>
      <c r="K167">
        <f t="shared" ca="1" si="19"/>
        <v>106.30339630927539</v>
      </c>
      <c r="L167">
        <f t="shared" ca="1" si="20"/>
        <v>96.896603690724632</v>
      </c>
    </row>
    <row r="168" spans="1:12" x14ac:dyDescent="0.25">
      <c r="A168" vm="494">
        <f ca="1"/>
        <v>45903</v>
      </c>
      <c r="B168" vm="495">
        <f ca="1"/>
        <v>97.85</v>
      </c>
      <c r="C168" s="1" vm="496">
        <f ca="1"/>
        <v>4306674</v>
      </c>
      <c r="D168" s="2">
        <f t="shared" ca="1" si="14"/>
        <v>421408050.89999998</v>
      </c>
      <c r="E168" s="1">
        <f ca="1">SUM($D$2:D168)/SUM($C$2:C168)</f>
        <v>102.15216963312288</v>
      </c>
      <c r="F168" s="1">
        <f ca="1">_xlfn.STDEV.S($B$2:B168)</f>
        <v>5.9728304555319696</v>
      </c>
      <c r="G168" s="1">
        <f t="shared" ca="1" si="15"/>
        <v>114.09783054418682</v>
      </c>
      <c r="H168" s="1">
        <f t="shared" ca="1" si="16"/>
        <v>90.206508722058942</v>
      </c>
      <c r="I168">
        <f t="shared" ca="1" si="17"/>
        <v>101.2835</v>
      </c>
      <c r="J168">
        <f t="shared" ca="1" si="18"/>
        <v>2.4113967889346242</v>
      </c>
      <c r="K168">
        <f t="shared" ca="1" si="19"/>
        <v>106.10629357786925</v>
      </c>
      <c r="L168">
        <f t="shared" ca="1" si="20"/>
        <v>96.460706422130755</v>
      </c>
    </row>
    <row r="169" spans="1:12" x14ac:dyDescent="0.25">
      <c r="A169" vm="497">
        <f ca="1"/>
        <v>45904</v>
      </c>
      <c r="B169" vm="498">
        <f ca="1"/>
        <v>97.8</v>
      </c>
      <c r="C169" s="1" vm="499">
        <f ca="1"/>
        <v>2033303</v>
      </c>
      <c r="D169" s="2">
        <f t="shared" ca="1" si="14"/>
        <v>198857033.40000001</v>
      </c>
      <c r="E169" s="1">
        <f ca="1">SUM($D$2:D169)/SUM($C$2:C169)</f>
        <v>102.13317135785471</v>
      </c>
      <c r="F169" s="1">
        <f ca="1">_xlfn.STDEV.S($B$2:B169)</f>
        <v>5.9632391151307882</v>
      </c>
      <c r="G169" s="1">
        <f t="shared" ca="1" si="15"/>
        <v>114.05964958811629</v>
      </c>
      <c r="H169" s="1">
        <f t="shared" ca="1" si="16"/>
        <v>90.206693127593127</v>
      </c>
      <c r="I169">
        <f t="shared" ca="1" si="17"/>
        <v>100.96600000000001</v>
      </c>
      <c r="J169">
        <f t="shared" ca="1" si="18"/>
        <v>2.4320630185741061</v>
      </c>
      <c r="K169">
        <f t="shared" ca="1" si="19"/>
        <v>105.83012603714822</v>
      </c>
      <c r="L169">
        <f t="shared" ca="1" si="20"/>
        <v>96.101873962851798</v>
      </c>
    </row>
    <row r="170" spans="1:12" x14ac:dyDescent="0.25">
      <c r="A170" vm="500">
        <f ca="1"/>
        <v>45905</v>
      </c>
      <c r="B170" vm="354">
        <f ca="1"/>
        <v>98.05</v>
      </c>
      <c r="C170" s="1" vm="501">
        <f ca="1"/>
        <v>1724666</v>
      </c>
      <c r="D170" s="2">
        <f t="shared" ca="1" si="14"/>
        <v>169103501.29999998</v>
      </c>
      <c r="E170" s="1">
        <f ca="1">SUM($D$2:D170)/SUM($C$2:C170)</f>
        <v>102.1181086239998</v>
      </c>
      <c r="F170" s="1">
        <f ca="1">_xlfn.STDEV.S($B$2:B170)</f>
        <v>5.9526718353551837</v>
      </c>
      <c r="G170" s="1">
        <f t="shared" ca="1" si="15"/>
        <v>114.02345229471017</v>
      </c>
      <c r="H170" s="1">
        <f t="shared" ca="1" si="16"/>
        <v>90.212764953289437</v>
      </c>
      <c r="I170">
        <f t="shared" ca="1" si="17"/>
        <v>100.61850000000001</v>
      </c>
      <c r="J170">
        <f t="shared" ca="1" si="18"/>
        <v>2.3192382483547442</v>
      </c>
      <c r="K170">
        <f t="shared" ca="1" si="19"/>
        <v>105.2569764967095</v>
      </c>
      <c r="L170">
        <f t="shared" ca="1" si="20"/>
        <v>95.980023503290525</v>
      </c>
    </row>
    <row r="171" spans="1:12" x14ac:dyDescent="0.25">
      <c r="A171" vm="502">
        <f ca="1"/>
        <v>45908</v>
      </c>
      <c r="B171" vm="503">
        <f ca="1"/>
        <v>96.65</v>
      </c>
      <c r="C171" s="1" vm="504">
        <f ca="1"/>
        <v>2189394</v>
      </c>
      <c r="D171" s="2">
        <f t="shared" ca="1" si="14"/>
        <v>211604930.10000002</v>
      </c>
      <c r="E171" s="1">
        <f ca="1">SUM($D$2:D171)/SUM($C$2:C171)</f>
        <v>102.09262077455502</v>
      </c>
      <c r="F171" s="1">
        <f ca="1">_xlfn.STDEV.S($B$2:B171)</f>
        <v>5.9483383342234255</v>
      </c>
      <c r="G171" s="1">
        <f t="shared" ca="1" si="15"/>
        <v>113.98929744300187</v>
      </c>
      <c r="H171" s="1">
        <f t="shared" ca="1" si="16"/>
        <v>90.195944106108158</v>
      </c>
      <c r="I171">
        <f t="shared" ca="1" si="17"/>
        <v>100.227</v>
      </c>
      <c r="J171">
        <f t="shared" ca="1" si="18"/>
        <v>2.2938225967286914</v>
      </c>
      <c r="K171">
        <f t="shared" ca="1" si="19"/>
        <v>104.81464519345738</v>
      </c>
      <c r="L171">
        <f t="shared" ca="1" si="20"/>
        <v>95.639354806542627</v>
      </c>
    </row>
    <row r="172" spans="1:12" x14ac:dyDescent="0.25">
      <c r="A172" vm="505">
        <f ca="1"/>
        <v>45909</v>
      </c>
      <c r="B172" vm="506">
        <f ca="1"/>
        <v>96.98</v>
      </c>
      <c r="C172" s="1" vm="507">
        <f ca="1"/>
        <v>1282697</v>
      </c>
      <c r="D172" s="2">
        <f t="shared" ca="1" si="14"/>
        <v>124395955.06</v>
      </c>
      <c r="E172" s="1">
        <f ca="1">SUM($D$2:D172)/SUM($C$2:C172)</f>
        <v>102.07869704999374</v>
      </c>
      <c r="F172" s="1">
        <f ca="1">_xlfn.STDEV.S($B$2:B172)</f>
        <v>5.9422781441534402</v>
      </c>
      <c r="G172" s="1">
        <f t="shared" ca="1" si="15"/>
        <v>113.96325333830062</v>
      </c>
      <c r="H172" s="1">
        <f t="shared" ca="1" si="16"/>
        <v>90.194140761686853</v>
      </c>
      <c r="I172">
        <f t="shared" ca="1" si="17"/>
        <v>99.86999999999999</v>
      </c>
      <c r="J172">
        <f t="shared" ca="1" si="18"/>
        <v>2.210136933123803</v>
      </c>
      <c r="K172">
        <f t="shared" ca="1" si="19"/>
        <v>104.2902738662476</v>
      </c>
      <c r="L172">
        <f t="shared" ca="1" si="20"/>
        <v>95.449726133752378</v>
      </c>
    </row>
    <row r="173" spans="1:12" x14ac:dyDescent="0.25">
      <c r="A173" vm="508">
        <f ca="1"/>
        <v>45910</v>
      </c>
      <c r="B173" vm="509">
        <f ca="1"/>
        <v>97.08</v>
      </c>
      <c r="C173" s="1" vm="510">
        <f ca="1"/>
        <v>1603960</v>
      </c>
      <c r="D173" s="2">
        <f t="shared" ca="1" si="14"/>
        <v>155712436.80000001</v>
      </c>
      <c r="E173" s="1">
        <f ca="1">SUM($D$2:D173)/SUM($C$2:C173)</f>
        <v>102.06173174639784</v>
      </c>
      <c r="F173" s="1">
        <f ca="1">_xlfn.STDEV.S($B$2:B173)</f>
        <v>5.9356854576624221</v>
      </c>
      <c r="G173" s="1">
        <f t="shared" ca="1" si="15"/>
        <v>113.93310266172269</v>
      </c>
      <c r="H173" s="1">
        <f t="shared" ca="1" si="16"/>
        <v>90.190360831072994</v>
      </c>
      <c r="I173">
        <f t="shared" ca="1" si="17"/>
        <v>99.539500000000004</v>
      </c>
      <c r="J173">
        <f t="shared" ca="1" si="18"/>
        <v>2.1003319913014242</v>
      </c>
      <c r="K173">
        <f t="shared" ca="1" si="19"/>
        <v>103.74016398260285</v>
      </c>
      <c r="L173">
        <f t="shared" ca="1" si="20"/>
        <v>95.338836017397156</v>
      </c>
    </row>
    <row r="174" spans="1:12" x14ac:dyDescent="0.25">
      <c r="A174" vm="511">
        <f ca="1"/>
        <v>45911</v>
      </c>
      <c r="B174" vm="512">
        <f ca="1"/>
        <v>97.7</v>
      </c>
      <c r="C174" s="1" vm="513">
        <f ca="1"/>
        <v>1689992</v>
      </c>
      <c r="D174" s="2">
        <f t="shared" ca="1" si="14"/>
        <v>165112218.40000001</v>
      </c>
      <c r="E174" s="1">
        <f ca="1">SUM($D$2:D174)/SUM($C$2:C174)</f>
        <v>102.04618982796798</v>
      </c>
      <c r="F174" s="1">
        <f ca="1">_xlfn.STDEV.S($B$2:B174)</f>
        <v>5.9264030432734991</v>
      </c>
      <c r="G174" s="1">
        <f t="shared" ca="1" si="15"/>
        <v>113.89899591451498</v>
      </c>
      <c r="H174" s="1">
        <f t="shared" ca="1" si="16"/>
        <v>90.193383741420973</v>
      </c>
      <c r="I174">
        <f t="shared" ca="1" si="17"/>
        <v>99.241500000000002</v>
      </c>
      <c r="J174">
        <f t="shared" ca="1" si="18"/>
        <v>1.8979997088347615</v>
      </c>
      <c r="K174">
        <f t="shared" ca="1" si="19"/>
        <v>103.03749941766952</v>
      </c>
      <c r="L174">
        <f t="shared" ca="1" si="20"/>
        <v>95.445500582330482</v>
      </c>
    </row>
    <row r="175" spans="1:12" x14ac:dyDescent="0.25">
      <c r="A175" vm="514">
        <f ca="1"/>
        <v>45912</v>
      </c>
      <c r="B175" vm="515">
        <f ca="1"/>
        <v>97.55</v>
      </c>
      <c r="C175" s="1" vm="516">
        <f ca="1"/>
        <v>1249463</v>
      </c>
      <c r="D175" s="2">
        <f t="shared" ca="1" si="14"/>
        <v>121885115.64999999</v>
      </c>
      <c r="E175" s="1">
        <f ca="1">SUM($D$2:D175)/SUM($C$2:C175)</f>
        <v>102.03437611390953</v>
      </c>
      <c r="F175" s="1">
        <f ca="1">_xlfn.STDEV.S($B$2:B175)</f>
        <v>5.9177194339360266</v>
      </c>
      <c r="G175" s="1">
        <f t="shared" ca="1" si="15"/>
        <v>113.86981498178159</v>
      </c>
      <c r="H175" s="1">
        <f t="shared" ca="1" si="16"/>
        <v>90.198937246037474</v>
      </c>
      <c r="I175">
        <f t="shared" ca="1" si="17"/>
        <v>98.975999999999985</v>
      </c>
      <c r="J175">
        <f t="shared" ca="1" si="18"/>
        <v>1.7290624170645958</v>
      </c>
      <c r="K175">
        <f t="shared" ca="1" si="19"/>
        <v>102.43412483412918</v>
      </c>
      <c r="L175">
        <f t="shared" ca="1" si="20"/>
        <v>95.517875165870791</v>
      </c>
    </row>
    <row r="176" spans="1:12" x14ac:dyDescent="0.25">
      <c r="A176" vm="517">
        <f ca="1"/>
        <v>45915</v>
      </c>
      <c r="B176" vm="518">
        <f ca="1"/>
        <v>97</v>
      </c>
      <c r="C176" s="1" vm="519">
        <f ca="1"/>
        <v>1351898</v>
      </c>
      <c r="D176" s="2">
        <f t="shared" ca="1" si="14"/>
        <v>131134106</v>
      </c>
      <c r="E176" s="1">
        <f ca="1">SUM($D$2:D176)/SUM($C$2:C176)</f>
        <v>102.0201044340985</v>
      </c>
      <c r="F176" s="1">
        <f ca="1">_xlfn.STDEV.S($B$2:B176)</f>
        <v>5.9113803160834877</v>
      </c>
      <c r="G176" s="1">
        <f t="shared" ca="1" si="15"/>
        <v>113.84286506626547</v>
      </c>
      <c r="H176" s="1">
        <f t="shared" ca="1" si="16"/>
        <v>90.197343801931524</v>
      </c>
      <c r="I176">
        <f t="shared" ca="1" si="17"/>
        <v>98.787499999999994</v>
      </c>
      <c r="J176">
        <f t="shared" ca="1" si="18"/>
        <v>1.728689418392777</v>
      </c>
      <c r="K176">
        <f t="shared" ca="1" si="19"/>
        <v>102.24487883678555</v>
      </c>
      <c r="L176">
        <f t="shared" ca="1" si="20"/>
        <v>95.330121163214443</v>
      </c>
    </row>
    <row r="177" spans="1:12" x14ac:dyDescent="0.25">
      <c r="A177" vm="520">
        <f ca="1"/>
        <v>45916</v>
      </c>
      <c r="B177" vm="521">
        <f ca="1"/>
        <v>95.57</v>
      </c>
      <c r="C177" s="1" vm="522">
        <f ca="1"/>
        <v>2116706</v>
      </c>
      <c r="D177" s="2">
        <f t="shared" ca="1" si="14"/>
        <v>202293592.41999999</v>
      </c>
      <c r="E177" s="1">
        <f ca="1">SUM($D$2:D177)/SUM($C$2:C177)</f>
        <v>101.99160151088108</v>
      </c>
      <c r="F177" s="1">
        <f ca="1">_xlfn.STDEV.S($B$2:B177)</f>
        <v>5.9123965255490667</v>
      </c>
      <c r="G177" s="1">
        <f t="shared" ca="1" si="15"/>
        <v>113.81639456197922</v>
      </c>
      <c r="H177" s="1">
        <f t="shared" ca="1" si="16"/>
        <v>90.166808459782942</v>
      </c>
      <c r="I177">
        <f t="shared" ca="1" si="17"/>
        <v>98.578999999999994</v>
      </c>
      <c r="J177">
        <f t="shared" ca="1" si="18"/>
        <v>1.8546467957112771</v>
      </c>
      <c r="K177">
        <f t="shared" ca="1" si="19"/>
        <v>102.28829359142254</v>
      </c>
      <c r="L177">
        <f t="shared" ca="1" si="20"/>
        <v>94.869706408577443</v>
      </c>
    </row>
    <row r="178" spans="1:12" x14ac:dyDescent="0.25">
      <c r="A178" vm="523">
        <f ca="1"/>
        <v>45917</v>
      </c>
      <c r="B178" vm="524">
        <f ca="1"/>
        <v>96.4</v>
      </c>
      <c r="C178" s="1" vm="525">
        <f ca="1"/>
        <v>1879757</v>
      </c>
      <c r="D178" s="2">
        <f t="shared" ca="1" si="14"/>
        <v>181208574.80000001</v>
      </c>
      <c r="E178" s="1">
        <f ca="1">SUM($D$2:D178)/SUM($C$2:C178)</f>
        <v>101.96974408234286</v>
      </c>
      <c r="F178" s="1">
        <f ca="1">_xlfn.STDEV.S($B$2:B178)</f>
        <v>5.9087142338262577</v>
      </c>
      <c r="G178" s="1">
        <f t="shared" ca="1" si="15"/>
        <v>113.78717254999538</v>
      </c>
      <c r="H178" s="1">
        <f t="shared" ca="1" si="16"/>
        <v>90.152315614690337</v>
      </c>
      <c r="I178">
        <f t="shared" ca="1" si="17"/>
        <v>98.343999999999994</v>
      </c>
      <c r="J178">
        <f t="shared" ca="1" si="18"/>
        <v>1.8157596641336486</v>
      </c>
      <c r="K178">
        <f t="shared" ca="1" si="19"/>
        <v>101.9755193282673</v>
      </c>
      <c r="L178">
        <f t="shared" ca="1" si="20"/>
        <v>94.712480671732692</v>
      </c>
    </row>
    <row r="179" spans="1:12" x14ac:dyDescent="0.25">
      <c r="A179" vm="526">
        <f ca="1"/>
        <v>45918</v>
      </c>
      <c r="B179" vm="527">
        <f ca="1"/>
        <v>96.35</v>
      </c>
      <c r="C179" s="1" vm="528">
        <f ca="1"/>
        <v>1815705</v>
      </c>
      <c r="D179" s="2">
        <f t="shared" ca="1" si="14"/>
        <v>174943176.75</v>
      </c>
      <c r="E179" s="1">
        <f ca="1">SUM($D$2:D179)/SUM($C$2:C179)</f>
        <v>101.94860499371742</v>
      </c>
      <c r="F179" s="1">
        <f ca="1">_xlfn.STDEV.S($B$2:B179)</f>
        <v>5.9051735886997374</v>
      </c>
      <c r="G179" s="1">
        <f t="shared" ca="1" si="15"/>
        <v>113.7589521711169</v>
      </c>
      <c r="H179" s="1">
        <f t="shared" ca="1" si="16"/>
        <v>90.138257816317946</v>
      </c>
      <c r="I179">
        <f t="shared" ca="1" si="17"/>
        <v>98.073499999999996</v>
      </c>
      <c r="J179">
        <f t="shared" ca="1" si="18"/>
        <v>1.6778158577840359</v>
      </c>
      <c r="K179">
        <f t="shared" ca="1" si="19"/>
        <v>101.42913171556806</v>
      </c>
      <c r="L179">
        <f t="shared" ca="1" si="20"/>
        <v>94.71786828443193</v>
      </c>
    </row>
    <row r="180" spans="1:12" x14ac:dyDescent="0.25">
      <c r="A180" vm="529">
        <f ca="1"/>
        <v>45919</v>
      </c>
      <c r="B180" vm="530">
        <f ca="1"/>
        <v>96.33</v>
      </c>
      <c r="C180" s="1" vm="531">
        <f ca="1"/>
        <v>4091681</v>
      </c>
      <c r="D180" s="2">
        <f t="shared" ca="1" si="14"/>
        <v>394151630.73000002</v>
      </c>
      <c r="E180" s="1">
        <f ca="1">SUM($D$2:D180)/SUM($C$2:C180)</f>
        <v>101.90137815929562</v>
      </c>
      <c r="F180" s="1">
        <f ca="1">_xlfn.STDEV.S($B$2:B180)</f>
        <v>5.9016235503278835</v>
      </c>
      <c r="G180" s="1">
        <f t="shared" ca="1" si="15"/>
        <v>113.70462525995138</v>
      </c>
      <c r="H180" s="1">
        <f t="shared" ca="1" si="16"/>
        <v>90.098131058639851</v>
      </c>
      <c r="I180">
        <f t="shared" ca="1" si="17"/>
        <v>97.814999999999998</v>
      </c>
      <c r="J180">
        <f t="shared" ca="1" si="18"/>
        <v>1.5122082145691871</v>
      </c>
      <c r="K180">
        <f t="shared" ca="1" si="19"/>
        <v>100.83941642913837</v>
      </c>
      <c r="L180">
        <f t="shared" ca="1" si="20"/>
        <v>94.790583570861628</v>
      </c>
    </row>
    <row r="181" spans="1:12" x14ac:dyDescent="0.25">
      <c r="A181" vm="532">
        <f ca="1"/>
        <v>45922</v>
      </c>
      <c r="B181" vm="533">
        <f ca="1"/>
        <v>96.62</v>
      </c>
      <c r="C181" s="1" vm="534">
        <f ca="1"/>
        <v>1938992</v>
      </c>
      <c r="D181" s="2">
        <f t="shared" ca="1" si="14"/>
        <v>187345407.04000002</v>
      </c>
      <c r="E181" s="1">
        <f ca="1">SUM($D$2:D181)/SUM($C$2:C181)</f>
        <v>101.88042471630736</v>
      </c>
      <c r="F181" s="1">
        <f ca="1">_xlfn.STDEV.S($B$2:B181)</f>
        <v>5.8965801396457787</v>
      </c>
      <c r="G181" s="1">
        <f t="shared" ca="1" si="15"/>
        <v>113.67358499559892</v>
      </c>
      <c r="H181" s="1">
        <f t="shared" ca="1" si="16"/>
        <v>90.087264437015804</v>
      </c>
      <c r="I181">
        <f t="shared" ca="1" si="17"/>
        <v>97.563499999999976</v>
      </c>
      <c r="J181">
        <f t="shared" ca="1" si="18"/>
        <v>1.2334046802502239</v>
      </c>
      <c r="K181">
        <f t="shared" ca="1" si="19"/>
        <v>100.03030936050042</v>
      </c>
      <c r="L181">
        <f t="shared" ca="1" si="20"/>
        <v>95.096690639499528</v>
      </c>
    </row>
    <row r="182" spans="1:12" x14ac:dyDescent="0.25">
      <c r="A182" vm="535">
        <f ca="1"/>
        <v>45923</v>
      </c>
      <c r="B182" vm="536">
        <f ca="1"/>
        <v>98.55</v>
      </c>
      <c r="C182" s="1" vm="537">
        <f ca="1"/>
        <v>2204294</v>
      </c>
      <c r="D182" s="2">
        <f t="shared" ca="1" si="14"/>
        <v>217233173.69999999</v>
      </c>
      <c r="E182" s="1">
        <f ca="1">SUM($D$2:D182)/SUM($C$2:C182)</f>
        <v>101.86547107790527</v>
      </c>
      <c r="F182" s="1">
        <f ca="1">_xlfn.STDEV.S($B$2:B182)</f>
        <v>5.8843300331144466</v>
      </c>
      <c r="G182" s="1">
        <f t="shared" ca="1" si="15"/>
        <v>113.63413114413416</v>
      </c>
      <c r="H182" s="1">
        <f t="shared" ca="1" si="16"/>
        <v>90.09681101167638</v>
      </c>
      <c r="I182">
        <f t="shared" ca="1" si="17"/>
        <v>97.493499999999983</v>
      </c>
      <c r="J182">
        <f t="shared" ca="1" si="18"/>
        <v>1.1258740464283963</v>
      </c>
      <c r="K182">
        <f t="shared" ca="1" si="19"/>
        <v>99.74524809285677</v>
      </c>
      <c r="L182">
        <f t="shared" ca="1" si="20"/>
        <v>95.241751907143197</v>
      </c>
    </row>
    <row r="183" spans="1:12" x14ac:dyDescent="0.25">
      <c r="A183" vm="538">
        <f ca="1"/>
        <v>45924</v>
      </c>
      <c r="B183" vm="539">
        <f ca="1"/>
        <v>98.81</v>
      </c>
      <c r="C183" s="1" vm="540">
        <f ca="1"/>
        <v>1611788</v>
      </c>
      <c r="D183" s="2">
        <f t="shared" ca="1" si="14"/>
        <v>159260772.28</v>
      </c>
      <c r="E183" s="1">
        <f ca="1">SUM($D$2:D183)/SUM($C$2:C183)</f>
        <v>101.85547245179499</v>
      </c>
      <c r="F183" s="1">
        <f ca="1">_xlfn.STDEV.S($B$2:B183)</f>
        <v>5.8714569054624182</v>
      </c>
      <c r="G183" s="1">
        <f t="shared" ca="1" si="15"/>
        <v>113.59838626271983</v>
      </c>
      <c r="H183" s="1">
        <f t="shared" ca="1" si="16"/>
        <v>90.112558640870162</v>
      </c>
      <c r="I183">
        <f t="shared" ca="1" si="17"/>
        <v>97.447999999999993</v>
      </c>
      <c r="J183">
        <f t="shared" ca="1" si="18"/>
        <v>1.0467674551986972</v>
      </c>
      <c r="K183">
        <f t="shared" ca="1" si="19"/>
        <v>99.541534910397388</v>
      </c>
      <c r="L183">
        <f t="shared" ca="1" si="20"/>
        <v>95.354465089602598</v>
      </c>
    </row>
    <row r="184" spans="1:12" x14ac:dyDescent="0.25">
      <c r="A184" vm="541">
        <f ca="1"/>
        <v>45925</v>
      </c>
      <c r="B184" vm="542">
        <f ca="1"/>
        <v>98.35</v>
      </c>
      <c r="C184" s="1" vm="543">
        <f ca="1"/>
        <v>1848471</v>
      </c>
      <c r="D184" s="2">
        <f t="shared" ca="1" si="14"/>
        <v>181797122.84999999</v>
      </c>
      <c r="E184" s="1">
        <f ca="1">SUM($D$2:D184)/SUM($C$2:C184)</f>
        <v>101.84236595514724</v>
      </c>
      <c r="F184" s="1">
        <f ca="1">_xlfn.STDEV.S($B$2:B184)</f>
        <v>5.8599096938543784</v>
      </c>
      <c r="G184" s="1">
        <f t="shared" ca="1" si="15"/>
        <v>113.562185342856</v>
      </c>
      <c r="H184" s="1">
        <f t="shared" ca="1" si="16"/>
        <v>90.122546567438491</v>
      </c>
      <c r="I184">
        <f t="shared" ca="1" si="17"/>
        <v>97.361999999999995</v>
      </c>
      <c r="J184">
        <f t="shared" ca="1" si="18"/>
        <v>0.87688203611612303</v>
      </c>
      <c r="K184">
        <f t="shared" ca="1" si="19"/>
        <v>99.115764072232238</v>
      </c>
      <c r="L184">
        <f t="shared" ca="1" si="20"/>
        <v>95.608235927767751</v>
      </c>
    </row>
    <row r="185" spans="1:12" x14ac:dyDescent="0.25">
      <c r="A185" vm="544">
        <f ca="1"/>
        <v>45926</v>
      </c>
      <c r="B185" vm="545">
        <f ca="1"/>
        <v>99.62</v>
      </c>
      <c r="C185" s="1" vm="546">
        <f ca="1"/>
        <v>1947302</v>
      </c>
      <c r="D185" s="2">
        <f t="shared" ca="1" si="14"/>
        <v>193990225.24000001</v>
      </c>
      <c r="E185" s="1">
        <f ca="1">SUM($D$2:D185)/SUM($C$2:C185)</f>
        <v>101.83364690692592</v>
      </c>
      <c r="F185" s="1">
        <f ca="1">_xlfn.STDEV.S($B$2:B185)</f>
        <v>5.8454769771102804</v>
      </c>
      <c r="G185" s="1">
        <f t="shared" ca="1" si="15"/>
        <v>113.52460086114648</v>
      </c>
      <c r="H185" s="1">
        <f t="shared" ca="1" si="16"/>
        <v>90.14269295270536</v>
      </c>
      <c r="I185">
        <f t="shared" ca="1" si="17"/>
        <v>97.4345</v>
      </c>
      <c r="J185">
        <f t="shared" ca="1" si="18"/>
        <v>0.99868584702729835</v>
      </c>
      <c r="K185">
        <f t="shared" ca="1" si="19"/>
        <v>99.431871694054593</v>
      </c>
      <c r="L185">
        <f t="shared" ca="1" si="20"/>
        <v>95.437128305945407</v>
      </c>
    </row>
    <row r="186" spans="1:12" x14ac:dyDescent="0.25">
      <c r="A186" vm="547">
        <f ca="1"/>
        <v>45929</v>
      </c>
      <c r="B186" vm="548">
        <f ca="1"/>
        <v>99.57</v>
      </c>
      <c r="C186" s="1" vm="549">
        <f ca="1"/>
        <v>1875302</v>
      </c>
      <c r="D186" s="2">
        <f t="shared" ca="1" si="14"/>
        <v>186723820.13999999</v>
      </c>
      <c r="E186" s="1">
        <f ca="1">SUM($D$2:D186)/SUM($C$2:C186)</f>
        <v>101.82512646124724</v>
      </c>
      <c r="F186" s="1">
        <f ca="1">_xlfn.STDEV.S($B$2:B186)</f>
        <v>5.8312354238825455</v>
      </c>
      <c r="G186" s="1">
        <f t="shared" ca="1" si="15"/>
        <v>113.48759730901233</v>
      </c>
      <c r="H186" s="1">
        <f t="shared" ca="1" si="16"/>
        <v>90.162655613482144</v>
      </c>
      <c r="I186">
        <f t="shared" ca="1" si="17"/>
        <v>97.501499999999993</v>
      </c>
      <c r="J186">
        <f t="shared" ca="1" si="18"/>
        <v>1.0951533177933048</v>
      </c>
      <c r="K186">
        <f t="shared" ca="1" si="19"/>
        <v>99.691806635586602</v>
      </c>
      <c r="L186">
        <f t="shared" ca="1" si="20"/>
        <v>95.311193364413384</v>
      </c>
    </row>
    <row r="187" spans="1:12" x14ac:dyDescent="0.25">
      <c r="A187" vm="550">
        <f ca="1"/>
        <v>45930</v>
      </c>
      <c r="B187" vm="551">
        <f ca="1"/>
        <v>100.52</v>
      </c>
      <c r="C187" s="1" vm="552">
        <f ca="1"/>
        <v>2199219</v>
      </c>
      <c r="D187" s="2">
        <f t="shared" ca="1" si="14"/>
        <v>221065493.88</v>
      </c>
      <c r="E187" s="1">
        <f ca="1">SUM($D$2:D187)/SUM($C$2:C187)</f>
        <v>101.81939070554792</v>
      </c>
      <c r="F187" s="1">
        <f ca="1">_xlfn.STDEV.S($B$2:B187)</f>
        <v>5.8158578092609368</v>
      </c>
      <c r="G187" s="1">
        <f t="shared" ca="1" si="15"/>
        <v>113.4511063240698</v>
      </c>
      <c r="H187" s="1">
        <f t="shared" ca="1" si="16"/>
        <v>90.187675087026037</v>
      </c>
      <c r="I187">
        <f t="shared" ca="1" si="17"/>
        <v>97.66749999999999</v>
      </c>
      <c r="J187">
        <f t="shared" ca="1" si="18"/>
        <v>1.282620159550055</v>
      </c>
      <c r="K187">
        <f t="shared" ca="1" si="19"/>
        <v>100.2327403191001</v>
      </c>
      <c r="L187">
        <f t="shared" ca="1" si="20"/>
        <v>95.102259680899877</v>
      </c>
    </row>
    <row r="188" spans="1:12" x14ac:dyDescent="0.25">
      <c r="A188" vm="553">
        <f ca="1"/>
        <v>45931</v>
      </c>
      <c r="B188" vm="486">
        <f ca="1"/>
        <v>98.17</v>
      </c>
      <c r="C188" s="1" vm="554">
        <f ca="1"/>
        <v>2301874</v>
      </c>
      <c r="D188" s="2">
        <f t="shared" ca="1" si="14"/>
        <v>225974970.58000001</v>
      </c>
      <c r="E188" s="1">
        <f ca="1">SUM($D$2:D188)/SUM($C$2:C188)</f>
        <v>101.80268063292068</v>
      </c>
      <c r="F188" s="1">
        <f ca="1">_xlfn.STDEV.S($B$2:B188)</f>
        <v>5.8051590627652514</v>
      </c>
      <c r="G188" s="1">
        <f t="shared" ca="1" si="15"/>
        <v>113.41299875845118</v>
      </c>
      <c r="H188" s="1">
        <f t="shared" ca="1" si="16"/>
        <v>90.192362507390186</v>
      </c>
      <c r="I188">
        <f t="shared" ca="1" si="17"/>
        <v>97.683499999999995</v>
      </c>
      <c r="J188">
        <f t="shared" ca="1" si="18"/>
        <v>1.2870049891532127</v>
      </c>
      <c r="K188">
        <f t="shared" ca="1" si="19"/>
        <v>100.25750997830642</v>
      </c>
      <c r="L188">
        <f t="shared" ca="1" si="20"/>
        <v>95.109490021693574</v>
      </c>
    </row>
    <row r="189" spans="1:12" x14ac:dyDescent="0.25">
      <c r="A189" vm="555">
        <f ca="1"/>
        <v>45932</v>
      </c>
      <c r="B189" vm="556">
        <f ca="1"/>
        <v>97.64</v>
      </c>
      <c r="C189" s="1" vm="557">
        <f ca="1"/>
        <v>1449485</v>
      </c>
      <c r="D189" s="2">
        <f t="shared" ca="1" si="14"/>
        <v>141527715.40000001</v>
      </c>
      <c r="E189" s="1">
        <f ca="1">SUM($D$2:D189)/SUM($C$2:C189)</f>
        <v>101.79071287362545</v>
      </c>
      <c r="F189" s="1">
        <f ca="1">_xlfn.STDEV.S($B$2:B189)</f>
        <v>5.7962185588419359</v>
      </c>
      <c r="G189" s="1">
        <f t="shared" ca="1" si="15"/>
        <v>113.38314999130932</v>
      </c>
      <c r="H189" s="1">
        <f t="shared" ca="1" si="16"/>
        <v>90.19827575594158</v>
      </c>
      <c r="I189">
        <f t="shared" ca="1" si="17"/>
        <v>97.675499999999985</v>
      </c>
      <c r="J189">
        <f t="shared" ca="1" si="18"/>
        <v>1.286739964733397</v>
      </c>
      <c r="K189">
        <f t="shared" ca="1" si="19"/>
        <v>100.24897992946678</v>
      </c>
      <c r="L189">
        <f t="shared" ca="1" si="20"/>
        <v>95.102020070533186</v>
      </c>
    </row>
    <row r="190" spans="1:12" x14ac:dyDescent="0.25">
      <c r="A190" vm="558">
        <f ca="1"/>
        <v>45933</v>
      </c>
      <c r="B190" vm="539">
        <f ca="1"/>
        <v>98.81</v>
      </c>
      <c r="C190" s="1" vm="559">
        <f ca="1"/>
        <v>1676205</v>
      </c>
      <c r="D190" s="2">
        <f t="shared" ca="1" si="14"/>
        <v>165625816.05000001</v>
      </c>
      <c r="E190" s="1">
        <f ca="1">SUM($D$2:D190)/SUM($C$2:C190)</f>
        <v>101.78083572027104</v>
      </c>
      <c r="F190" s="1">
        <f ca="1">_xlfn.STDEV.S($B$2:B190)</f>
        <v>5.783880014591448</v>
      </c>
      <c r="G190" s="1">
        <f t="shared" ca="1" si="15"/>
        <v>113.34859574945393</v>
      </c>
      <c r="H190" s="1">
        <f t="shared" ca="1" si="16"/>
        <v>90.21307569108815</v>
      </c>
      <c r="I190">
        <f t="shared" ca="1" si="17"/>
        <v>97.713499999999996</v>
      </c>
      <c r="J190">
        <f t="shared" ca="1" si="18"/>
        <v>1.3094043442886938</v>
      </c>
      <c r="K190">
        <f t="shared" ca="1" si="19"/>
        <v>100.33230868857738</v>
      </c>
      <c r="L190">
        <f t="shared" ca="1" si="20"/>
        <v>95.094691311422608</v>
      </c>
    </row>
    <row r="191" spans="1:12" x14ac:dyDescent="0.25">
      <c r="A191" vm="560">
        <f ca="1"/>
        <v>45936</v>
      </c>
      <c r="B191" vm="561">
        <f ca="1"/>
        <v>99.33</v>
      </c>
      <c r="C191" s="1" vm="562">
        <f ca="1"/>
        <v>1769805</v>
      </c>
      <c r="D191" s="2">
        <f t="shared" ca="1" si="14"/>
        <v>175794730.65000001</v>
      </c>
      <c r="E191" s="1">
        <f ca="1">SUM($D$2:D191)/SUM($C$2:C191)</f>
        <v>101.77229081376335</v>
      </c>
      <c r="F191" s="1">
        <f ca="1">_xlfn.STDEV.S($B$2:B191)</f>
        <v>5.7705094687886103</v>
      </c>
      <c r="G191" s="1">
        <f t="shared" ca="1" si="15"/>
        <v>113.31330975134057</v>
      </c>
      <c r="H191" s="1">
        <f t="shared" ca="1" si="16"/>
        <v>90.231271876186128</v>
      </c>
      <c r="I191">
        <f t="shared" ca="1" si="17"/>
        <v>97.847499999999997</v>
      </c>
      <c r="J191">
        <f t="shared" ca="1" si="18"/>
        <v>1.3317810591361043</v>
      </c>
      <c r="K191">
        <f t="shared" ca="1" si="19"/>
        <v>100.51106211827221</v>
      </c>
      <c r="L191">
        <f t="shared" ca="1" si="20"/>
        <v>95.183937881727786</v>
      </c>
    </row>
    <row r="192" spans="1:12" x14ac:dyDescent="0.25">
      <c r="A192" vm="563">
        <f ca="1"/>
        <v>45937</v>
      </c>
      <c r="B192" vm="564">
        <f ca="1"/>
        <v>100.04</v>
      </c>
      <c r="C192" s="1" vm="565">
        <f ca="1"/>
        <v>1722042</v>
      </c>
      <c r="D192" s="2">
        <f t="shared" ca="1" si="14"/>
        <v>172273081.68000001</v>
      </c>
      <c r="E192" s="1">
        <f ca="1">SUM($D$2:D192)/SUM($C$2:C192)</f>
        <v>101.76643399997829</v>
      </c>
      <c r="F192" s="1">
        <f ca="1">_xlfn.STDEV.S($B$2:B192)</f>
        <v>5.756129495869228</v>
      </c>
      <c r="G192" s="1">
        <f t="shared" ca="1" si="15"/>
        <v>113.27869299171675</v>
      </c>
      <c r="H192" s="1">
        <f t="shared" ca="1" si="16"/>
        <v>90.254175008239827</v>
      </c>
      <c r="I192">
        <f t="shared" ca="1" si="17"/>
        <v>98.000499999999988</v>
      </c>
      <c r="J192">
        <f t="shared" ca="1" si="18"/>
        <v>1.4008549081486676</v>
      </c>
      <c r="K192">
        <f t="shared" ca="1" si="19"/>
        <v>100.80220981629732</v>
      </c>
      <c r="L192">
        <f t="shared" ca="1" si="20"/>
        <v>95.198790183702656</v>
      </c>
    </row>
    <row r="193" spans="1:12" x14ac:dyDescent="0.25">
      <c r="A193" vm="566">
        <f ca="1"/>
        <v>45938</v>
      </c>
      <c r="B193" vm="567">
        <f ca="1"/>
        <v>100.83</v>
      </c>
      <c r="C193" s="1" vm="568">
        <f ca="1"/>
        <v>1570590</v>
      </c>
      <c r="D193" s="2">
        <f t="shared" ca="1" si="14"/>
        <v>158362589.69999999</v>
      </c>
      <c r="E193" s="1">
        <f ca="1">SUM($D$2:D193)/SUM($C$2:C193)</f>
        <v>101.76355527788624</v>
      </c>
      <c r="F193" s="1">
        <f ca="1">_xlfn.STDEV.S($B$2:B193)</f>
        <v>5.7411786638133364</v>
      </c>
      <c r="G193" s="1">
        <f t="shared" ca="1" si="15"/>
        <v>113.24591260551291</v>
      </c>
      <c r="H193" s="1">
        <f t="shared" ca="1" si="16"/>
        <v>90.281197950259568</v>
      </c>
      <c r="I193">
        <f t="shared" ca="1" si="17"/>
        <v>98.187999999999988</v>
      </c>
      <c r="J193">
        <f t="shared" ca="1" si="18"/>
        <v>1.5172884401214941</v>
      </c>
      <c r="K193">
        <f t="shared" ca="1" si="19"/>
        <v>101.22257688024298</v>
      </c>
      <c r="L193">
        <f t="shared" ca="1" si="20"/>
        <v>95.153423119756994</v>
      </c>
    </row>
    <row r="194" spans="1:12" x14ac:dyDescent="0.25">
      <c r="A194" vm="569">
        <f ca="1"/>
        <v>45939</v>
      </c>
      <c r="B194" vm="570">
        <f ca="1"/>
        <v>100.8</v>
      </c>
      <c r="C194" s="1" vm="571">
        <f ca="1"/>
        <v>1816124</v>
      </c>
      <c r="D194" s="2">
        <f t="shared" ca="1" si="14"/>
        <v>183065299.19999999</v>
      </c>
      <c r="E194" s="1">
        <f ca="1">SUM($D$2:D194)/SUM($C$2:C194)</f>
        <v>101.76014224231949</v>
      </c>
      <c r="F194" s="1">
        <f ca="1">_xlfn.STDEV.S($B$2:B194)</f>
        <v>5.7263589892108637</v>
      </c>
      <c r="G194" s="1">
        <f t="shared" ca="1" si="15"/>
        <v>113.21286022074122</v>
      </c>
      <c r="H194" s="1">
        <f t="shared" ca="1" si="16"/>
        <v>90.307424263897758</v>
      </c>
      <c r="I194">
        <f t="shared" ca="1" si="17"/>
        <v>98.342999999999989</v>
      </c>
      <c r="J194">
        <f t="shared" ca="1" si="18"/>
        <v>1.6196981525158194</v>
      </c>
      <c r="K194">
        <f t="shared" ca="1" si="19"/>
        <v>101.58239630503162</v>
      </c>
      <c r="L194">
        <f t="shared" ca="1" si="20"/>
        <v>95.103603694968356</v>
      </c>
    </row>
    <row r="195" spans="1:12" x14ac:dyDescent="0.25">
      <c r="A195" vm="572">
        <f ca="1"/>
        <v>45940</v>
      </c>
      <c r="B195" vm="573">
        <f ca="1"/>
        <v>102.39</v>
      </c>
      <c r="C195" s="1" vm="574">
        <f ca="1"/>
        <v>2059205</v>
      </c>
      <c r="D195" s="2">
        <f t="shared" ref="D195:D239" ca="1" si="21">B195*C195</f>
        <v>210841999.94999999</v>
      </c>
      <c r="E195" s="1">
        <f ca="1">SUM($D$2:D195)/SUM($C$2:C195)</f>
        <v>101.76266177511989</v>
      </c>
      <c r="F195" s="1">
        <f ca="1">_xlfn.STDEV.S($B$2:B195)</f>
        <v>5.7119700124856294</v>
      </c>
      <c r="G195" s="1">
        <f t="shared" ref="G195:G239" ca="1" si="22">IF(E195="","", E195 + (F195*2))</f>
        <v>113.18660180009115</v>
      </c>
      <c r="H195" s="1">
        <f t="shared" ref="H195:H239" ca="1" si="23">IF(E195="","", E195 - (F195*2))</f>
        <v>90.338721750148636</v>
      </c>
      <c r="I195">
        <f t="shared" ca="1" si="17"/>
        <v>98.584999999999994</v>
      </c>
      <c r="J195">
        <f t="shared" ca="1" si="18"/>
        <v>1.8413824897842954</v>
      </c>
      <c r="K195">
        <f t="shared" ca="1" si="19"/>
        <v>102.26776497956858</v>
      </c>
      <c r="L195">
        <f t="shared" ca="1" si="20"/>
        <v>94.902235020431405</v>
      </c>
    </row>
    <row r="196" spans="1:12" x14ac:dyDescent="0.25">
      <c r="A196" vm="575">
        <f ca="1"/>
        <v>45943</v>
      </c>
      <c r="B196" vm="576">
        <f ca="1"/>
        <v>100.86</v>
      </c>
      <c r="C196" s="1" vm="577">
        <f ca="1"/>
        <v>1515680</v>
      </c>
      <c r="D196" s="2">
        <f t="shared" ca="1" si="21"/>
        <v>152871484.80000001</v>
      </c>
      <c r="E196" s="1">
        <f ca="1">SUM($D$2:D196)/SUM($C$2:C196)</f>
        <v>101.76001184942045</v>
      </c>
      <c r="F196" s="1">
        <f ca="1">_xlfn.STDEV.S($B$2:B196)</f>
        <v>5.697350946590662</v>
      </c>
      <c r="G196" s="1">
        <f t="shared" ca="1" si="22"/>
        <v>113.15471374260177</v>
      </c>
      <c r="H196" s="1">
        <f t="shared" ca="1" si="23"/>
        <v>90.36530995623913</v>
      </c>
      <c r="I196">
        <f t="shared" ca="1" si="17"/>
        <v>98.777999999999992</v>
      </c>
      <c r="J196">
        <f t="shared" ca="1" si="18"/>
        <v>1.8685981235590554</v>
      </c>
      <c r="K196">
        <f t="shared" ca="1" si="19"/>
        <v>102.5151962471181</v>
      </c>
      <c r="L196">
        <f t="shared" ca="1" si="20"/>
        <v>95.040803752881885</v>
      </c>
    </row>
    <row r="197" spans="1:12" x14ac:dyDescent="0.25">
      <c r="A197" vm="578">
        <f ca="1"/>
        <v>45944</v>
      </c>
      <c r="B197" vm="579">
        <f ca="1"/>
        <v>101.89</v>
      </c>
      <c r="C197" s="1" vm="580">
        <f ca="1"/>
        <v>1423256</v>
      </c>
      <c r="D197" s="2">
        <f t="shared" ca="1" si="21"/>
        <v>145015553.84</v>
      </c>
      <c r="E197" s="1">
        <f ca="1">SUM($D$2:D197)/SUM($C$2:C197)</f>
        <v>101.76036919824318</v>
      </c>
      <c r="F197" s="1">
        <f ca="1">_xlfn.STDEV.S($B$2:B197)</f>
        <v>5.6828417265447984</v>
      </c>
      <c r="G197" s="1">
        <f t="shared" ca="1" si="22"/>
        <v>113.12605265133278</v>
      </c>
      <c r="H197" s="1">
        <f t="shared" ca="1" si="23"/>
        <v>90.394685745153581</v>
      </c>
      <c r="I197">
        <f t="shared" ca="1" si="17"/>
        <v>99.093999999999994</v>
      </c>
      <c r="J197">
        <f t="shared" ca="1" si="18"/>
        <v>1.8315607379615082</v>
      </c>
      <c r="K197">
        <f t="shared" ca="1" si="19"/>
        <v>102.75712147592301</v>
      </c>
      <c r="L197">
        <f t="shared" ca="1" si="20"/>
        <v>95.430878524076974</v>
      </c>
    </row>
    <row r="198" spans="1:12" x14ac:dyDescent="0.25">
      <c r="A198" vm="581">
        <f ca="1"/>
        <v>45945</v>
      </c>
      <c r="B198" vm="582">
        <f ca="1"/>
        <v>102.29</v>
      </c>
      <c r="C198" s="1" vm="583">
        <f ca="1"/>
        <v>1556615</v>
      </c>
      <c r="D198" s="2">
        <f t="shared" ca="1" si="21"/>
        <v>159226148.35000002</v>
      </c>
      <c r="E198" s="1">
        <f ca="1">SUM($D$2:D198)/SUM($C$2:C198)</f>
        <v>101.7619568534388</v>
      </c>
      <c r="F198" s="1">
        <f ca="1">_xlfn.STDEV.S($B$2:B198)</f>
        <v>5.6686972565985378</v>
      </c>
      <c r="G198" s="1">
        <f t="shared" ca="1" si="22"/>
        <v>113.09935136663589</v>
      </c>
      <c r="H198" s="1">
        <f t="shared" ca="1" si="23"/>
        <v>90.424562340241721</v>
      </c>
      <c r="I198">
        <f t="shared" ca="1" si="17"/>
        <v>99.388499999999993</v>
      </c>
      <c r="J198">
        <f t="shared" ca="1" si="18"/>
        <v>1.8490375163425183</v>
      </c>
      <c r="K198">
        <f t="shared" ca="1" si="19"/>
        <v>103.08657503268503</v>
      </c>
      <c r="L198">
        <f t="shared" ca="1" si="20"/>
        <v>95.690424967314954</v>
      </c>
    </row>
    <row r="199" spans="1:12" x14ac:dyDescent="0.25">
      <c r="A199" vm="584">
        <f ca="1"/>
        <v>45946</v>
      </c>
      <c r="B199" vm="383">
        <f ca="1"/>
        <v>101.07</v>
      </c>
      <c r="C199" s="1" vm="585">
        <f ca="1"/>
        <v>1558806</v>
      </c>
      <c r="D199" s="2">
        <f t="shared" ca="1" si="21"/>
        <v>157548522.41999999</v>
      </c>
      <c r="E199" s="1">
        <f ca="1">SUM($D$2:D199)/SUM($C$2:C199)</f>
        <v>101.75988589645213</v>
      </c>
      <c r="F199" s="1">
        <f ca="1">_xlfn.STDEV.S($B$2:B199)</f>
        <v>5.6543354887203305</v>
      </c>
      <c r="G199" s="1">
        <f t="shared" ca="1" si="22"/>
        <v>113.06855687389279</v>
      </c>
      <c r="H199" s="1">
        <f t="shared" ca="1" si="23"/>
        <v>90.451214919011477</v>
      </c>
      <c r="I199">
        <f t="shared" ca="1" si="17"/>
        <v>99.624499999999983</v>
      </c>
      <c r="J199">
        <f t="shared" ca="1" si="18"/>
        <v>1.7387366103007091</v>
      </c>
      <c r="K199">
        <f t="shared" ca="1" si="19"/>
        <v>103.10197322060141</v>
      </c>
      <c r="L199">
        <f t="shared" ca="1" si="20"/>
        <v>96.147026779398558</v>
      </c>
    </row>
    <row r="200" spans="1:12" x14ac:dyDescent="0.25">
      <c r="A200" vm="586">
        <f ca="1"/>
        <v>45947</v>
      </c>
      <c r="B200" vm="587">
        <f ca="1"/>
        <v>101.19</v>
      </c>
      <c r="C200" s="1" vm="588">
        <f ca="1"/>
        <v>1597575</v>
      </c>
      <c r="D200" s="2">
        <f t="shared" ca="1" si="21"/>
        <v>161658614.25</v>
      </c>
      <c r="E200" s="1">
        <f ca="1">SUM($D$2:D200)/SUM($C$2:C200)</f>
        <v>101.75814321073445</v>
      </c>
      <c r="F200" s="1">
        <f ca="1">_xlfn.STDEV.S($B$2:B200)</f>
        <v>5.6400553192196314</v>
      </c>
      <c r="G200" s="1">
        <f t="shared" ca="1" si="22"/>
        <v>113.03825384917371</v>
      </c>
      <c r="H200" s="1">
        <f t="shared" ca="1" si="23"/>
        <v>90.478032572295177</v>
      </c>
      <c r="I200">
        <f t="shared" ca="1" si="17"/>
        <v>99.867499999999978</v>
      </c>
      <c r="J200">
        <f t="shared" ca="1" si="18"/>
        <v>1.5870690463539183</v>
      </c>
      <c r="K200">
        <f t="shared" ca="1" si="19"/>
        <v>103.04163809270781</v>
      </c>
      <c r="L200">
        <f t="shared" ca="1" si="20"/>
        <v>96.693361907292143</v>
      </c>
    </row>
    <row r="201" spans="1:12" x14ac:dyDescent="0.25">
      <c r="A201" vm="589">
        <f ca="1"/>
        <v>45950</v>
      </c>
      <c r="B201" vm="590">
        <f ca="1"/>
        <v>101.72</v>
      </c>
      <c r="C201" s="1" vm="591">
        <f ca="1"/>
        <v>1129321</v>
      </c>
      <c r="D201" s="2">
        <f t="shared" ca="1" si="21"/>
        <v>114874532.12</v>
      </c>
      <c r="E201" s="1">
        <f ca="1">SUM($D$2:D201)/SUM($C$2:C201)</f>
        <v>101.75806093594592</v>
      </c>
      <c r="F201" s="1">
        <f ca="1">_xlfn.STDEV.S($B$2:B201)</f>
        <v>5.6259173480897946</v>
      </c>
      <c r="G201" s="1">
        <f t="shared" ca="1" si="22"/>
        <v>113.00989563212551</v>
      </c>
      <c r="H201" s="1">
        <f t="shared" ca="1" si="23"/>
        <v>90.506226239766335</v>
      </c>
      <c r="I201">
        <f t="shared" ca="1" si="17"/>
        <v>100.1225</v>
      </c>
      <c r="J201">
        <f t="shared" ca="1" si="18"/>
        <v>1.4407961066898509</v>
      </c>
      <c r="K201">
        <f t="shared" ca="1" si="19"/>
        <v>103.00409221337971</v>
      </c>
      <c r="L201">
        <f t="shared" ca="1" si="20"/>
        <v>97.240907786620298</v>
      </c>
    </row>
    <row r="202" spans="1:12" x14ac:dyDescent="0.25">
      <c r="A202" vm="592">
        <f ca="1"/>
        <v>45951</v>
      </c>
      <c r="B202" vm="593">
        <f ca="1"/>
        <v>101.56</v>
      </c>
      <c r="C202" s="1" vm="594">
        <f ca="1"/>
        <v>1116965</v>
      </c>
      <c r="D202" s="2">
        <f t="shared" ca="1" si="21"/>
        <v>113438965.40000001</v>
      </c>
      <c r="E202" s="1">
        <f ca="1">SUM($D$2:D202)/SUM($C$2:C202)</f>
        <v>101.75763929286363</v>
      </c>
      <c r="F202" s="1">
        <f ca="1">_xlfn.STDEV.S($B$2:B202)</f>
        <v>5.6118487619823831</v>
      </c>
      <c r="G202" s="1">
        <f t="shared" ca="1" si="22"/>
        <v>112.98133681682839</v>
      </c>
      <c r="H202" s="1">
        <f t="shared" ca="1" si="23"/>
        <v>90.53394176889887</v>
      </c>
      <c r="I202">
        <f t="shared" ca="1" si="17"/>
        <v>100.273</v>
      </c>
      <c r="J202">
        <f t="shared" ca="1" si="18"/>
        <v>1.4250137580129942</v>
      </c>
      <c r="K202">
        <f t="shared" ca="1" si="19"/>
        <v>103.12302751602599</v>
      </c>
      <c r="L202">
        <f t="shared" ca="1" si="20"/>
        <v>97.422972483974007</v>
      </c>
    </row>
    <row r="203" spans="1:12" x14ac:dyDescent="0.25">
      <c r="A203" vm="595">
        <f ca="1"/>
        <v>45952</v>
      </c>
      <c r="B203" vm="596">
        <f ca="1"/>
        <v>101.94</v>
      </c>
      <c r="C203" s="1" vm="597">
        <f ca="1"/>
        <v>1508989</v>
      </c>
      <c r="D203" s="2">
        <f t="shared" ca="1" si="21"/>
        <v>153826338.66</v>
      </c>
      <c r="E203" s="1">
        <f ca="1">SUM($D$2:D203)/SUM($C$2:C203)</f>
        <v>101.75816226274767</v>
      </c>
      <c r="F203" s="1">
        <f ca="1">_xlfn.STDEV.S($B$2:B203)</f>
        <v>5.5980081114202012</v>
      </c>
      <c r="G203" s="1">
        <f t="shared" ca="1" si="22"/>
        <v>112.95417848558807</v>
      </c>
      <c r="H203" s="1">
        <f t="shared" ca="1" si="23"/>
        <v>90.562146039907276</v>
      </c>
      <c r="I203">
        <f t="shared" ca="1" si="17"/>
        <v>100.4295</v>
      </c>
      <c r="J203">
        <f t="shared" ca="1" si="18"/>
        <v>1.4277567056492211</v>
      </c>
      <c r="K203">
        <f t="shared" ca="1" si="19"/>
        <v>103.28501341129845</v>
      </c>
      <c r="L203">
        <f t="shared" ca="1" si="20"/>
        <v>97.573986588701558</v>
      </c>
    </row>
    <row r="204" spans="1:12" x14ac:dyDescent="0.25">
      <c r="A204" vm="598">
        <f ca="1"/>
        <v>45953</v>
      </c>
      <c r="B204" vm="460">
        <f ca="1"/>
        <v>100.77</v>
      </c>
      <c r="C204" s="1" vm="599">
        <f ca="1"/>
        <v>1302838</v>
      </c>
      <c r="D204" s="2">
        <f t="shared" ca="1" si="21"/>
        <v>131286985.25999999</v>
      </c>
      <c r="E204" s="1">
        <f ca="1">SUM($D$2:D204)/SUM($C$2:C204)</f>
        <v>101.75572162098516</v>
      </c>
      <c r="F204" s="1">
        <f ca="1">_xlfn.STDEV.S($B$2:B204)</f>
        <v>5.5843023653254482</v>
      </c>
      <c r="G204" s="1">
        <f t="shared" ca="1" si="22"/>
        <v>112.92432635163605</v>
      </c>
      <c r="H204" s="1">
        <f t="shared" ca="1" si="23"/>
        <v>90.587116890334258</v>
      </c>
      <c r="I204">
        <f t="shared" ca="1" si="17"/>
        <v>100.5505</v>
      </c>
      <c r="J204">
        <f t="shared" ca="1" si="18"/>
        <v>1.3422309590262105</v>
      </c>
      <c r="K204">
        <f t="shared" ca="1" si="19"/>
        <v>103.23496191805242</v>
      </c>
      <c r="L204">
        <f t="shared" ca="1" si="20"/>
        <v>97.866038081947579</v>
      </c>
    </row>
    <row r="205" spans="1:12" x14ac:dyDescent="0.25">
      <c r="A205" vm="600">
        <f ca="1"/>
        <v>45954</v>
      </c>
      <c r="B205" vm="564">
        <f ca="1"/>
        <v>100.04</v>
      </c>
      <c r="C205" s="1" vm="601">
        <f ca="1"/>
        <v>1036366</v>
      </c>
      <c r="D205" s="2">
        <f t="shared" ca="1" si="21"/>
        <v>103678054.64</v>
      </c>
      <c r="E205" s="1">
        <f ca="1">SUM($D$2:D205)/SUM($C$2:C205)</f>
        <v>101.75235733495832</v>
      </c>
      <c r="F205" s="1">
        <f ca="1">_xlfn.STDEV.S($B$2:B205)</f>
        <v>5.5713255891781923</v>
      </c>
      <c r="G205" s="1">
        <f t="shared" ca="1" si="22"/>
        <v>112.89500851331471</v>
      </c>
      <c r="H205" s="1">
        <f t="shared" ca="1" si="23"/>
        <v>90.609706156601931</v>
      </c>
      <c r="I205">
        <f t="shared" ca="1" si="17"/>
        <v>100.57149999999999</v>
      </c>
      <c r="J205">
        <f t="shared" ca="1" si="18"/>
        <v>1.3301376066526269</v>
      </c>
      <c r="K205">
        <f t="shared" ca="1" si="19"/>
        <v>103.23177521330524</v>
      </c>
      <c r="L205">
        <f t="shared" ca="1" si="20"/>
        <v>97.911224786694731</v>
      </c>
    </row>
    <row r="206" spans="1:12" x14ac:dyDescent="0.25">
      <c r="A206" vm="602">
        <f ca="1"/>
        <v>45957</v>
      </c>
      <c r="B206" vm="603">
        <f ca="1"/>
        <v>100.22</v>
      </c>
      <c r="C206" s="1" vm="604">
        <f ca="1"/>
        <v>1537561</v>
      </c>
      <c r="D206" s="2">
        <f t="shared" ca="1" si="21"/>
        <v>154094363.41999999</v>
      </c>
      <c r="E206" s="1">
        <f ca="1">SUM($D$2:D206)/SUM($C$2:C206)</f>
        <v>101.74791241703545</v>
      </c>
      <c r="F206" s="1">
        <f ca="1">_xlfn.STDEV.S($B$2:B206)</f>
        <v>5.558241409022787</v>
      </c>
      <c r="G206" s="1">
        <f t="shared" ca="1" si="22"/>
        <v>112.86439523508102</v>
      </c>
      <c r="H206" s="1">
        <f t="shared" ca="1" si="23"/>
        <v>90.631429598989882</v>
      </c>
      <c r="I206">
        <f t="shared" ca="1" si="17"/>
        <v>100.604</v>
      </c>
      <c r="J206">
        <f t="shared" ca="1" si="18"/>
        <v>1.3121994392702092</v>
      </c>
      <c r="K206">
        <f t="shared" ca="1" si="19"/>
        <v>103.22839887854042</v>
      </c>
      <c r="L206">
        <f t="shared" ca="1" si="20"/>
        <v>97.979601121459581</v>
      </c>
    </row>
    <row r="207" spans="1:12" x14ac:dyDescent="0.25">
      <c r="A207" vm="605">
        <f ca="1"/>
        <v>45958</v>
      </c>
      <c r="B207" vm="536">
        <f ca="1"/>
        <v>98.55</v>
      </c>
      <c r="C207" s="1" vm="606">
        <f ca="1"/>
        <v>1156747</v>
      </c>
      <c r="D207" s="2">
        <f t="shared" ca="1" si="21"/>
        <v>113997416.84999999</v>
      </c>
      <c r="E207" s="1">
        <f ca="1">SUM($D$2:D207)/SUM($C$2:C207)</f>
        <v>101.74094888514185</v>
      </c>
      <c r="F207" s="1">
        <f ca="1">_xlfn.STDEV.S($B$2:B207)</f>
        <v>5.5481524430762166</v>
      </c>
      <c r="G207" s="1">
        <f t="shared" ca="1" si="22"/>
        <v>112.83725377129429</v>
      </c>
      <c r="H207" s="1">
        <f t="shared" ca="1" si="23"/>
        <v>90.644643998989409</v>
      </c>
      <c r="I207">
        <f t="shared" ca="1" si="17"/>
        <v>100.5055</v>
      </c>
      <c r="J207">
        <f t="shared" ca="1" si="18"/>
        <v>1.3904428488037446</v>
      </c>
      <c r="K207">
        <f t="shared" ca="1" si="19"/>
        <v>103.28638569760749</v>
      </c>
      <c r="L207">
        <f t="shared" ca="1" si="20"/>
        <v>97.72461430239251</v>
      </c>
    </row>
    <row r="208" spans="1:12" x14ac:dyDescent="0.25">
      <c r="A208" vm="607">
        <f ca="1"/>
        <v>45959</v>
      </c>
      <c r="B208" vm="518">
        <f ca="1"/>
        <v>97</v>
      </c>
      <c r="C208" s="1" vm="608">
        <f ca="1"/>
        <v>1804147</v>
      </c>
      <c r="D208" s="2">
        <f t="shared" ca="1" si="21"/>
        <v>175002259</v>
      </c>
      <c r="E208" s="1">
        <f ca="1">SUM($D$2:D208)/SUM($C$2:C208)</f>
        <v>101.72490205142635</v>
      </c>
      <c r="F208" s="1">
        <f ca="1">_xlfn.STDEV.S($B$2:B208)</f>
        <v>5.5429521342131514</v>
      </c>
      <c r="G208" s="1">
        <f t="shared" ca="1" si="22"/>
        <v>112.81080631985266</v>
      </c>
      <c r="H208" s="1">
        <f t="shared" ca="1" si="23"/>
        <v>90.63899778300005</v>
      </c>
      <c r="I208">
        <f t="shared" ca="1" si="17"/>
        <v>100.44699999999999</v>
      </c>
      <c r="J208">
        <f t="shared" ca="1" si="18"/>
        <v>1.5130801627631525</v>
      </c>
      <c r="K208">
        <f t="shared" ca="1" si="19"/>
        <v>103.47316032552629</v>
      </c>
      <c r="L208">
        <f t="shared" ca="1" si="20"/>
        <v>97.420839674473683</v>
      </c>
    </row>
    <row r="209" spans="1:12" x14ac:dyDescent="0.25">
      <c r="A209" vm="609">
        <f ca="1"/>
        <v>45960</v>
      </c>
      <c r="B209" vm="610">
        <f ca="1"/>
        <v>98.19</v>
      </c>
      <c r="C209" s="1" vm="611">
        <f ca="1"/>
        <v>2073284</v>
      </c>
      <c r="D209" s="2">
        <f t="shared" ca="1" si="21"/>
        <v>203575755.96000001</v>
      </c>
      <c r="E209" s="1">
        <f ca="1">SUM($D$2:D209)/SUM($C$2:C209)</f>
        <v>101.71120577978107</v>
      </c>
      <c r="F209" s="1">
        <f ca="1">_xlfn.STDEV.S($B$2:B209)</f>
        <v>5.5338507291582228</v>
      </c>
      <c r="G209" s="1">
        <f t="shared" ca="1" si="22"/>
        <v>112.77890723809752</v>
      </c>
      <c r="H209" s="1">
        <f t="shared" ca="1" si="23"/>
        <v>90.643504321464619</v>
      </c>
      <c r="I209">
        <f t="shared" ca="1" si="17"/>
        <v>100.47450000000001</v>
      </c>
      <c r="J209">
        <f t="shared" ca="1" si="18"/>
        <v>1.463566210539031</v>
      </c>
      <c r="K209">
        <f t="shared" ca="1" si="19"/>
        <v>103.40163242107806</v>
      </c>
      <c r="L209">
        <f t="shared" ca="1" si="20"/>
        <v>97.54736757892195</v>
      </c>
    </row>
    <row r="210" spans="1:12" x14ac:dyDescent="0.25">
      <c r="A210" vm="612">
        <f ca="1"/>
        <v>45961</v>
      </c>
      <c r="B210" vm="613">
        <f ca="1"/>
        <v>97.41</v>
      </c>
      <c r="C210" s="1" vm="614">
        <f ca="1"/>
        <v>2770794</v>
      </c>
      <c r="D210" s="2">
        <f t="shared" ca="1" si="21"/>
        <v>269903043.53999996</v>
      </c>
      <c r="E210" s="1">
        <f ca="1">SUM($D$2:D210)/SUM($C$2:C210)</f>
        <v>101.68904843978852</v>
      </c>
      <c r="F210" s="1">
        <f ca="1">_xlfn.STDEV.S($B$2:B210)</f>
        <v>5.5271595494382684</v>
      </c>
      <c r="G210" s="1">
        <f t="shared" ca="1" si="22"/>
        <v>112.74336753866505</v>
      </c>
      <c r="H210" s="1">
        <f t="shared" ca="1" si="23"/>
        <v>90.634729340911989</v>
      </c>
      <c r="I210">
        <f t="shared" ca="1" si="17"/>
        <v>100.40450000000001</v>
      </c>
      <c r="J210">
        <f t="shared" ca="1" si="18"/>
        <v>1.576490022002577</v>
      </c>
      <c r="K210">
        <f t="shared" ca="1" si="19"/>
        <v>103.55748004400516</v>
      </c>
      <c r="L210">
        <f t="shared" ca="1" si="20"/>
        <v>97.251519955994866</v>
      </c>
    </row>
    <row r="211" spans="1:12" x14ac:dyDescent="0.25">
      <c r="A211" vm="615">
        <f ca="1"/>
        <v>45964</v>
      </c>
      <c r="B211" vm="616">
        <f ca="1"/>
        <v>96.64</v>
      </c>
      <c r="C211" s="1" vm="617">
        <f ca="1"/>
        <v>1692176</v>
      </c>
      <c r="D211" s="2">
        <f t="shared" ca="1" si="21"/>
        <v>163531888.64000002</v>
      </c>
      <c r="E211" s="1">
        <f ca="1">SUM($D$2:D211)/SUM($C$2:C211)</f>
        <v>101.6732135861357</v>
      </c>
      <c r="F211" s="1">
        <f ca="1">_xlfn.STDEV.S($B$2:B211)</f>
        <v>5.5233023233822349</v>
      </c>
      <c r="G211" s="1">
        <f t="shared" ca="1" si="22"/>
        <v>112.71981823290017</v>
      </c>
      <c r="H211" s="1">
        <f t="shared" ca="1" si="23"/>
        <v>90.626608939371238</v>
      </c>
      <c r="I211">
        <f t="shared" ca="1" si="17"/>
        <v>100.27000000000001</v>
      </c>
      <c r="J211">
        <f t="shared" ca="1" si="18"/>
        <v>1.7752123668362674</v>
      </c>
      <c r="K211">
        <f t="shared" ca="1" si="19"/>
        <v>103.82042473367254</v>
      </c>
      <c r="L211">
        <f t="shared" ca="1" si="20"/>
        <v>96.719575266327482</v>
      </c>
    </row>
    <row r="212" spans="1:12" x14ac:dyDescent="0.25">
      <c r="A212" vm="618">
        <f ca="1"/>
        <v>45965</v>
      </c>
      <c r="B212" vm="619">
        <f ca="1"/>
        <v>97.96</v>
      </c>
      <c r="C212" s="1" vm="620">
        <f ca="1"/>
        <v>1614634</v>
      </c>
      <c r="D212" s="2">
        <f t="shared" ca="1" si="21"/>
        <v>158169546.63999999</v>
      </c>
      <c r="E212" s="1">
        <f ca="1">SUM($D$2:D212)/SUM($C$2:C212)</f>
        <v>101.66213497478019</v>
      </c>
      <c r="F212" s="1">
        <f ca="1">_xlfn.STDEV.S($B$2:B212)</f>
        <v>5.5148767068177937</v>
      </c>
      <c r="G212" s="1">
        <f t="shared" ca="1" si="22"/>
        <v>112.69188838841578</v>
      </c>
      <c r="H212" s="1">
        <f t="shared" ca="1" si="23"/>
        <v>90.632381561144598</v>
      </c>
      <c r="I212">
        <f t="shared" ca="1" si="17"/>
        <v>100.16600000000001</v>
      </c>
      <c r="J212">
        <f t="shared" ca="1" si="18"/>
        <v>1.8487987565187471</v>
      </c>
      <c r="K212">
        <f t="shared" ca="1" si="19"/>
        <v>103.8635975130375</v>
      </c>
      <c r="L212">
        <f t="shared" ca="1" si="20"/>
        <v>96.468402486962518</v>
      </c>
    </row>
    <row r="213" spans="1:12" x14ac:dyDescent="0.25">
      <c r="A213" vm="621">
        <f ca="1"/>
        <v>45966</v>
      </c>
      <c r="B213" vm="622">
        <f ca="1"/>
        <v>96.11</v>
      </c>
      <c r="C213" s="1" vm="623">
        <f ca="1"/>
        <v>2273863</v>
      </c>
      <c r="D213" s="2">
        <f t="shared" ca="1" si="21"/>
        <v>218540972.93000001</v>
      </c>
      <c r="E213" s="1">
        <f ca="1">SUM($D$2:D213)/SUM($C$2:C213)</f>
        <v>101.6389041484037</v>
      </c>
      <c r="F213" s="1">
        <f ca="1">_xlfn.STDEV.S($B$2:B213)</f>
        <v>5.5131733867414328</v>
      </c>
      <c r="G213" s="1">
        <f t="shared" ca="1" si="22"/>
        <v>112.66525092188657</v>
      </c>
      <c r="H213" s="1">
        <f t="shared" ca="1" si="23"/>
        <v>90.612557374920826</v>
      </c>
      <c r="I213">
        <f t="shared" ca="1" si="17"/>
        <v>99.93</v>
      </c>
      <c r="J213">
        <f t="shared" ca="1" si="18"/>
        <v>2.0498960179020127</v>
      </c>
      <c r="K213">
        <f t="shared" ca="1" si="19"/>
        <v>104.02979203580404</v>
      </c>
      <c r="L213">
        <f t="shared" ca="1" si="20"/>
        <v>95.830207964195978</v>
      </c>
    </row>
    <row r="214" spans="1:12" x14ac:dyDescent="0.25">
      <c r="A214" vm="624">
        <f ca="1"/>
        <v>45967</v>
      </c>
      <c r="B214" vm="625">
        <f ca="1"/>
        <v>96.99</v>
      </c>
      <c r="C214" s="1" vm="626">
        <f ca="1"/>
        <v>3064515</v>
      </c>
      <c r="D214" s="2">
        <f t="shared" ca="1" si="21"/>
        <v>297227309.84999996</v>
      </c>
      <c r="E214" s="1">
        <f ca="1">SUM($D$2:D214)/SUM($C$2:C214)</f>
        <v>101.61283597600872</v>
      </c>
      <c r="F214" s="1">
        <f ca="1">_xlfn.STDEV.S($B$2:B214)</f>
        <v>5.5078618469490941</v>
      </c>
      <c r="G214" s="1">
        <f t="shared" ca="1" si="22"/>
        <v>112.62855966990691</v>
      </c>
      <c r="H214" s="1">
        <f t="shared" ca="1" si="23"/>
        <v>90.597112282110544</v>
      </c>
      <c r="I214">
        <f t="shared" ref="I214:I239" ca="1" si="24">AVERAGE(B195:B214)</f>
        <v>99.739500000000007</v>
      </c>
      <c r="J214">
        <f t="shared" ref="J214:J239" ca="1" si="25">_xlfn.STDEV.S(B195:B214)</f>
        <v>2.13985113845259</v>
      </c>
      <c r="K214">
        <f t="shared" ref="K214:K239" ca="1" si="26">I214+2*J214</f>
        <v>104.01920227690519</v>
      </c>
      <c r="L214">
        <f t="shared" ref="L214:L239" ca="1" si="27">I214-2*J214</f>
        <v>95.459797723094823</v>
      </c>
    </row>
    <row r="215" spans="1:12" x14ac:dyDescent="0.25">
      <c r="A215" vm="627">
        <f ca="1"/>
        <v>45968</v>
      </c>
      <c r="B215" vm="628">
        <f ca="1"/>
        <v>98.52</v>
      </c>
      <c r="C215" s="1" vm="629">
        <f ca="1"/>
        <v>2924446</v>
      </c>
      <c r="D215" s="2">
        <f t="shared" ca="1" si="21"/>
        <v>288116419.92000002</v>
      </c>
      <c r="E215" s="1">
        <f ca="1">SUM($D$2:D215)/SUM($C$2:C215)</f>
        <v>101.59637403712381</v>
      </c>
      <c r="F215" s="1">
        <f ca="1">_xlfn.STDEV.S($B$2:B215)</f>
        <v>5.4980182773288515</v>
      </c>
      <c r="G215" s="1">
        <f t="shared" ca="1" si="22"/>
        <v>112.59241059178152</v>
      </c>
      <c r="H215" s="1">
        <f t="shared" ca="1" si="23"/>
        <v>90.600337482466102</v>
      </c>
      <c r="I215">
        <f t="shared" ca="1" si="24"/>
        <v>99.546000000000006</v>
      </c>
      <c r="J215">
        <f t="shared" ca="1" si="25"/>
        <v>2.0610865810869874</v>
      </c>
      <c r="K215">
        <f t="shared" ca="1" si="26"/>
        <v>103.66817316217399</v>
      </c>
      <c r="L215">
        <f t="shared" ca="1" si="27"/>
        <v>95.423826837826027</v>
      </c>
    </row>
    <row r="216" spans="1:12" x14ac:dyDescent="0.25">
      <c r="A216" vm="630">
        <f ca="1"/>
        <v>45971</v>
      </c>
      <c r="B216" vm="631">
        <f ca="1"/>
        <v>98.24</v>
      </c>
      <c r="C216" s="1" vm="632">
        <f ca="1"/>
        <v>2188924</v>
      </c>
      <c r="D216" s="2">
        <f t="shared" ca="1" si="21"/>
        <v>215039893.75999999</v>
      </c>
      <c r="E216" s="1">
        <f ca="1">SUM($D$2:D216)/SUM($C$2:C216)</f>
        <v>101.5830555539391</v>
      </c>
      <c r="F216" s="1">
        <f ca="1">_xlfn.STDEV.S($B$2:B216)</f>
        <v>5.4888916341499225</v>
      </c>
      <c r="G216" s="1">
        <f t="shared" ca="1" si="22"/>
        <v>112.56083882223895</v>
      </c>
      <c r="H216" s="1">
        <f t="shared" ca="1" si="23"/>
        <v>90.605272285639259</v>
      </c>
      <c r="I216">
        <f t="shared" ca="1" si="24"/>
        <v>99.415000000000006</v>
      </c>
      <c r="J216">
        <f t="shared" ca="1" si="25"/>
        <v>2.056431502947714</v>
      </c>
      <c r="K216">
        <f t="shared" ca="1" si="26"/>
        <v>103.52786300589544</v>
      </c>
      <c r="L216">
        <f t="shared" ca="1" si="27"/>
        <v>95.302136994104572</v>
      </c>
    </row>
    <row r="217" spans="1:12" x14ac:dyDescent="0.25">
      <c r="A217" vm="633">
        <f ca="1"/>
        <v>45972</v>
      </c>
      <c r="B217" vm="634">
        <f ca="1"/>
        <v>99.59</v>
      </c>
      <c r="C217" s="1" vm="635">
        <f ca="1"/>
        <v>1779798</v>
      </c>
      <c r="D217" s="2">
        <f t="shared" ca="1" si="21"/>
        <v>177250082.81999999</v>
      </c>
      <c r="E217" s="1">
        <f ca="1">SUM($D$2:D217)/SUM($C$2:C217)</f>
        <v>101.57664574805848</v>
      </c>
      <c r="F217" s="1">
        <f ca="1">_xlfn.STDEV.S($B$2:B217)</f>
        <v>5.477199973719256</v>
      </c>
      <c r="G217" s="1">
        <f t="shared" ca="1" si="22"/>
        <v>112.531045695497</v>
      </c>
      <c r="H217" s="1">
        <f t="shared" ca="1" si="23"/>
        <v>90.622245800619964</v>
      </c>
      <c r="I217">
        <f t="shared" ca="1" si="24"/>
        <v>99.3</v>
      </c>
      <c r="J217">
        <f t="shared" ca="1" si="25"/>
        <v>1.9733727473541343</v>
      </c>
      <c r="K217">
        <f t="shared" ca="1" si="26"/>
        <v>103.24674549470826</v>
      </c>
      <c r="L217">
        <f t="shared" ca="1" si="27"/>
        <v>95.35325450529173</v>
      </c>
    </row>
    <row r="218" spans="1:12" x14ac:dyDescent="0.25">
      <c r="A218" vm="636">
        <f ca="1"/>
        <v>45973</v>
      </c>
      <c r="B218" vm="351">
        <f ca="1"/>
        <v>100.19</v>
      </c>
      <c r="C218" s="1" vm="637">
        <f ca="1"/>
        <v>1340259</v>
      </c>
      <c r="D218" s="2">
        <f t="shared" ca="1" si="21"/>
        <v>134280549.21000001</v>
      </c>
      <c r="E218" s="1">
        <f ca="1">SUM($D$2:D218)/SUM($C$2:C218)</f>
        <v>101.57329564243683</v>
      </c>
      <c r="F218" s="1">
        <f ca="1">_xlfn.STDEV.S($B$2:B218)</f>
        <v>5.4649257075064241</v>
      </c>
      <c r="G218" s="1">
        <f t="shared" ca="1" si="22"/>
        <v>112.50314705744968</v>
      </c>
      <c r="H218" s="1">
        <f t="shared" ca="1" si="23"/>
        <v>90.643444227423984</v>
      </c>
      <c r="I218">
        <f t="shared" ca="1" si="24"/>
        <v>99.195000000000007</v>
      </c>
      <c r="J218">
        <f t="shared" ca="1" si="25"/>
        <v>1.858427462017</v>
      </c>
      <c r="K218">
        <f t="shared" ca="1" si="26"/>
        <v>102.911854924034</v>
      </c>
      <c r="L218">
        <f t="shared" ca="1" si="27"/>
        <v>95.478145075966012</v>
      </c>
    </row>
    <row r="219" spans="1:12" x14ac:dyDescent="0.25">
      <c r="A219" vm="638">
        <f ca="1"/>
        <v>45974</v>
      </c>
      <c r="B219" vm="639">
        <f ca="1"/>
        <v>100.95</v>
      </c>
      <c r="C219" s="1" vm="640">
        <f ca="1"/>
        <v>1977816</v>
      </c>
      <c r="D219" s="2">
        <f t="shared" ca="1" si="21"/>
        <v>199660525.20000002</v>
      </c>
      <c r="E219" s="1">
        <f ca="1">SUM($D$2:D219)/SUM($C$2:C219)</f>
        <v>101.57108133150371</v>
      </c>
      <c r="F219" s="1">
        <f ca="1">_xlfn.STDEV.S($B$2:B219)</f>
        <v>5.4523419004016445</v>
      </c>
      <c r="G219" s="1">
        <f t="shared" ca="1" si="22"/>
        <v>112.47576513230699</v>
      </c>
      <c r="H219" s="1">
        <f t="shared" ca="1" si="23"/>
        <v>90.666397530700422</v>
      </c>
      <c r="I219">
        <f t="shared" ca="1" si="24"/>
        <v>99.189000000000007</v>
      </c>
      <c r="J219">
        <f t="shared" ca="1" si="25"/>
        <v>1.852238759191869</v>
      </c>
      <c r="K219">
        <f t="shared" ca="1" si="26"/>
        <v>102.89347751838375</v>
      </c>
      <c r="L219">
        <f t="shared" ca="1" si="27"/>
        <v>95.484522481616267</v>
      </c>
    </row>
    <row r="220" spans="1:12" x14ac:dyDescent="0.25">
      <c r="A220" vm="641">
        <f ca="1"/>
        <v>45975</v>
      </c>
      <c r="B220" vm="642">
        <f ca="1"/>
        <v>101.66</v>
      </c>
      <c r="C220" s="1" vm="643">
        <f ca="1"/>
        <v>2443256</v>
      </c>
      <c r="D220" s="2">
        <f t="shared" ca="1" si="21"/>
        <v>248381404.95999998</v>
      </c>
      <c r="E220" s="1">
        <f ca="1">SUM($D$2:D220)/SUM($C$2:C220)</f>
        <v>101.57146985632627</v>
      </c>
      <c r="F220" s="1">
        <f ca="1">_xlfn.STDEV.S($B$2:B220)</f>
        <v>5.4399182999117492</v>
      </c>
      <c r="G220" s="1">
        <f t="shared" ca="1" si="22"/>
        <v>112.45130645614978</v>
      </c>
      <c r="H220" s="1">
        <f t="shared" ca="1" si="23"/>
        <v>90.691633256502769</v>
      </c>
      <c r="I220">
        <f t="shared" ca="1" si="24"/>
        <v>99.212500000000006</v>
      </c>
      <c r="J220">
        <f t="shared" ca="1" si="25"/>
        <v>1.8817093992319585</v>
      </c>
      <c r="K220">
        <f t="shared" ca="1" si="26"/>
        <v>102.97591879846392</v>
      </c>
      <c r="L220">
        <f t="shared" ca="1" si="27"/>
        <v>95.449081201536089</v>
      </c>
    </row>
    <row r="221" spans="1:12" x14ac:dyDescent="0.25">
      <c r="A221" vm="644">
        <f ca="1"/>
        <v>45978</v>
      </c>
      <c r="B221" vm="645">
        <f ca="1"/>
        <v>103.85</v>
      </c>
      <c r="C221" s="1" vm="646">
        <f ca="1"/>
        <v>3007831</v>
      </c>
      <c r="D221" s="2">
        <f t="shared" ca="1" si="21"/>
        <v>312363249.34999996</v>
      </c>
      <c r="E221" s="1">
        <f ca="1">SUM($D$2:D221)/SUM($C$2:C221)</f>
        <v>101.58366074033651</v>
      </c>
      <c r="F221" s="1">
        <f ca="1">_xlfn.STDEV.S($B$2:B221)</f>
        <v>5.4304605948968323</v>
      </c>
      <c r="G221" s="1">
        <f t="shared" ca="1" si="22"/>
        <v>112.44458193013017</v>
      </c>
      <c r="H221" s="1">
        <f t="shared" ca="1" si="23"/>
        <v>90.722739550542855</v>
      </c>
      <c r="I221">
        <f t="shared" ca="1" si="24"/>
        <v>99.318999999999988</v>
      </c>
      <c r="J221">
        <f t="shared" ca="1" si="25"/>
        <v>2.0808371291128811</v>
      </c>
      <c r="K221">
        <f t="shared" ca="1" si="26"/>
        <v>103.48067425822575</v>
      </c>
      <c r="L221">
        <f t="shared" ca="1" si="27"/>
        <v>95.15732574177423</v>
      </c>
    </row>
    <row r="222" spans="1:12" x14ac:dyDescent="0.25">
      <c r="A222" vm="647">
        <f ca="1"/>
        <v>45979</v>
      </c>
      <c r="B222" vm="648">
        <f ca="1"/>
        <v>102.91</v>
      </c>
      <c r="C222" s="1" vm="649">
        <f ca="1"/>
        <v>2585563</v>
      </c>
      <c r="D222" s="2">
        <f t="shared" ca="1" si="21"/>
        <v>266080288.32999998</v>
      </c>
      <c r="E222" s="1">
        <f ca="1">SUM($D$2:D222)/SUM($C$2:C222)</f>
        <v>101.5897329101966</v>
      </c>
      <c r="F222" s="1">
        <f ca="1">_xlfn.STDEV.S($B$2:B222)</f>
        <v>5.4193316370971845</v>
      </c>
      <c r="G222" s="1">
        <f t="shared" ca="1" si="22"/>
        <v>112.42839618439098</v>
      </c>
      <c r="H222" s="1">
        <f t="shared" ca="1" si="23"/>
        <v>90.751069636002228</v>
      </c>
      <c r="I222">
        <f t="shared" ca="1" si="24"/>
        <v>99.386499999999998</v>
      </c>
      <c r="J222">
        <f t="shared" ca="1" si="25"/>
        <v>2.177031477179781</v>
      </c>
      <c r="K222">
        <f t="shared" ca="1" si="26"/>
        <v>103.74056295435956</v>
      </c>
      <c r="L222">
        <f t="shared" ca="1" si="27"/>
        <v>95.032437045640435</v>
      </c>
    </row>
    <row r="223" spans="1:12" x14ac:dyDescent="0.25">
      <c r="A223" vm="650">
        <f ca="1"/>
        <v>45980</v>
      </c>
      <c r="B223" vm="651">
        <f ca="1"/>
        <v>100.38</v>
      </c>
      <c r="C223" s="1" vm="652">
        <f ca="1"/>
        <v>3059734</v>
      </c>
      <c r="D223" s="2">
        <f t="shared" ca="1" si="21"/>
        <v>307136098.91999996</v>
      </c>
      <c r="E223" s="1">
        <f ca="1">SUM($D$2:D223)/SUM($C$2:C223)</f>
        <v>101.5832142132903</v>
      </c>
      <c r="F223" s="1">
        <f ca="1">_xlfn.STDEV.S($B$2:B223)</f>
        <v>5.4073392323473009</v>
      </c>
      <c r="G223" s="1">
        <f t="shared" ca="1" si="22"/>
        <v>112.39789267798491</v>
      </c>
      <c r="H223" s="1">
        <f t="shared" ca="1" si="23"/>
        <v>90.768535748595696</v>
      </c>
      <c r="I223">
        <f t="shared" ca="1" si="24"/>
        <v>99.308500000000009</v>
      </c>
      <c r="J223">
        <f t="shared" ca="1" si="25"/>
        <v>2.107566006957839</v>
      </c>
      <c r="K223">
        <f t="shared" ca="1" si="26"/>
        <v>103.52363201391569</v>
      </c>
      <c r="L223">
        <f t="shared" ca="1" si="27"/>
        <v>95.093367986084331</v>
      </c>
    </row>
    <row r="224" spans="1:12" x14ac:dyDescent="0.25">
      <c r="A224" vm="653">
        <f ca="1"/>
        <v>45981</v>
      </c>
      <c r="B224" vm="639">
        <f ca="1"/>
        <v>100.95</v>
      </c>
      <c r="C224" s="1" vm="654">
        <f ca="1"/>
        <v>2462396</v>
      </c>
      <c r="D224" s="2">
        <f t="shared" ca="1" si="21"/>
        <v>248578876.20000002</v>
      </c>
      <c r="E224" s="1">
        <f ca="1">SUM($D$2:D224)/SUM($C$2:C224)</f>
        <v>101.58048009752446</v>
      </c>
      <c r="F224" s="1">
        <f ca="1">_xlfn.STDEV.S($B$2:B224)</f>
        <v>5.3951727126535705</v>
      </c>
      <c r="G224" s="1">
        <f t="shared" ca="1" si="22"/>
        <v>112.37082552283159</v>
      </c>
      <c r="H224" s="1">
        <f t="shared" ca="1" si="23"/>
        <v>90.79013467221732</v>
      </c>
      <c r="I224">
        <f t="shared" ca="1" si="24"/>
        <v>99.31750000000001</v>
      </c>
      <c r="J224">
        <f t="shared" ca="1" si="25"/>
        <v>2.1145084659635627</v>
      </c>
      <c r="K224">
        <f t="shared" ca="1" si="26"/>
        <v>103.54651693192713</v>
      </c>
      <c r="L224">
        <f t="shared" ca="1" si="27"/>
        <v>95.08848306807289</v>
      </c>
    </row>
    <row r="225" spans="1:12" x14ac:dyDescent="0.25">
      <c r="A225" vm="655">
        <f ca="1"/>
        <v>45982</v>
      </c>
      <c r="B225" vm="656">
        <f ca="1"/>
        <v>100.16</v>
      </c>
      <c r="C225" s="1" vm="657">
        <f ca="1"/>
        <v>4721989</v>
      </c>
      <c r="D225" s="2">
        <f t="shared" ca="1" si="21"/>
        <v>472954418.24000001</v>
      </c>
      <c r="E225" s="1">
        <f ca="1">SUM($D$2:D225)/SUM($C$2:C225)</f>
        <v>101.56881502899267</v>
      </c>
      <c r="F225" s="1">
        <f ca="1">_xlfn.STDEV.S($B$2:B225)</f>
        <v>5.3835096008642624</v>
      </c>
      <c r="G225" s="1">
        <f t="shared" ca="1" si="22"/>
        <v>112.3358342307212</v>
      </c>
      <c r="H225" s="1">
        <f t="shared" ca="1" si="23"/>
        <v>90.801795827264144</v>
      </c>
      <c r="I225">
        <f t="shared" ca="1" si="24"/>
        <v>99.32350000000001</v>
      </c>
      <c r="J225">
        <f t="shared" ca="1" si="25"/>
        <v>2.1168354608757509</v>
      </c>
      <c r="K225">
        <f t="shared" ca="1" si="26"/>
        <v>103.55717092175151</v>
      </c>
      <c r="L225">
        <f t="shared" ca="1" si="27"/>
        <v>95.089829078248513</v>
      </c>
    </row>
    <row r="226" spans="1:12" x14ac:dyDescent="0.25">
      <c r="A226" vm="658">
        <f ca="1"/>
        <v>45985</v>
      </c>
      <c r="B226" vm="659">
        <f ca="1"/>
        <v>98.92</v>
      </c>
      <c r="C226" s="1" vm="660">
        <f ca="1"/>
        <v>7708010</v>
      </c>
      <c r="D226" s="2">
        <f t="shared" ca="1" si="21"/>
        <v>762476349.20000005</v>
      </c>
      <c r="E226" s="1">
        <f ca="1">SUM($D$2:D226)/SUM($C$2:C226)</f>
        <v>101.53377713500262</v>
      </c>
      <c r="F226" s="1">
        <f ca="1">_xlfn.STDEV.S($B$2:B226)</f>
        <v>5.3736182343530343</v>
      </c>
      <c r="G226" s="1">
        <f t="shared" ca="1" si="22"/>
        <v>112.28101360370869</v>
      </c>
      <c r="H226" s="1">
        <f t="shared" ca="1" si="23"/>
        <v>90.78654066629656</v>
      </c>
      <c r="I226">
        <f t="shared" ca="1" si="24"/>
        <v>99.258500000000026</v>
      </c>
      <c r="J226">
        <f t="shared" ca="1" si="25"/>
        <v>2.1077982401199198</v>
      </c>
      <c r="K226">
        <f t="shared" ca="1" si="26"/>
        <v>103.47409648023987</v>
      </c>
      <c r="L226">
        <f t="shared" ca="1" si="27"/>
        <v>95.042903519760188</v>
      </c>
    </row>
    <row r="227" spans="1:12" x14ac:dyDescent="0.25">
      <c r="A227" vm="661">
        <f ca="1"/>
        <v>45986</v>
      </c>
      <c r="B227" vm="662">
        <f ca="1"/>
        <v>98.85</v>
      </c>
      <c r="C227" s="1" vm="663">
        <f ca="1"/>
        <v>2127188</v>
      </c>
      <c r="D227" s="2">
        <f t="shared" ca="1" si="21"/>
        <v>210272533.79999998</v>
      </c>
      <c r="E227" s="1">
        <f ca="1">SUM($D$2:D227)/SUM($C$2:C227)</f>
        <v>101.52401569432624</v>
      </c>
      <c r="F227" s="1">
        <f ca="1">_xlfn.STDEV.S($B$2:B227)</f>
        <v>5.3639106663128588</v>
      </c>
      <c r="G227" s="1">
        <f t="shared" ca="1" si="22"/>
        <v>112.25183702695196</v>
      </c>
      <c r="H227" s="1">
        <f t="shared" ca="1" si="23"/>
        <v>90.796194361700515</v>
      </c>
      <c r="I227">
        <f t="shared" ca="1" si="24"/>
        <v>99.273500000000013</v>
      </c>
      <c r="J227">
        <f t="shared" ca="1" si="25"/>
        <v>2.1035540727164834</v>
      </c>
      <c r="K227">
        <f t="shared" ca="1" si="26"/>
        <v>103.48060814543298</v>
      </c>
      <c r="L227">
        <f t="shared" ca="1" si="27"/>
        <v>95.066391854567044</v>
      </c>
    </row>
    <row r="228" spans="1:12" x14ac:dyDescent="0.25">
      <c r="A228" vm="664">
        <f ca="1"/>
        <v>45987</v>
      </c>
      <c r="B228" vm="665">
        <f ca="1"/>
        <v>100.14</v>
      </c>
      <c r="C228" s="1" vm="666">
        <f ca="1"/>
        <v>1305669</v>
      </c>
      <c r="D228" s="2">
        <f t="shared" ca="1" si="21"/>
        <v>130749693.66</v>
      </c>
      <c r="E228" s="1">
        <f ca="1">SUM($D$2:D228)/SUM($C$2:C228)</f>
        <v>101.52093273911559</v>
      </c>
      <c r="F228" s="1">
        <f ca="1">_xlfn.STDEV.S($B$2:B228)</f>
        <v>5.3524700554524198</v>
      </c>
      <c r="G228" s="1">
        <f t="shared" ca="1" si="22"/>
        <v>112.22587285002044</v>
      </c>
      <c r="H228" s="1">
        <f t="shared" ca="1" si="23"/>
        <v>90.815992628210751</v>
      </c>
      <c r="I228">
        <f t="shared" ca="1" si="24"/>
        <v>99.430500000000023</v>
      </c>
      <c r="J228">
        <f t="shared" ca="1" si="25"/>
        <v>2.0411928272200885</v>
      </c>
      <c r="K228">
        <f t="shared" ca="1" si="26"/>
        <v>103.5128856544402</v>
      </c>
      <c r="L228">
        <f t="shared" ca="1" si="27"/>
        <v>95.34811434555985</v>
      </c>
    </row>
    <row r="229" spans="1:12" x14ac:dyDescent="0.25">
      <c r="A229" vm="667">
        <f ca="1"/>
        <v>45989</v>
      </c>
      <c r="B229" vm="668">
        <f ca="1"/>
        <v>100.36</v>
      </c>
      <c r="C229" s="1" vm="669">
        <f ca="1"/>
        <v>1063335</v>
      </c>
      <c r="D229" s="2">
        <f t="shared" ca="1" si="21"/>
        <v>106716300.59999999</v>
      </c>
      <c r="E229" s="1">
        <f ca="1">SUM($D$2:D229)/SUM($C$2:C229)</f>
        <v>101.51883049506637</v>
      </c>
      <c r="F229" s="1">
        <f ca="1">_xlfn.STDEV.S($B$2:B229)</f>
        <v>5.3409361881843367</v>
      </c>
      <c r="G229" s="1">
        <f t="shared" ca="1" si="22"/>
        <v>112.20070287143504</v>
      </c>
      <c r="H229" s="1">
        <f t="shared" ca="1" si="23"/>
        <v>90.836958118697694</v>
      </c>
      <c r="I229">
        <f t="shared" ca="1" si="24"/>
        <v>99.539000000000016</v>
      </c>
      <c r="J229">
        <f t="shared" ca="1" si="25"/>
        <v>2.0294227854504006</v>
      </c>
      <c r="K229">
        <f t="shared" ca="1" si="26"/>
        <v>103.59784557090082</v>
      </c>
      <c r="L229">
        <f t="shared" ca="1" si="27"/>
        <v>95.480154429099215</v>
      </c>
    </row>
    <row r="230" spans="1:12" x14ac:dyDescent="0.25">
      <c r="A230" vm="670">
        <f ca="1"/>
        <v>45992</v>
      </c>
      <c r="B230" vm="671">
        <f ca="1"/>
        <v>97.88</v>
      </c>
      <c r="C230" s="1" vm="672">
        <f ca="1"/>
        <v>2744812</v>
      </c>
      <c r="D230" s="2">
        <f t="shared" ca="1" si="21"/>
        <v>268662198.56</v>
      </c>
      <c r="E230" s="1">
        <f ca="1">SUM($D$2:D230)/SUM($C$2:C230)</f>
        <v>101.50190056784506</v>
      </c>
      <c r="F230" s="1">
        <f ca="1">_xlfn.STDEV.S($B$2:B230)</f>
        <v>5.3336313076331212</v>
      </c>
      <c r="G230" s="1">
        <f t="shared" ca="1" si="22"/>
        <v>112.16916318311129</v>
      </c>
      <c r="H230" s="1">
        <f t="shared" ca="1" si="23"/>
        <v>90.834637952578817</v>
      </c>
      <c r="I230">
        <f t="shared" ca="1" si="24"/>
        <v>99.562500000000028</v>
      </c>
      <c r="J230">
        <f t="shared" ca="1" si="25"/>
        <v>2.0060589144940519</v>
      </c>
      <c r="K230">
        <f t="shared" ca="1" si="26"/>
        <v>103.57461782898814</v>
      </c>
      <c r="L230">
        <f t="shared" ca="1" si="27"/>
        <v>95.550382171011918</v>
      </c>
    </row>
    <row r="231" spans="1:12" x14ac:dyDescent="0.25">
      <c r="A231" vm="673">
        <f ca="1"/>
        <v>45993</v>
      </c>
      <c r="B231" vm="674">
        <f ca="1"/>
        <v>96.87</v>
      </c>
      <c r="C231" s="1" vm="675">
        <f ca="1"/>
        <v>2753150</v>
      </c>
      <c r="D231" s="2">
        <f t="shared" ca="1" si="21"/>
        <v>266697640.5</v>
      </c>
      <c r="E231" s="1">
        <f ca="1">SUM($D$2:D231)/SUM($C$2:C231)</f>
        <v>101.48038525067258</v>
      </c>
      <c r="F231" s="1">
        <f ca="1">_xlfn.STDEV.S($B$2:B231)</f>
        <v>5.3294543201958033</v>
      </c>
      <c r="G231" s="1">
        <f t="shared" ca="1" si="22"/>
        <v>112.13929389106418</v>
      </c>
      <c r="H231" s="1">
        <f t="shared" ca="1" si="23"/>
        <v>90.821476610280982</v>
      </c>
      <c r="I231">
        <f t="shared" ca="1" si="24"/>
        <v>99.573999999999998</v>
      </c>
      <c r="J231">
        <f t="shared" ca="1" si="25"/>
        <v>1.989010333121263</v>
      </c>
      <c r="K231">
        <f t="shared" ca="1" si="26"/>
        <v>103.55202066624253</v>
      </c>
      <c r="L231">
        <f t="shared" ca="1" si="27"/>
        <v>95.595979333757469</v>
      </c>
    </row>
    <row r="232" spans="1:12" x14ac:dyDescent="0.25">
      <c r="A232" vm="676">
        <f ca="1"/>
        <v>45994</v>
      </c>
      <c r="B232" vm="677">
        <f ca="1"/>
        <v>96.45</v>
      </c>
      <c r="C232" s="1" vm="678">
        <f ca="1"/>
        <v>1762033</v>
      </c>
      <c r="D232" s="2">
        <f t="shared" ca="1" si="21"/>
        <v>169948082.84999999</v>
      </c>
      <c r="E232" s="1">
        <f ca="1">SUM($D$2:D232)/SUM($C$2:C232)</f>
        <v>101.46547500636936</v>
      </c>
      <c r="F232" s="1">
        <f ca="1">_xlfn.STDEV.S($B$2:B232)</f>
        <v>5.326772729632494</v>
      </c>
      <c r="G232" s="1">
        <f t="shared" ca="1" si="22"/>
        <v>112.11902046563435</v>
      </c>
      <c r="H232" s="1">
        <f t="shared" ca="1" si="23"/>
        <v>90.81192954710437</v>
      </c>
      <c r="I232">
        <f t="shared" ca="1" si="24"/>
        <v>99.498500000000007</v>
      </c>
      <c r="J232">
        <f t="shared" ca="1" si="25"/>
        <v>2.080074075097984</v>
      </c>
      <c r="K232">
        <f t="shared" ca="1" si="26"/>
        <v>103.65864815019597</v>
      </c>
      <c r="L232">
        <f t="shared" ca="1" si="27"/>
        <v>95.338351849804042</v>
      </c>
    </row>
    <row r="233" spans="1:12" x14ac:dyDescent="0.25">
      <c r="A233" vm="679">
        <f ca="1"/>
        <v>45995</v>
      </c>
      <c r="B233" vm="680">
        <f ca="1"/>
        <v>96.22</v>
      </c>
      <c r="C233" s="1" vm="681">
        <f ca="1"/>
        <v>2303530</v>
      </c>
      <c r="D233" s="2">
        <f t="shared" ca="1" si="21"/>
        <v>221645656.59999999</v>
      </c>
      <c r="E233" s="1">
        <f ca="1">SUM($D$2:D233)/SUM($C$2:C233)</f>
        <v>101.44522763898986</v>
      </c>
      <c r="F233" s="1">
        <f ca="1">_xlfn.STDEV.S($B$2:B233)</f>
        <v>5.324925993275003</v>
      </c>
      <c r="G233" s="1">
        <f t="shared" ca="1" si="22"/>
        <v>112.09507962553987</v>
      </c>
      <c r="H233" s="1">
        <f t="shared" ca="1" si="23"/>
        <v>90.795375652439859</v>
      </c>
      <c r="I233">
        <f t="shared" ca="1" si="24"/>
        <v>99.503999999999991</v>
      </c>
      <c r="J233">
        <f t="shared" ca="1" si="25"/>
        <v>2.0707674651531591</v>
      </c>
      <c r="K233">
        <f t="shared" ca="1" si="26"/>
        <v>103.64553493030631</v>
      </c>
      <c r="L233">
        <f t="shared" ca="1" si="27"/>
        <v>95.36246506969367</v>
      </c>
    </row>
    <row r="234" spans="1:12" x14ac:dyDescent="0.25">
      <c r="A234" vm="682">
        <f ca="1"/>
        <v>45996</v>
      </c>
      <c r="B234" vm="683">
        <f ca="1"/>
        <v>96.6</v>
      </c>
      <c r="C234" s="1" vm="684">
        <f ca="1"/>
        <v>1775844</v>
      </c>
      <c r="D234" s="2">
        <f t="shared" ca="1" si="21"/>
        <v>171546530.39999998</v>
      </c>
      <c r="E234" s="1">
        <f ca="1">SUM($D$2:D234)/SUM($C$2:C234)</f>
        <v>101.43085228860451</v>
      </c>
      <c r="F234" s="1">
        <f ca="1">_xlfn.STDEV.S($B$2:B234)</f>
        <v>5.3215772982774654</v>
      </c>
      <c r="G234" s="1">
        <f t="shared" ca="1" si="22"/>
        <v>112.07400688515945</v>
      </c>
      <c r="H234" s="1">
        <f t="shared" ca="1" si="23"/>
        <v>90.787697692049576</v>
      </c>
      <c r="I234">
        <f t="shared" ca="1" si="24"/>
        <v>99.484499999999997</v>
      </c>
      <c r="J234">
        <f t="shared" ca="1" si="25"/>
        <v>2.0973529055755762</v>
      </c>
      <c r="K234">
        <f t="shared" ca="1" si="26"/>
        <v>103.67920581115115</v>
      </c>
      <c r="L234">
        <f t="shared" ca="1" si="27"/>
        <v>95.289794188848845</v>
      </c>
    </row>
    <row r="235" spans="1:12" x14ac:dyDescent="0.25">
      <c r="A235" vm="685">
        <f ca="1"/>
        <v>45999</v>
      </c>
      <c r="B235" vm="686">
        <f ca="1"/>
        <v>95.45</v>
      </c>
      <c r="C235" s="1" vm="687">
        <f ca="1"/>
        <v>2089307</v>
      </c>
      <c r="D235" s="2">
        <f t="shared" ca="1" si="21"/>
        <v>199424353.15000001</v>
      </c>
      <c r="E235" s="1">
        <f ca="1">SUM($D$2:D235)/SUM($C$2:C235)</f>
        <v>101.41004806741986</v>
      </c>
      <c r="F235" s="1">
        <f ca="1">_xlfn.STDEV.S($B$2:B235)</f>
        <v>5.3228477439229032</v>
      </c>
      <c r="G235" s="1">
        <f t="shared" ca="1" si="22"/>
        <v>112.05574355526568</v>
      </c>
      <c r="H235" s="1">
        <f t="shared" ca="1" si="23"/>
        <v>90.764352579574052</v>
      </c>
      <c r="I235">
        <f t="shared" ca="1" si="24"/>
        <v>99.330999999999989</v>
      </c>
      <c r="J235">
        <f t="shared" ca="1" si="25"/>
        <v>2.2763611312794803</v>
      </c>
      <c r="K235">
        <f t="shared" ca="1" si="26"/>
        <v>103.88372226255895</v>
      </c>
      <c r="L235">
        <f t="shared" ca="1" si="27"/>
        <v>94.77827773744103</v>
      </c>
    </row>
    <row r="236" spans="1:12" x14ac:dyDescent="0.25">
      <c r="A236" vm="688">
        <f ca="1"/>
        <v>46000</v>
      </c>
      <c r="B236" vm="689">
        <f ca="1"/>
        <v>95.82</v>
      </c>
      <c r="C236" s="1" vm="690">
        <f ca="1"/>
        <v>1823336</v>
      </c>
      <c r="D236" s="2">
        <f t="shared" ca="1" si="21"/>
        <v>174712055.51999998</v>
      </c>
      <c r="E236" s="1">
        <f ca="1">SUM($D$2:D236)/SUM($C$2:C236)</f>
        <v>101.39312995123707</v>
      </c>
      <c r="F236" s="1">
        <f ca="1">_xlfn.STDEV.S($B$2:B236)</f>
        <v>5.3223985650095189</v>
      </c>
      <c r="G236" s="1">
        <f t="shared" ca="1" si="22"/>
        <v>112.03792708125611</v>
      </c>
      <c r="H236" s="1">
        <f t="shared" ca="1" si="23"/>
        <v>90.748332821218028</v>
      </c>
      <c r="I236">
        <f t="shared" ca="1" si="24"/>
        <v>99.21</v>
      </c>
      <c r="J236">
        <f t="shared" ca="1" si="25"/>
        <v>2.3984490602755857</v>
      </c>
      <c r="K236">
        <f t="shared" ca="1" si="26"/>
        <v>104.00689812055117</v>
      </c>
      <c r="L236">
        <f t="shared" ca="1" si="27"/>
        <v>94.413101879448817</v>
      </c>
    </row>
    <row r="237" spans="1:12" x14ac:dyDescent="0.25">
      <c r="A237" vm="691">
        <f ca="1"/>
        <v>46001</v>
      </c>
      <c r="B237" vm="692">
        <f ca="1"/>
        <v>95.41</v>
      </c>
      <c r="C237" s="1" vm="693">
        <f ca="1"/>
        <v>1848956</v>
      </c>
      <c r="D237" s="2">
        <f t="shared" ca="1" si="21"/>
        <v>176408891.96000001</v>
      </c>
      <c r="E237" s="1">
        <f ca="1">SUM($D$2:D237)/SUM($C$2:C237)</f>
        <v>101.37482393012132</v>
      </c>
      <c r="F237" s="1">
        <f ca="1">_xlfn.STDEV.S($B$2:B237)</f>
        <v>5.3236269241786545</v>
      </c>
      <c r="G237" s="1">
        <f t="shared" ca="1" si="22"/>
        <v>112.02207777847863</v>
      </c>
      <c r="H237" s="1">
        <f t="shared" ca="1" si="23"/>
        <v>90.727570081764014</v>
      </c>
      <c r="I237">
        <f t="shared" ca="1" si="24"/>
        <v>99.000999999999991</v>
      </c>
      <c r="J237">
        <f t="shared" ca="1" si="25"/>
        <v>2.5414519265051698</v>
      </c>
      <c r="K237">
        <f t="shared" ca="1" si="26"/>
        <v>104.08390385301033</v>
      </c>
      <c r="L237">
        <f t="shared" ca="1" si="27"/>
        <v>93.918096146989654</v>
      </c>
    </row>
    <row r="238" spans="1:12" x14ac:dyDescent="0.25">
      <c r="A238" vm="694">
        <f ca="1"/>
        <v>46002</v>
      </c>
      <c r="B238" vm="695">
        <f ca="1"/>
        <v>95.64</v>
      </c>
      <c r="C238" s="1" vm="696">
        <f ca="1"/>
        <v>1396780</v>
      </c>
      <c r="D238" s="2">
        <f t="shared" ca="1" si="21"/>
        <v>133588039.2</v>
      </c>
      <c r="E238" s="1">
        <f ca="1">SUM($D$2:D238)/SUM($C$2:C238)</f>
        <v>101.36159927385863</v>
      </c>
      <c r="F238" s="1">
        <f ca="1">_xlfn.STDEV.S($B$2:B238)</f>
        <v>5.3237408916527924</v>
      </c>
      <c r="G238" s="1">
        <f t="shared" ca="1" si="22"/>
        <v>112.00908105716421</v>
      </c>
      <c r="H238" s="1">
        <f t="shared" ca="1" si="23"/>
        <v>90.714117490553051</v>
      </c>
      <c r="I238">
        <f t="shared" ca="1" si="24"/>
        <v>98.773499999999984</v>
      </c>
      <c r="J238">
        <f t="shared" ca="1" si="25"/>
        <v>2.6314700214298865</v>
      </c>
      <c r="K238">
        <f t="shared" ca="1" si="26"/>
        <v>104.03644004285975</v>
      </c>
      <c r="L238">
        <f t="shared" ca="1" si="27"/>
        <v>93.510559957140217</v>
      </c>
    </row>
    <row r="239" spans="1:12" x14ac:dyDescent="0.25">
      <c r="A239" vm="697">
        <f ca="1"/>
        <v>46003</v>
      </c>
      <c r="B239" vm="698">
        <f ca="1"/>
        <v>97.53</v>
      </c>
      <c r="C239" s="1" vm="699">
        <f ca="1"/>
        <v>2638227</v>
      </c>
      <c r="D239" s="2">
        <f t="shared" ca="1" si="21"/>
        <v>257306279.31</v>
      </c>
      <c r="E239" s="1">
        <f ca="1">SUM($D$2:D239)/SUM($C$2:C239)</f>
        <v>101.34498271725037</v>
      </c>
      <c r="F239" s="1">
        <f ca="1">_xlfn.STDEV.S($B$2:B239)</f>
        <v>5.3171999877117386</v>
      </c>
      <c r="G239" s="1">
        <f t="shared" ca="1" si="22"/>
        <v>111.97938269267385</v>
      </c>
      <c r="H239" s="1">
        <f t="shared" ca="1" si="23"/>
        <v>90.710582741826897</v>
      </c>
      <c r="I239">
        <f t="shared" ca="1" si="24"/>
        <v>98.602499999999992</v>
      </c>
      <c r="J239">
        <f t="shared" ca="1" si="25"/>
        <v>2.5934368073435308</v>
      </c>
      <c r="K239">
        <f t="shared" ca="1" si="26"/>
        <v>103.78937361468705</v>
      </c>
      <c r="L239">
        <f t="shared" ca="1" si="27"/>
        <v>93.415626385312933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31E0-A6BB-42FC-B122-9686260DDDE6}">
  <dimension ref="A1"/>
  <sheetViews>
    <sheetView tabSelected="1" topLeftCell="A19" workbookViewId="0">
      <selection activeCell="A24" sqref="A2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Price Hist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Jackson</cp:lastModifiedBy>
  <dcterms:created xsi:type="dcterms:W3CDTF">2025-11-26T03:51:41Z</dcterms:created>
  <dcterms:modified xsi:type="dcterms:W3CDTF">2025-12-16T00:43:16Z</dcterms:modified>
</cp:coreProperties>
</file>