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wner\Documents\ExcelChartLab\"/>
    </mc:Choice>
  </mc:AlternateContent>
  <xr:revisionPtr revIDLastSave="0" documentId="13_ncr:9_{BDF9B68F-0F2E-4E8C-98AB-D262CB6469A2}" xr6:coauthVersionLast="47" xr6:coauthVersionMax="47" xr10:uidLastSave="{00000000-0000-0000-0000-000000000000}"/>
  <bookViews>
    <workbookView xWindow="-120" yWindow="-120" windowWidth="20730" windowHeight="11040" xr2:uid="{26D51721-CCB3-4D81-9CE3-230FA5460F78}"/>
  </bookViews>
  <sheets>
    <sheet name="Ford Motor Stock Price History" sheetId="1" r:id="rId1"/>
    <sheet name="Sheet1" sheetId="2" r:id="rId2"/>
  </sheets>
  <calcPr calcId="0"/>
</workbook>
</file>

<file path=xl/calcChain.xml><?xml version="1.0" encoding="utf-8"?>
<calcChain xmlns="http://schemas.openxmlformats.org/spreadsheetml/2006/main">
  <c r="I2" i="1" l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" i="1"/>
</calcChain>
</file>

<file path=xl/sharedStrings.xml><?xml version="1.0" encoding="utf-8"?>
<sst xmlns="http://schemas.openxmlformats.org/spreadsheetml/2006/main" count="9" uniqueCount="9">
  <si>
    <t>Date</t>
  </si>
  <si>
    <t>Close</t>
  </si>
  <si>
    <t>Open</t>
  </si>
  <si>
    <t>High</t>
  </si>
  <si>
    <t>Low</t>
  </si>
  <si>
    <t>Vol.</t>
  </si>
  <si>
    <t xml:space="preserve">Change </t>
  </si>
  <si>
    <t>Volume</t>
  </si>
  <si>
    <t>% 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</si>
</sst>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5" formatCode="_(* #,##0_);_(* \(#,##0\);_(* &quot;-&quot;??_);_(@_)"/>
    <numFmt numFmtId="167" formatCode="0.0%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0" fontId="13" fillId="33" borderId="0" xfId="0" applyFont="1" applyFill="1" applyAlignment="1">
      <alignment horizontal="center"/>
    </xf>
    <xf numFmtId="165" fontId="13" fillId="33" borderId="0" xfId="1" applyNumberFormat="1" applyFont="1" applyFill="1" applyAlignment="1">
      <alignment horizontal="center"/>
    </xf>
    <xf numFmtId="165" fontId="0" fillId="0" borderId="0" xfId="1" applyNumberFormat="1" applyFont="1"/>
    <xf numFmtId="44" fontId="13" fillId="33" borderId="0" xfId="2" applyNumberFormat="1" applyFont="1" applyFill="1" applyAlignment="1">
      <alignment horizontal="center"/>
    </xf>
    <xf numFmtId="44" fontId="0" fillId="0" borderId="0" xfId="2" applyNumberFormat="1" applyFont="1"/>
    <xf numFmtId="167" fontId="0" fillId="0" borderId="0" xfId="3" applyNumberFormat="1" applyFont="1"/>
  </cellXfs>
  <cellStyles count="45">
    <cellStyle name="20% - Accent1" xfId="22" builtinId="30" customBuiltin="1"/>
    <cellStyle name="20% - Accent2" xfId="26" builtinId="34" customBuiltin="1"/>
    <cellStyle name="20% - Accent3" xfId="30" builtinId="38" customBuiltin="1"/>
    <cellStyle name="20% - Accent4" xfId="34" builtinId="42" customBuiltin="1"/>
    <cellStyle name="20% - Accent5" xfId="38" builtinId="46" customBuiltin="1"/>
    <cellStyle name="20% - Accent6" xfId="42" builtinId="50" customBuiltin="1"/>
    <cellStyle name="40% - Accent1" xfId="23" builtinId="31" customBuiltin="1"/>
    <cellStyle name="40% - Accent2" xfId="27" builtinId="35" customBuiltin="1"/>
    <cellStyle name="40% - Accent3" xfId="31" builtinId="39" customBuiltin="1"/>
    <cellStyle name="40% - Accent4" xfId="35" builtinId="43" customBuiltin="1"/>
    <cellStyle name="40% - Accent5" xfId="39" builtinId="47" customBuiltin="1"/>
    <cellStyle name="40% - Accent6" xfId="43" builtinId="51" customBuiltin="1"/>
    <cellStyle name="60% - Accent1" xfId="24" builtinId="32" customBuiltin="1"/>
    <cellStyle name="60% - Accent2" xfId="28" builtinId="36" customBuiltin="1"/>
    <cellStyle name="60% - Accent3" xfId="32" builtinId="40" customBuiltin="1"/>
    <cellStyle name="60% - Accent4" xfId="36" builtinId="44" customBuiltin="1"/>
    <cellStyle name="60% - Accent5" xfId="40" builtinId="48" customBuiltin="1"/>
    <cellStyle name="60% - Accent6" xfId="44" builtinId="52" customBuiltin="1"/>
    <cellStyle name="Accent1" xfId="21" builtinId="29" customBuiltin="1"/>
    <cellStyle name="Accent2" xfId="25" builtinId="33" customBuiltin="1"/>
    <cellStyle name="Accent3" xfId="29" builtinId="37" customBuiltin="1"/>
    <cellStyle name="Accent4" xfId="33" builtinId="41" customBuiltin="1"/>
    <cellStyle name="Accent5" xfId="37" builtinId="45" customBuiltin="1"/>
    <cellStyle name="Accent6" xfId="41" builtinId="49" customBuiltin="1"/>
    <cellStyle name="Bad" xfId="10" builtinId="27" customBuiltin="1"/>
    <cellStyle name="Calculation" xfId="14" builtinId="22" customBuiltin="1"/>
    <cellStyle name="Check Cell" xfId="16" builtinId="23" customBuiltin="1"/>
    <cellStyle name="Comma" xfId="1" builtinId="3"/>
    <cellStyle name="Currency" xfId="2" builtinId="4"/>
    <cellStyle name="Explanatory Text" xfId="19" builtinId="53" customBuiltin="1"/>
    <cellStyle name="Good" xfId="9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Input" xfId="12" builtinId="20" customBuiltin="1"/>
    <cellStyle name="Linked Cell" xfId="15" builtinId="24" customBuiltin="1"/>
    <cellStyle name="Neutral" xfId="11" builtinId="28" customBuiltin="1"/>
    <cellStyle name="Normal" xfId="0" builtinId="0"/>
    <cellStyle name="Note" xfId="18" builtinId="10" customBuiltin="1"/>
    <cellStyle name="Output" xfId="13" builtinId="21" customBuiltin="1"/>
    <cellStyle name="Percent" xfId="3" builtinId="5"/>
    <cellStyle name="Title" xfId="4" builtinId="15" customBuiltin="1"/>
    <cellStyle name="Total" xfId="20" builtinId="25" customBuiltin="1"/>
    <cellStyle name="Warning Text" xfId="17" builtinId="11" customBuiltin="1"/>
  </cellStyles>
  <dxfs count="7">
    <dxf>
      <numFmt numFmtId="167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4" formatCode="_(&quot;$&quot;* #,##0.00_);_(&quot;$&quot;* \(#,##0.00\);_(&quot;$&quot;* &quot;-&quot;??_);_(@_)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Ford</a:t>
            </a:r>
            <a:r>
              <a:rPr lang="en-US" baseline="0"/>
              <a:t> Close + Volume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ndard"/>
        <c:varyColors val="0"/>
        <c:ser>
          <c:idx val="1"/>
          <c:order val="1"/>
          <c:tx>
            <c:strRef>
              <c:f>'Ford Motor Stock Price History'!$H$1</c:f>
              <c:strCache>
                <c:ptCount val="1"/>
                <c:pt idx="0">
                  <c:v> Volume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'Ford Motor Stock Price History'!$A$2:$A$218</c:f>
              <c:numCache>
                <c:formatCode>m/d/yyyy</c:formatCode>
                <c:ptCount val="217"/>
                <c:pt idx="0">
                  <c:v>45663</c:v>
                </c:pt>
                <c:pt idx="1">
                  <c:v>45664</c:v>
                </c:pt>
                <c:pt idx="2">
                  <c:v>45665</c:v>
                </c:pt>
                <c:pt idx="3">
                  <c:v>45667</c:v>
                </c:pt>
                <c:pt idx="4">
                  <c:v>45670</c:v>
                </c:pt>
                <c:pt idx="5">
                  <c:v>45671</c:v>
                </c:pt>
                <c:pt idx="6">
                  <c:v>45672</c:v>
                </c:pt>
                <c:pt idx="7">
                  <c:v>45673</c:v>
                </c:pt>
                <c:pt idx="8">
                  <c:v>45674</c:v>
                </c:pt>
                <c:pt idx="9">
                  <c:v>45678</c:v>
                </c:pt>
                <c:pt idx="10">
                  <c:v>45679</c:v>
                </c:pt>
                <c:pt idx="11">
                  <c:v>45680</c:v>
                </c:pt>
                <c:pt idx="12">
                  <c:v>45681</c:v>
                </c:pt>
                <c:pt idx="13">
                  <c:v>45684</c:v>
                </c:pt>
                <c:pt idx="14">
                  <c:v>45685</c:v>
                </c:pt>
                <c:pt idx="15">
                  <c:v>45686</c:v>
                </c:pt>
                <c:pt idx="16">
                  <c:v>45687</c:v>
                </c:pt>
                <c:pt idx="17">
                  <c:v>45688</c:v>
                </c:pt>
                <c:pt idx="18">
                  <c:v>45691</c:v>
                </c:pt>
                <c:pt idx="19">
                  <c:v>45692</c:v>
                </c:pt>
                <c:pt idx="20">
                  <c:v>45693</c:v>
                </c:pt>
                <c:pt idx="21">
                  <c:v>45694</c:v>
                </c:pt>
                <c:pt idx="22">
                  <c:v>45695</c:v>
                </c:pt>
                <c:pt idx="23">
                  <c:v>45698</c:v>
                </c:pt>
                <c:pt idx="24">
                  <c:v>45699</c:v>
                </c:pt>
                <c:pt idx="25">
                  <c:v>45700</c:v>
                </c:pt>
                <c:pt idx="26">
                  <c:v>45701</c:v>
                </c:pt>
                <c:pt idx="27">
                  <c:v>45702</c:v>
                </c:pt>
                <c:pt idx="28">
                  <c:v>45706</c:v>
                </c:pt>
                <c:pt idx="29">
                  <c:v>45707</c:v>
                </c:pt>
                <c:pt idx="30">
                  <c:v>45708</c:v>
                </c:pt>
                <c:pt idx="31">
                  <c:v>45709</c:v>
                </c:pt>
                <c:pt idx="32">
                  <c:v>45712</c:v>
                </c:pt>
                <c:pt idx="33">
                  <c:v>45713</c:v>
                </c:pt>
                <c:pt idx="34">
                  <c:v>45714</c:v>
                </c:pt>
                <c:pt idx="35">
                  <c:v>45715</c:v>
                </c:pt>
                <c:pt idx="36">
                  <c:v>45716</c:v>
                </c:pt>
                <c:pt idx="37">
                  <c:v>45719</c:v>
                </c:pt>
                <c:pt idx="38">
                  <c:v>45720</c:v>
                </c:pt>
                <c:pt idx="39">
                  <c:v>45721</c:v>
                </c:pt>
                <c:pt idx="40">
                  <c:v>45722</c:v>
                </c:pt>
                <c:pt idx="41">
                  <c:v>45723</c:v>
                </c:pt>
                <c:pt idx="42">
                  <c:v>45726</c:v>
                </c:pt>
                <c:pt idx="43">
                  <c:v>45727</c:v>
                </c:pt>
                <c:pt idx="44">
                  <c:v>45728</c:v>
                </c:pt>
                <c:pt idx="45">
                  <c:v>45729</c:v>
                </c:pt>
                <c:pt idx="46">
                  <c:v>45730</c:v>
                </c:pt>
                <c:pt idx="47">
                  <c:v>45733</c:v>
                </c:pt>
                <c:pt idx="48">
                  <c:v>45734</c:v>
                </c:pt>
                <c:pt idx="49">
                  <c:v>45735</c:v>
                </c:pt>
                <c:pt idx="50">
                  <c:v>45736</c:v>
                </c:pt>
                <c:pt idx="51">
                  <c:v>45737</c:v>
                </c:pt>
                <c:pt idx="52">
                  <c:v>45740</c:v>
                </c:pt>
                <c:pt idx="53">
                  <c:v>45741</c:v>
                </c:pt>
                <c:pt idx="54">
                  <c:v>45742</c:v>
                </c:pt>
                <c:pt idx="55">
                  <c:v>45743</c:v>
                </c:pt>
                <c:pt idx="56">
                  <c:v>45744</c:v>
                </c:pt>
                <c:pt idx="57">
                  <c:v>45747</c:v>
                </c:pt>
                <c:pt idx="58">
                  <c:v>45748</c:v>
                </c:pt>
                <c:pt idx="59">
                  <c:v>45749</c:v>
                </c:pt>
                <c:pt idx="60">
                  <c:v>45750</c:v>
                </c:pt>
                <c:pt idx="61">
                  <c:v>45751</c:v>
                </c:pt>
                <c:pt idx="62">
                  <c:v>45754</c:v>
                </c:pt>
                <c:pt idx="63">
                  <c:v>45755</c:v>
                </c:pt>
                <c:pt idx="64">
                  <c:v>45756</c:v>
                </c:pt>
                <c:pt idx="65">
                  <c:v>45757</c:v>
                </c:pt>
                <c:pt idx="66">
                  <c:v>45758</c:v>
                </c:pt>
                <c:pt idx="67">
                  <c:v>45761</c:v>
                </c:pt>
                <c:pt idx="68">
                  <c:v>45762</c:v>
                </c:pt>
                <c:pt idx="69">
                  <c:v>45763</c:v>
                </c:pt>
                <c:pt idx="70">
                  <c:v>45764</c:v>
                </c:pt>
                <c:pt idx="71">
                  <c:v>45768</c:v>
                </c:pt>
                <c:pt idx="72">
                  <c:v>45769</c:v>
                </c:pt>
                <c:pt idx="73">
                  <c:v>45770</c:v>
                </c:pt>
                <c:pt idx="74">
                  <c:v>45771</c:v>
                </c:pt>
                <c:pt idx="75">
                  <c:v>45772</c:v>
                </c:pt>
                <c:pt idx="76">
                  <c:v>45775</c:v>
                </c:pt>
                <c:pt idx="77">
                  <c:v>45776</c:v>
                </c:pt>
                <c:pt idx="78">
                  <c:v>45777</c:v>
                </c:pt>
                <c:pt idx="79">
                  <c:v>45778</c:v>
                </c:pt>
                <c:pt idx="80">
                  <c:v>45779</c:v>
                </c:pt>
                <c:pt idx="81">
                  <c:v>45782</c:v>
                </c:pt>
                <c:pt idx="82">
                  <c:v>45783</c:v>
                </c:pt>
                <c:pt idx="83">
                  <c:v>45784</c:v>
                </c:pt>
                <c:pt idx="84">
                  <c:v>45785</c:v>
                </c:pt>
                <c:pt idx="85">
                  <c:v>45786</c:v>
                </c:pt>
                <c:pt idx="86">
                  <c:v>45789</c:v>
                </c:pt>
                <c:pt idx="87">
                  <c:v>45790</c:v>
                </c:pt>
                <c:pt idx="88">
                  <c:v>45791</c:v>
                </c:pt>
                <c:pt idx="89">
                  <c:v>45792</c:v>
                </c:pt>
                <c:pt idx="90">
                  <c:v>45793</c:v>
                </c:pt>
                <c:pt idx="91">
                  <c:v>45796</c:v>
                </c:pt>
                <c:pt idx="92">
                  <c:v>45797</c:v>
                </c:pt>
                <c:pt idx="93">
                  <c:v>45798</c:v>
                </c:pt>
                <c:pt idx="94">
                  <c:v>45799</c:v>
                </c:pt>
                <c:pt idx="95">
                  <c:v>45800</c:v>
                </c:pt>
                <c:pt idx="96">
                  <c:v>45804</c:v>
                </c:pt>
                <c:pt idx="97">
                  <c:v>45805</c:v>
                </c:pt>
                <c:pt idx="98">
                  <c:v>45806</c:v>
                </c:pt>
                <c:pt idx="99">
                  <c:v>45807</c:v>
                </c:pt>
                <c:pt idx="100">
                  <c:v>45810</c:v>
                </c:pt>
                <c:pt idx="101">
                  <c:v>45811</c:v>
                </c:pt>
                <c:pt idx="102">
                  <c:v>45812</c:v>
                </c:pt>
                <c:pt idx="103">
                  <c:v>45813</c:v>
                </c:pt>
                <c:pt idx="104">
                  <c:v>45814</c:v>
                </c:pt>
                <c:pt idx="105">
                  <c:v>45817</c:v>
                </c:pt>
                <c:pt idx="106">
                  <c:v>45818</c:v>
                </c:pt>
                <c:pt idx="107">
                  <c:v>45819</c:v>
                </c:pt>
                <c:pt idx="108">
                  <c:v>45820</c:v>
                </c:pt>
                <c:pt idx="109">
                  <c:v>45821</c:v>
                </c:pt>
                <c:pt idx="110">
                  <c:v>45824</c:v>
                </c:pt>
                <c:pt idx="111">
                  <c:v>45825</c:v>
                </c:pt>
                <c:pt idx="112">
                  <c:v>45826</c:v>
                </c:pt>
                <c:pt idx="113">
                  <c:v>45828</c:v>
                </c:pt>
                <c:pt idx="114">
                  <c:v>45831</c:v>
                </c:pt>
                <c:pt idx="115">
                  <c:v>45832</c:v>
                </c:pt>
                <c:pt idx="116">
                  <c:v>45833</c:v>
                </c:pt>
                <c:pt idx="117">
                  <c:v>45834</c:v>
                </c:pt>
                <c:pt idx="118">
                  <c:v>45835</c:v>
                </c:pt>
                <c:pt idx="119">
                  <c:v>45838</c:v>
                </c:pt>
                <c:pt idx="120">
                  <c:v>45839</c:v>
                </c:pt>
                <c:pt idx="121">
                  <c:v>45840</c:v>
                </c:pt>
                <c:pt idx="122">
                  <c:v>45841</c:v>
                </c:pt>
                <c:pt idx="123">
                  <c:v>45845</c:v>
                </c:pt>
                <c:pt idx="124">
                  <c:v>45846</c:v>
                </c:pt>
                <c:pt idx="125">
                  <c:v>45847</c:v>
                </c:pt>
                <c:pt idx="126">
                  <c:v>45848</c:v>
                </c:pt>
                <c:pt idx="127">
                  <c:v>45849</c:v>
                </c:pt>
                <c:pt idx="128">
                  <c:v>45852</c:v>
                </c:pt>
                <c:pt idx="129">
                  <c:v>45853</c:v>
                </c:pt>
                <c:pt idx="130">
                  <c:v>45854</c:v>
                </c:pt>
                <c:pt idx="131">
                  <c:v>45855</c:v>
                </c:pt>
                <c:pt idx="132">
                  <c:v>45856</c:v>
                </c:pt>
                <c:pt idx="133">
                  <c:v>45859</c:v>
                </c:pt>
                <c:pt idx="134">
                  <c:v>45860</c:v>
                </c:pt>
                <c:pt idx="135">
                  <c:v>45861</c:v>
                </c:pt>
                <c:pt idx="136">
                  <c:v>45862</c:v>
                </c:pt>
                <c:pt idx="137">
                  <c:v>45863</c:v>
                </c:pt>
                <c:pt idx="138">
                  <c:v>45866</c:v>
                </c:pt>
                <c:pt idx="139">
                  <c:v>45867</c:v>
                </c:pt>
                <c:pt idx="140">
                  <c:v>45868</c:v>
                </c:pt>
                <c:pt idx="141">
                  <c:v>45869</c:v>
                </c:pt>
                <c:pt idx="142">
                  <c:v>45870</c:v>
                </c:pt>
                <c:pt idx="143">
                  <c:v>45873</c:v>
                </c:pt>
                <c:pt idx="144">
                  <c:v>45874</c:v>
                </c:pt>
                <c:pt idx="145">
                  <c:v>45875</c:v>
                </c:pt>
                <c:pt idx="146">
                  <c:v>45876</c:v>
                </c:pt>
                <c:pt idx="147">
                  <c:v>45877</c:v>
                </c:pt>
                <c:pt idx="148">
                  <c:v>45880</c:v>
                </c:pt>
                <c:pt idx="149">
                  <c:v>45881</c:v>
                </c:pt>
                <c:pt idx="150">
                  <c:v>45882</c:v>
                </c:pt>
                <c:pt idx="151">
                  <c:v>45883</c:v>
                </c:pt>
                <c:pt idx="152">
                  <c:v>45884</c:v>
                </c:pt>
                <c:pt idx="153">
                  <c:v>45887</c:v>
                </c:pt>
                <c:pt idx="154">
                  <c:v>45888</c:v>
                </c:pt>
                <c:pt idx="155">
                  <c:v>45889</c:v>
                </c:pt>
                <c:pt idx="156">
                  <c:v>45890</c:v>
                </c:pt>
                <c:pt idx="157">
                  <c:v>45891</c:v>
                </c:pt>
                <c:pt idx="158">
                  <c:v>45894</c:v>
                </c:pt>
                <c:pt idx="159">
                  <c:v>45895</c:v>
                </c:pt>
                <c:pt idx="160">
                  <c:v>45896</c:v>
                </c:pt>
                <c:pt idx="161">
                  <c:v>45897</c:v>
                </c:pt>
                <c:pt idx="162">
                  <c:v>45898</c:v>
                </c:pt>
                <c:pt idx="163">
                  <c:v>45902</c:v>
                </c:pt>
                <c:pt idx="164">
                  <c:v>45903</c:v>
                </c:pt>
                <c:pt idx="165">
                  <c:v>45904</c:v>
                </c:pt>
                <c:pt idx="166">
                  <c:v>45905</c:v>
                </c:pt>
                <c:pt idx="167">
                  <c:v>45908</c:v>
                </c:pt>
                <c:pt idx="168">
                  <c:v>45909</c:v>
                </c:pt>
                <c:pt idx="169">
                  <c:v>45910</c:v>
                </c:pt>
                <c:pt idx="170">
                  <c:v>45911</c:v>
                </c:pt>
                <c:pt idx="171">
                  <c:v>45912</c:v>
                </c:pt>
                <c:pt idx="172">
                  <c:v>45915</c:v>
                </c:pt>
                <c:pt idx="173">
                  <c:v>45916</c:v>
                </c:pt>
                <c:pt idx="174">
                  <c:v>45917</c:v>
                </c:pt>
                <c:pt idx="175">
                  <c:v>45918</c:v>
                </c:pt>
                <c:pt idx="176">
                  <c:v>45919</c:v>
                </c:pt>
                <c:pt idx="177">
                  <c:v>45922</c:v>
                </c:pt>
                <c:pt idx="178">
                  <c:v>45923</c:v>
                </c:pt>
                <c:pt idx="179">
                  <c:v>45924</c:v>
                </c:pt>
                <c:pt idx="180">
                  <c:v>45925</c:v>
                </c:pt>
                <c:pt idx="181">
                  <c:v>45926</c:v>
                </c:pt>
                <c:pt idx="182">
                  <c:v>45929</c:v>
                </c:pt>
                <c:pt idx="183">
                  <c:v>45930</c:v>
                </c:pt>
                <c:pt idx="184">
                  <c:v>45931</c:v>
                </c:pt>
                <c:pt idx="185">
                  <c:v>45932</c:v>
                </c:pt>
                <c:pt idx="186">
                  <c:v>45933</c:v>
                </c:pt>
                <c:pt idx="187">
                  <c:v>45936</c:v>
                </c:pt>
                <c:pt idx="188">
                  <c:v>45937</c:v>
                </c:pt>
                <c:pt idx="189">
                  <c:v>45938</c:v>
                </c:pt>
                <c:pt idx="190">
                  <c:v>45939</c:v>
                </c:pt>
                <c:pt idx="191">
                  <c:v>45940</c:v>
                </c:pt>
                <c:pt idx="192">
                  <c:v>45943</c:v>
                </c:pt>
                <c:pt idx="193">
                  <c:v>45944</c:v>
                </c:pt>
                <c:pt idx="194">
                  <c:v>45945</c:v>
                </c:pt>
                <c:pt idx="195">
                  <c:v>45946</c:v>
                </c:pt>
                <c:pt idx="196">
                  <c:v>45947</c:v>
                </c:pt>
                <c:pt idx="197">
                  <c:v>45950</c:v>
                </c:pt>
                <c:pt idx="198">
                  <c:v>45951</c:v>
                </c:pt>
                <c:pt idx="199">
                  <c:v>45952</c:v>
                </c:pt>
                <c:pt idx="200">
                  <c:v>45953</c:v>
                </c:pt>
                <c:pt idx="201">
                  <c:v>45954</c:v>
                </c:pt>
                <c:pt idx="202">
                  <c:v>45957</c:v>
                </c:pt>
                <c:pt idx="203">
                  <c:v>45958</c:v>
                </c:pt>
                <c:pt idx="204">
                  <c:v>45959</c:v>
                </c:pt>
                <c:pt idx="205">
                  <c:v>45960</c:v>
                </c:pt>
                <c:pt idx="206">
                  <c:v>45961</c:v>
                </c:pt>
                <c:pt idx="207">
                  <c:v>45964</c:v>
                </c:pt>
                <c:pt idx="208">
                  <c:v>45965</c:v>
                </c:pt>
                <c:pt idx="209">
                  <c:v>45966</c:v>
                </c:pt>
                <c:pt idx="210">
                  <c:v>45967</c:v>
                </c:pt>
                <c:pt idx="211">
                  <c:v>45968</c:v>
                </c:pt>
                <c:pt idx="212">
                  <c:v>45971</c:v>
                </c:pt>
                <c:pt idx="213">
                  <c:v>45972</c:v>
                </c:pt>
                <c:pt idx="214">
                  <c:v>45973</c:v>
                </c:pt>
                <c:pt idx="215">
                  <c:v>45974</c:v>
                </c:pt>
                <c:pt idx="216">
                  <c:v>45975</c:v>
                </c:pt>
              </c:numCache>
            </c:numRef>
          </c:cat>
          <c:val>
            <c:numRef>
              <c:f>'Ford Motor Stock Price History'!$H$2:$H$218</c:f>
              <c:numCache>
                <c:formatCode>_(* #,##0_);_(* \(#,##0\);_(* "-"??_);_(@_)</c:formatCode>
                <c:ptCount val="217"/>
                <c:pt idx="0">
                  <c:v>6384000</c:v>
                </c:pt>
                <c:pt idx="1">
                  <c:v>6240000</c:v>
                </c:pt>
                <c:pt idx="2">
                  <c:v>6168000</c:v>
                </c:pt>
                <c:pt idx="3">
                  <c:v>7337000</c:v>
                </c:pt>
                <c:pt idx="4">
                  <c:v>6602000</c:v>
                </c:pt>
                <c:pt idx="5">
                  <c:v>4542000</c:v>
                </c:pt>
                <c:pt idx="6">
                  <c:v>6867000</c:v>
                </c:pt>
                <c:pt idx="7">
                  <c:v>4577000</c:v>
                </c:pt>
                <c:pt idx="8">
                  <c:v>6080000</c:v>
                </c:pt>
                <c:pt idx="9">
                  <c:v>6567000</c:v>
                </c:pt>
                <c:pt idx="10">
                  <c:v>6495000</c:v>
                </c:pt>
                <c:pt idx="11">
                  <c:v>5624000</c:v>
                </c:pt>
                <c:pt idx="12">
                  <c:v>4291000</c:v>
                </c:pt>
                <c:pt idx="13">
                  <c:v>7308000</c:v>
                </c:pt>
                <c:pt idx="14">
                  <c:v>9218000</c:v>
                </c:pt>
                <c:pt idx="15">
                  <c:v>6998999.9999999991</c:v>
                </c:pt>
                <c:pt idx="16">
                  <c:v>6966000</c:v>
                </c:pt>
                <c:pt idx="17">
                  <c:v>10373000</c:v>
                </c:pt>
                <c:pt idx="18">
                  <c:v>13143000</c:v>
                </c:pt>
                <c:pt idx="19">
                  <c:v>6872000</c:v>
                </c:pt>
                <c:pt idx="20">
                  <c:v>12419000</c:v>
                </c:pt>
                <c:pt idx="21">
                  <c:v>22276000</c:v>
                </c:pt>
                <c:pt idx="22">
                  <c:v>14085000</c:v>
                </c:pt>
                <c:pt idx="23">
                  <c:v>7217000</c:v>
                </c:pt>
                <c:pt idx="24">
                  <c:v>5484000</c:v>
                </c:pt>
                <c:pt idx="25">
                  <c:v>6734000</c:v>
                </c:pt>
                <c:pt idx="26">
                  <c:v>7206000</c:v>
                </c:pt>
                <c:pt idx="27">
                  <c:v>5378000</c:v>
                </c:pt>
                <c:pt idx="28">
                  <c:v>6218000</c:v>
                </c:pt>
                <c:pt idx="29">
                  <c:v>5019000</c:v>
                </c:pt>
                <c:pt idx="30">
                  <c:v>3979000</c:v>
                </c:pt>
                <c:pt idx="31">
                  <c:v>5844000</c:v>
                </c:pt>
                <c:pt idx="32">
                  <c:v>7256000</c:v>
                </c:pt>
                <c:pt idx="33">
                  <c:v>8888000</c:v>
                </c:pt>
                <c:pt idx="34">
                  <c:v>8795000</c:v>
                </c:pt>
                <c:pt idx="35">
                  <c:v>7052000</c:v>
                </c:pt>
                <c:pt idx="36">
                  <c:v>13799000</c:v>
                </c:pt>
                <c:pt idx="37">
                  <c:v>15444000</c:v>
                </c:pt>
                <c:pt idx="38">
                  <c:v>16750000</c:v>
                </c:pt>
                <c:pt idx="39">
                  <c:v>15777000.000000002</c:v>
                </c:pt>
                <c:pt idx="40">
                  <c:v>13668000</c:v>
                </c:pt>
                <c:pt idx="41">
                  <c:v>15063999.999999998</c:v>
                </c:pt>
                <c:pt idx="42">
                  <c:v>16718000</c:v>
                </c:pt>
                <c:pt idx="43">
                  <c:v>21013000</c:v>
                </c:pt>
                <c:pt idx="44">
                  <c:v>12999000</c:v>
                </c:pt>
                <c:pt idx="45">
                  <c:v>13775000</c:v>
                </c:pt>
                <c:pt idx="46">
                  <c:v>9131000</c:v>
                </c:pt>
                <c:pt idx="47">
                  <c:v>9858000</c:v>
                </c:pt>
                <c:pt idx="48">
                  <c:v>10273000</c:v>
                </c:pt>
                <c:pt idx="49">
                  <c:v>12470000</c:v>
                </c:pt>
                <c:pt idx="50">
                  <c:v>10910000</c:v>
                </c:pt>
                <c:pt idx="51">
                  <c:v>24064000</c:v>
                </c:pt>
                <c:pt idx="52">
                  <c:v>10285000</c:v>
                </c:pt>
                <c:pt idx="53">
                  <c:v>8367000</c:v>
                </c:pt>
                <c:pt idx="54">
                  <c:v>14097999.999999998</c:v>
                </c:pt>
                <c:pt idx="55">
                  <c:v>22903000</c:v>
                </c:pt>
                <c:pt idx="56">
                  <c:v>13687000</c:v>
                </c:pt>
                <c:pt idx="57">
                  <c:v>13994999.999999998</c:v>
                </c:pt>
                <c:pt idx="58">
                  <c:v>13538999.999999998</c:v>
                </c:pt>
                <c:pt idx="59">
                  <c:v>13691000</c:v>
                </c:pt>
                <c:pt idx="60">
                  <c:v>22027000</c:v>
                </c:pt>
                <c:pt idx="61">
                  <c:v>17747000</c:v>
                </c:pt>
                <c:pt idx="62">
                  <c:v>27494000</c:v>
                </c:pt>
                <c:pt idx="63">
                  <c:v>19929000</c:v>
                </c:pt>
                <c:pt idx="64">
                  <c:v>19966000</c:v>
                </c:pt>
                <c:pt idx="65">
                  <c:v>16354000</c:v>
                </c:pt>
                <c:pt idx="66">
                  <c:v>14607000</c:v>
                </c:pt>
                <c:pt idx="67">
                  <c:v>18996000</c:v>
                </c:pt>
                <c:pt idx="68">
                  <c:v>12547000</c:v>
                </c:pt>
                <c:pt idx="69">
                  <c:v>13380000.000000002</c:v>
                </c:pt>
                <c:pt idx="70">
                  <c:v>12919999.999999998</c:v>
                </c:pt>
                <c:pt idx="71">
                  <c:v>9414000</c:v>
                </c:pt>
                <c:pt idx="72">
                  <c:v>12139000</c:v>
                </c:pt>
                <c:pt idx="73">
                  <c:v>15869000</c:v>
                </c:pt>
                <c:pt idx="74">
                  <c:v>8703000</c:v>
                </c:pt>
                <c:pt idx="75">
                  <c:v>8868000</c:v>
                </c:pt>
                <c:pt idx="76">
                  <c:v>7705000</c:v>
                </c:pt>
                <c:pt idx="77">
                  <c:v>14197999.999999998</c:v>
                </c:pt>
                <c:pt idx="78">
                  <c:v>13641000</c:v>
                </c:pt>
                <c:pt idx="79">
                  <c:v>12653000</c:v>
                </c:pt>
                <c:pt idx="80">
                  <c:v>8223000</c:v>
                </c:pt>
                <c:pt idx="81">
                  <c:v>10577000</c:v>
                </c:pt>
                <c:pt idx="82">
                  <c:v>13181000</c:v>
                </c:pt>
                <c:pt idx="83">
                  <c:v>11694000</c:v>
                </c:pt>
                <c:pt idx="84">
                  <c:v>10717000</c:v>
                </c:pt>
                <c:pt idx="85">
                  <c:v>7634999.9999999991</c:v>
                </c:pt>
                <c:pt idx="86">
                  <c:v>10204000</c:v>
                </c:pt>
                <c:pt idx="87">
                  <c:v>8367000</c:v>
                </c:pt>
                <c:pt idx="88">
                  <c:v>8445000</c:v>
                </c:pt>
                <c:pt idx="89">
                  <c:v>7109999.9999999991</c:v>
                </c:pt>
                <c:pt idx="90">
                  <c:v>6491000</c:v>
                </c:pt>
                <c:pt idx="91">
                  <c:v>6020000</c:v>
                </c:pt>
                <c:pt idx="92">
                  <c:v>6106000</c:v>
                </c:pt>
                <c:pt idx="93">
                  <c:v>8909000</c:v>
                </c:pt>
                <c:pt idx="94">
                  <c:v>9408000</c:v>
                </c:pt>
                <c:pt idx="95">
                  <c:v>8052000</c:v>
                </c:pt>
                <c:pt idx="96">
                  <c:v>8907000</c:v>
                </c:pt>
                <c:pt idx="97">
                  <c:v>10234000</c:v>
                </c:pt>
                <c:pt idx="98">
                  <c:v>10169000</c:v>
                </c:pt>
                <c:pt idx="99">
                  <c:v>15219000</c:v>
                </c:pt>
                <c:pt idx="100">
                  <c:v>17034000</c:v>
                </c:pt>
                <c:pt idx="101">
                  <c:v>12158000</c:v>
                </c:pt>
                <c:pt idx="102">
                  <c:v>12319000</c:v>
                </c:pt>
                <c:pt idx="103">
                  <c:v>13327000.000000002</c:v>
                </c:pt>
                <c:pt idx="104">
                  <c:v>10592000</c:v>
                </c:pt>
                <c:pt idx="105">
                  <c:v>6364000</c:v>
                </c:pt>
                <c:pt idx="106">
                  <c:v>8796000</c:v>
                </c:pt>
                <c:pt idx="107">
                  <c:v>9309000</c:v>
                </c:pt>
                <c:pt idx="108">
                  <c:v>7639000</c:v>
                </c:pt>
                <c:pt idx="109">
                  <c:v>9011000</c:v>
                </c:pt>
                <c:pt idx="110">
                  <c:v>7520000</c:v>
                </c:pt>
                <c:pt idx="111">
                  <c:v>10097000</c:v>
                </c:pt>
                <c:pt idx="112">
                  <c:v>8277000</c:v>
                </c:pt>
                <c:pt idx="113">
                  <c:v>11674000</c:v>
                </c:pt>
                <c:pt idx="114">
                  <c:v>7758000</c:v>
                </c:pt>
                <c:pt idx="115">
                  <c:v>7723999.9999999991</c:v>
                </c:pt>
                <c:pt idx="116">
                  <c:v>9193000</c:v>
                </c:pt>
                <c:pt idx="117">
                  <c:v>8842000</c:v>
                </c:pt>
                <c:pt idx="118">
                  <c:v>18201000</c:v>
                </c:pt>
                <c:pt idx="119">
                  <c:v>8847000</c:v>
                </c:pt>
                <c:pt idx="120">
                  <c:v>14015000</c:v>
                </c:pt>
                <c:pt idx="121">
                  <c:v>12233000</c:v>
                </c:pt>
                <c:pt idx="122">
                  <c:v>6031000</c:v>
                </c:pt>
                <c:pt idx="123">
                  <c:v>7384000</c:v>
                </c:pt>
                <c:pt idx="124">
                  <c:v>7419000</c:v>
                </c:pt>
                <c:pt idx="125">
                  <c:v>6389000</c:v>
                </c:pt>
                <c:pt idx="126">
                  <c:v>6726000.0000000009</c:v>
                </c:pt>
                <c:pt idx="127">
                  <c:v>6534000</c:v>
                </c:pt>
                <c:pt idx="128">
                  <c:v>6210000</c:v>
                </c:pt>
                <c:pt idx="129">
                  <c:v>6509999.9999999991</c:v>
                </c:pt>
                <c:pt idx="130">
                  <c:v>10798000</c:v>
                </c:pt>
                <c:pt idx="131">
                  <c:v>7034999.9999999991</c:v>
                </c:pt>
                <c:pt idx="132">
                  <c:v>6881000</c:v>
                </c:pt>
                <c:pt idx="133">
                  <c:v>6552000</c:v>
                </c:pt>
                <c:pt idx="134">
                  <c:v>7940000.0000000009</c:v>
                </c:pt>
                <c:pt idx="135">
                  <c:v>7616000</c:v>
                </c:pt>
                <c:pt idx="136">
                  <c:v>6356000</c:v>
                </c:pt>
                <c:pt idx="137">
                  <c:v>5231000</c:v>
                </c:pt>
                <c:pt idx="138">
                  <c:v>5417000</c:v>
                </c:pt>
                <c:pt idx="139">
                  <c:v>5837000</c:v>
                </c:pt>
                <c:pt idx="140">
                  <c:v>7987000</c:v>
                </c:pt>
                <c:pt idx="141">
                  <c:v>10109000</c:v>
                </c:pt>
                <c:pt idx="142">
                  <c:v>7354000.0000000009</c:v>
                </c:pt>
                <c:pt idx="143">
                  <c:v>5670000</c:v>
                </c:pt>
                <c:pt idx="144">
                  <c:v>5886000</c:v>
                </c:pt>
                <c:pt idx="145">
                  <c:v>5952000</c:v>
                </c:pt>
                <c:pt idx="146">
                  <c:v>7177000</c:v>
                </c:pt>
                <c:pt idx="147">
                  <c:v>4847000</c:v>
                </c:pt>
                <c:pt idx="148">
                  <c:v>8433000</c:v>
                </c:pt>
                <c:pt idx="149">
                  <c:v>6402000</c:v>
                </c:pt>
                <c:pt idx="150">
                  <c:v>6382000</c:v>
                </c:pt>
                <c:pt idx="151">
                  <c:v>5247000</c:v>
                </c:pt>
                <c:pt idx="152">
                  <c:v>4614000</c:v>
                </c:pt>
                <c:pt idx="153">
                  <c:v>3711000</c:v>
                </c:pt>
                <c:pt idx="154">
                  <c:v>5802000</c:v>
                </c:pt>
                <c:pt idx="155">
                  <c:v>4647000</c:v>
                </c:pt>
                <c:pt idx="156">
                  <c:v>5178000</c:v>
                </c:pt>
                <c:pt idx="157">
                  <c:v>5854000</c:v>
                </c:pt>
                <c:pt idx="158">
                  <c:v>4504000</c:v>
                </c:pt>
                <c:pt idx="159">
                  <c:v>4861000</c:v>
                </c:pt>
                <c:pt idx="160">
                  <c:v>4038000.0000000005</c:v>
                </c:pt>
                <c:pt idx="161">
                  <c:v>4772000</c:v>
                </c:pt>
                <c:pt idx="162">
                  <c:v>4407000</c:v>
                </c:pt>
                <c:pt idx="163">
                  <c:v>5770000</c:v>
                </c:pt>
                <c:pt idx="164">
                  <c:v>4773000</c:v>
                </c:pt>
                <c:pt idx="165">
                  <c:v>3314000</c:v>
                </c:pt>
                <c:pt idx="166">
                  <c:v>4755000</c:v>
                </c:pt>
                <c:pt idx="167">
                  <c:v>3972999.9999999995</c:v>
                </c:pt>
                <c:pt idx="168">
                  <c:v>4126000</c:v>
                </c:pt>
                <c:pt idx="169">
                  <c:v>4702000</c:v>
                </c:pt>
                <c:pt idx="170">
                  <c:v>6420000</c:v>
                </c:pt>
                <c:pt idx="171">
                  <c:v>5010000</c:v>
                </c:pt>
                <c:pt idx="172">
                  <c:v>4794000</c:v>
                </c:pt>
                <c:pt idx="173">
                  <c:v>5806000</c:v>
                </c:pt>
                <c:pt idx="174">
                  <c:v>6859000</c:v>
                </c:pt>
                <c:pt idx="175">
                  <c:v>5504000</c:v>
                </c:pt>
                <c:pt idx="176">
                  <c:v>7168000.0000000009</c:v>
                </c:pt>
                <c:pt idx="177">
                  <c:v>5843000</c:v>
                </c:pt>
                <c:pt idx="178">
                  <c:v>5567000</c:v>
                </c:pt>
                <c:pt idx="179">
                  <c:v>6019000</c:v>
                </c:pt>
                <c:pt idx="180">
                  <c:v>6766000</c:v>
                </c:pt>
                <c:pt idx="181">
                  <c:v>11768000</c:v>
                </c:pt>
                <c:pt idx="182">
                  <c:v>8333000</c:v>
                </c:pt>
                <c:pt idx="183">
                  <c:v>7077000</c:v>
                </c:pt>
                <c:pt idx="184">
                  <c:v>7358000</c:v>
                </c:pt>
                <c:pt idx="185">
                  <c:v>7453000</c:v>
                </c:pt>
                <c:pt idx="186">
                  <c:v>10078000</c:v>
                </c:pt>
                <c:pt idx="187">
                  <c:v>9054000</c:v>
                </c:pt>
                <c:pt idx="188">
                  <c:v>15438999.999999998</c:v>
                </c:pt>
                <c:pt idx="189">
                  <c:v>7847000</c:v>
                </c:pt>
                <c:pt idx="190">
                  <c:v>7031999.9999999991</c:v>
                </c:pt>
                <c:pt idx="191">
                  <c:v>8460000</c:v>
                </c:pt>
                <c:pt idx="192">
                  <c:v>7394000</c:v>
                </c:pt>
                <c:pt idx="193">
                  <c:v>8912000</c:v>
                </c:pt>
                <c:pt idx="194">
                  <c:v>8896000</c:v>
                </c:pt>
                <c:pt idx="195">
                  <c:v>10870000</c:v>
                </c:pt>
                <c:pt idx="196">
                  <c:v>10763000</c:v>
                </c:pt>
                <c:pt idx="197">
                  <c:v>7788000</c:v>
                </c:pt>
                <c:pt idx="198">
                  <c:v>29714999.999999996</c:v>
                </c:pt>
                <c:pt idx="199">
                  <c:v>41506000</c:v>
                </c:pt>
                <c:pt idx="200">
                  <c:v>47984000</c:v>
                </c:pt>
                <c:pt idx="201">
                  <c:v>29837000</c:v>
                </c:pt>
                <c:pt idx="202">
                  <c:v>14086000.000000002</c:v>
                </c:pt>
                <c:pt idx="203">
                  <c:v>9674000</c:v>
                </c:pt>
                <c:pt idx="204">
                  <c:v>12751000</c:v>
                </c:pt>
                <c:pt idx="205">
                  <c:v>8077000</c:v>
                </c:pt>
                <c:pt idx="206">
                  <c:v>6886000</c:v>
                </c:pt>
                <c:pt idx="207">
                  <c:v>8042000</c:v>
                </c:pt>
                <c:pt idx="208">
                  <c:v>7036000</c:v>
                </c:pt>
                <c:pt idx="209">
                  <c:v>7913000</c:v>
                </c:pt>
                <c:pt idx="210">
                  <c:v>8229000.0000000009</c:v>
                </c:pt>
                <c:pt idx="211">
                  <c:v>8001000.0000000009</c:v>
                </c:pt>
                <c:pt idx="212">
                  <c:v>6205000</c:v>
                </c:pt>
                <c:pt idx="213">
                  <c:v>7973999.9999999991</c:v>
                </c:pt>
                <c:pt idx="214">
                  <c:v>6184000</c:v>
                </c:pt>
                <c:pt idx="215">
                  <c:v>7148000</c:v>
                </c:pt>
                <c:pt idx="216">
                  <c:v>6793000.0000000009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C4-4672-ACC2-39DD57E1A6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8642016"/>
        <c:axId val="1418651136"/>
      </c:areaChart>
      <c:lineChart>
        <c:grouping val="standard"/>
        <c:varyColors val="0"/>
        <c:ser>
          <c:idx val="0"/>
          <c:order val="0"/>
          <c:tx>
            <c:strRef>
              <c:f>'Ford Motor Stock Price History'!$B$1</c:f>
              <c:strCache>
                <c:ptCount val="1"/>
                <c:pt idx="0">
                  <c:v> Close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'Ford Motor Stock Price History'!$A$2:$A$218</c:f>
              <c:numCache>
                <c:formatCode>m/d/yyyy</c:formatCode>
                <c:ptCount val="217"/>
                <c:pt idx="0">
                  <c:v>45663</c:v>
                </c:pt>
                <c:pt idx="1">
                  <c:v>45664</c:v>
                </c:pt>
                <c:pt idx="2">
                  <c:v>45665</c:v>
                </c:pt>
                <c:pt idx="3">
                  <c:v>45667</c:v>
                </c:pt>
                <c:pt idx="4">
                  <c:v>45670</c:v>
                </c:pt>
                <c:pt idx="5">
                  <c:v>45671</c:v>
                </c:pt>
                <c:pt idx="6">
                  <c:v>45672</c:v>
                </c:pt>
                <c:pt idx="7">
                  <c:v>45673</c:v>
                </c:pt>
                <c:pt idx="8">
                  <c:v>45674</c:v>
                </c:pt>
                <c:pt idx="9">
                  <c:v>45678</c:v>
                </c:pt>
                <c:pt idx="10">
                  <c:v>45679</c:v>
                </c:pt>
                <c:pt idx="11">
                  <c:v>45680</c:v>
                </c:pt>
                <c:pt idx="12">
                  <c:v>45681</c:v>
                </c:pt>
                <c:pt idx="13">
                  <c:v>45684</c:v>
                </c:pt>
                <c:pt idx="14">
                  <c:v>45685</c:v>
                </c:pt>
                <c:pt idx="15">
                  <c:v>45686</c:v>
                </c:pt>
                <c:pt idx="16">
                  <c:v>45687</c:v>
                </c:pt>
                <c:pt idx="17">
                  <c:v>45688</c:v>
                </c:pt>
                <c:pt idx="18">
                  <c:v>45691</c:v>
                </c:pt>
                <c:pt idx="19">
                  <c:v>45692</c:v>
                </c:pt>
                <c:pt idx="20">
                  <c:v>45693</c:v>
                </c:pt>
                <c:pt idx="21">
                  <c:v>45694</c:v>
                </c:pt>
                <c:pt idx="22">
                  <c:v>45695</c:v>
                </c:pt>
                <c:pt idx="23">
                  <c:v>45698</c:v>
                </c:pt>
                <c:pt idx="24">
                  <c:v>45699</c:v>
                </c:pt>
                <c:pt idx="25">
                  <c:v>45700</c:v>
                </c:pt>
                <c:pt idx="26">
                  <c:v>45701</c:v>
                </c:pt>
                <c:pt idx="27">
                  <c:v>45702</c:v>
                </c:pt>
                <c:pt idx="28">
                  <c:v>45706</c:v>
                </c:pt>
                <c:pt idx="29">
                  <c:v>45707</c:v>
                </c:pt>
                <c:pt idx="30">
                  <c:v>45708</c:v>
                </c:pt>
                <c:pt idx="31">
                  <c:v>45709</c:v>
                </c:pt>
                <c:pt idx="32">
                  <c:v>45712</c:v>
                </c:pt>
                <c:pt idx="33">
                  <c:v>45713</c:v>
                </c:pt>
                <c:pt idx="34">
                  <c:v>45714</c:v>
                </c:pt>
                <c:pt idx="35">
                  <c:v>45715</c:v>
                </c:pt>
                <c:pt idx="36">
                  <c:v>45716</c:v>
                </c:pt>
                <c:pt idx="37">
                  <c:v>45719</c:v>
                </c:pt>
                <c:pt idx="38">
                  <c:v>45720</c:v>
                </c:pt>
                <c:pt idx="39">
                  <c:v>45721</c:v>
                </c:pt>
                <c:pt idx="40">
                  <c:v>45722</c:v>
                </c:pt>
                <c:pt idx="41">
                  <c:v>45723</c:v>
                </c:pt>
                <c:pt idx="42">
                  <c:v>45726</c:v>
                </c:pt>
                <c:pt idx="43">
                  <c:v>45727</c:v>
                </c:pt>
                <c:pt idx="44">
                  <c:v>45728</c:v>
                </c:pt>
                <c:pt idx="45">
                  <c:v>45729</c:v>
                </c:pt>
                <c:pt idx="46">
                  <c:v>45730</c:v>
                </c:pt>
                <c:pt idx="47">
                  <c:v>45733</c:v>
                </c:pt>
                <c:pt idx="48">
                  <c:v>45734</c:v>
                </c:pt>
                <c:pt idx="49">
                  <c:v>45735</c:v>
                </c:pt>
                <c:pt idx="50">
                  <c:v>45736</c:v>
                </c:pt>
                <c:pt idx="51">
                  <c:v>45737</c:v>
                </c:pt>
                <c:pt idx="52">
                  <c:v>45740</c:v>
                </c:pt>
                <c:pt idx="53">
                  <c:v>45741</c:v>
                </c:pt>
                <c:pt idx="54">
                  <c:v>45742</c:v>
                </c:pt>
                <c:pt idx="55">
                  <c:v>45743</c:v>
                </c:pt>
                <c:pt idx="56">
                  <c:v>45744</c:v>
                </c:pt>
                <c:pt idx="57">
                  <c:v>45747</c:v>
                </c:pt>
                <c:pt idx="58">
                  <c:v>45748</c:v>
                </c:pt>
                <c:pt idx="59">
                  <c:v>45749</c:v>
                </c:pt>
                <c:pt idx="60">
                  <c:v>45750</c:v>
                </c:pt>
                <c:pt idx="61">
                  <c:v>45751</c:v>
                </c:pt>
                <c:pt idx="62">
                  <c:v>45754</c:v>
                </c:pt>
                <c:pt idx="63">
                  <c:v>45755</c:v>
                </c:pt>
                <c:pt idx="64">
                  <c:v>45756</c:v>
                </c:pt>
                <c:pt idx="65">
                  <c:v>45757</c:v>
                </c:pt>
                <c:pt idx="66">
                  <c:v>45758</c:v>
                </c:pt>
                <c:pt idx="67">
                  <c:v>45761</c:v>
                </c:pt>
                <c:pt idx="68">
                  <c:v>45762</c:v>
                </c:pt>
                <c:pt idx="69">
                  <c:v>45763</c:v>
                </c:pt>
                <c:pt idx="70">
                  <c:v>45764</c:v>
                </c:pt>
                <c:pt idx="71">
                  <c:v>45768</c:v>
                </c:pt>
                <c:pt idx="72">
                  <c:v>45769</c:v>
                </c:pt>
                <c:pt idx="73">
                  <c:v>45770</c:v>
                </c:pt>
                <c:pt idx="74">
                  <c:v>45771</c:v>
                </c:pt>
                <c:pt idx="75">
                  <c:v>45772</c:v>
                </c:pt>
                <c:pt idx="76">
                  <c:v>45775</c:v>
                </c:pt>
                <c:pt idx="77">
                  <c:v>45776</c:v>
                </c:pt>
                <c:pt idx="78">
                  <c:v>45777</c:v>
                </c:pt>
                <c:pt idx="79">
                  <c:v>45778</c:v>
                </c:pt>
                <c:pt idx="80">
                  <c:v>45779</c:v>
                </c:pt>
                <c:pt idx="81">
                  <c:v>45782</c:v>
                </c:pt>
                <c:pt idx="82">
                  <c:v>45783</c:v>
                </c:pt>
                <c:pt idx="83">
                  <c:v>45784</c:v>
                </c:pt>
                <c:pt idx="84">
                  <c:v>45785</c:v>
                </c:pt>
                <c:pt idx="85">
                  <c:v>45786</c:v>
                </c:pt>
                <c:pt idx="86">
                  <c:v>45789</c:v>
                </c:pt>
                <c:pt idx="87">
                  <c:v>45790</c:v>
                </c:pt>
                <c:pt idx="88">
                  <c:v>45791</c:v>
                </c:pt>
                <c:pt idx="89">
                  <c:v>45792</c:v>
                </c:pt>
                <c:pt idx="90">
                  <c:v>45793</c:v>
                </c:pt>
                <c:pt idx="91">
                  <c:v>45796</c:v>
                </c:pt>
                <c:pt idx="92">
                  <c:v>45797</c:v>
                </c:pt>
                <c:pt idx="93">
                  <c:v>45798</c:v>
                </c:pt>
                <c:pt idx="94">
                  <c:v>45799</c:v>
                </c:pt>
                <c:pt idx="95">
                  <c:v>45800</c:v>
                </c:pt>
                <c:pt idx="96">
                  <c:v>45804</c:v>
                </c:pt>
                <c:pt idx="97">
                  <c:v>45805</c:v>
                </c:pt>
                <c:pt idx="98">
                  <c:v>45806</c:v>
                </c:pt>
                <c:pt idx="99">
                  <c:v>45807</c:v>
                </c:pt>
                <c:pt idx="100">
                  <c:v>45810</c:v>
                </c:pt>
                <c:pt idx="101">
                  <c:v>45811</c:v>
                </c:pt>
                <c:pt idx="102">
                  <c:v>45812</c:v>
                </c:pt>
                <c:pt idx="103">
                  <c:v>45813</c:v>
                </c:pt>
                <c:pt idx="104">
                  <c:v>45814</c:v>
                </c:pt>
                <c:pt idx="105">
                  <c:v>45817</c:v>
                </c:pt>
                <c:pt idx="106">
                  <c:v>45818</c:v>
                </c:pt>
                <c:pt idx="107">
                  <c:v>45819</c:v>
                </c:pt>
                <c:pt idx="108">
                  <c:v>45820</c:v>
                </c:pt>
                <c:pt idx="109">
                  <c:v>45821</c:v>
                </c:pt>
                <c:pt idx="110">
                  <c:v>45824</c:v>
                </c:pt>
                <c:pt idx="111">
                  <c:v>45825</c:v>
                </c:pt>
                <c:pt idx="112">
                  <c:v>45826</c:v>
                </c:pt>
                <c:pt idx="113">
                  <c:v>45828</c:v>
                </c:pt>
                <c:pt idx="114">
                  <c:v>45831</c:v>
                </c:pt>
                <c:pt idx="115">
                  <c:v>45832</c:v>
                </c:pt>
                <c:pt idx="116">
                  <c:v>45833</c:v>
                </c:pt>
                <c:pt idx="117">
                  <c:v>45834</c:v>
                </c:pt>
                <c:pt idx="118">
                  <c:v>45835</c:v>
                </c:pt>
                <c:pt idx="119">
                  <c:v>45838</c:v>
                </c:pt>
                <c:pt idx="120">
                  <c:v>45839</c:v>
                </c:pt>
                <c:pt idx="121">
                  <c:v>45840</c:v>
                </c:pt>
                <c:pt idx="122">
                  <c:v>45841</c:v>
                </c:pt>
                <c:pt idx="123">
                  <c:v>45845</c:v>
                </c:pt>
                <c:pt idx="124">
                  <c:v>45846</c:v>
                </c:pt>
                <c:pt idx="125">
                  <c:v>45847</c:v>
                </c:pt>
                <c:pt idx="126">
                  <c:v>45848</c:v>
                </c:pt>
                <c:pt idx="127">
                  <c:v>45849</c:v>
                </c:pt>
                <c:pt idx="128">
                  <c:v>45852</c:v>
                </c:pt>
                <c:pt idx="129">
                  <c:v>45853</c:v>
                </c:pt>
                <c:pt idx="130">
                  <c:v>45854</c:v>
                </c:pt>
                <c:pt idx="131">
                  <c:v>45855</c:v>
                </c:pt>
                <c:pt idx="132">
                  <c:v>45856</c:v>
                </c:pt>
                <c:pt idx="133">
                  <c:v>45859</c:v>
                </c:pt>
                <c:pt idx="134">
                  <c:v>45860</c:v>
                </c:pt>
                <c:pt idx="135">
                  <c:v>45861</c:v>
                </c:pt>
                <c:pt idx="136">
                  <c:v>45862</c:v>
                </c:pt>
                <c:pt idx="137">
                  <c:v>45863</c:v>
                </c:pt>
                <c:pt idx="138">
                  <c:v>45866</c:v>
                </c:pt>
                <c:pt idx="139">
                  <c:v>45867</c:v>
                </c:pt>
                <c:pt idx="140">
                  <c:v>45868</c:v>
                </c:pt>
                <c:pt idx="141">
                  <c:v>45869</c:v>
                </c:pt>
                <c:pt idx="142">
                  <c:v>45870</c:v>
                </c:pt>
                <c:pt idx="143">
                  <c:v>45873</c:v>
                </c:pt>
                <c:pt idx="144">
                  <c:v>45874</c:v>
                </c:pt>
                <c:pt idx="145">
                  <c:v>45875</c:v>
                </c:pt>
                <c:pt idx="146">
                  <c:v>45876</c:v>
                </c:pt>
                <c:pt idx="147">
                  <c:v>45877</c:v>
                </c:pt>
                <c:pt idx="148">
                  <c:v>45880</c:v>
                </c:pt>
                <c:pt idx="149">
                  <c:v>45881</c:v>
                </c:pt>
                <c:pt idx="150">
                  <c:v>45882</c:v>
                </c:pt>
                <c:pt idx="151">
                  <c:v>45883</c:v>
                </c:pt>
                <c:pt idx="152">
                  <c:v>45884</c:v>
                </c:pt>
                <c:pt idx="153">
                  <c:v>45887</c:v>
                </c:pt>
                <c:pt idx="154">
                  <c:v>45888</c:v>
                </c:pt>
                <c:pt idx="155">
                  <c:v>45889</c:v>
                </c:pt>
                <c:pt idx="156">
                  <c:v>45890</c:v>
                </c:pt>
                <c:pt idx="157">
                  <c:v>45891</c:v>
                </c:pt>
                <c:pt idx="158">
                  <c:v>45894</c:v>
                </c:pt>
                <c:pt idx="159">
                  <c:v>45895</c:v>
                </c:pt>
                <c:pt idx="160">
                  <c:v>45896</c:v>
                </c:pt>
                <c:pt idx="161">
                  <c:v>45897</c:v>
                </c:pt>
                <c:pt idx="162">
                  <c:v>45898</c:v>
                </c:pt>
                <c:pt idx="163">
                  <c:v>45902</c:v>
                </c:pt>
                <c:pt idx="164">
                  <c:v>45903</c:v>
                </c:pt>
                <c:pt idx="165">
                  <c:v>45904</c:v>
                </c:pt>
                <c:pt idx="166">
                  <c:v>45905</c:v>
                </c:pt>
                <c:pt idx="167">
                  <c:v>45908</c:v>
                </c:pt>
                <c:pt idx="168">
                  <c:v>45909</c:v>
                </c:pt>
                <c:pt idx="169">
                  <c:v>45910</c:v>
                </c:pt>
                <c:pt idx="170">
                  <c:v>45911</c:v>
                </c:pt>
                <c:pt idx="171">
                  <c:v>45912</c:v>
                </c:pt>
                <c:pt idx="172">
                  <c:v>45915</c:v>
                </c:pt>
                <c:pt idx="173">
                  <c:v>45916</c:v>
                </c:pt>
                <c:pt idx="174">
                  <c:v>45917</c:v>
                </c:pt>
                <c:pt idx="175">
                  <c:v>45918</c:v>
                </c:pt>
                <c:pt idx="176">
                  <c:v>45919</c:v>
                </c:pt>
                <c:pt idx="177">
                  <c:v>45922</c:v>
                </c:pt>
                <c:pt idx="178">
                  <c:v>45923</c:v>
                </c:pt>
                <c:pt idx="179">
                  <c:v>45924</c:v>
                </c:pt>
                <c:pt idx="180">
                  <c:v>45925</c:v>
                </c:pt>
                <c:pt idx="181">
                  <c:v>45926</c:v>
                </c:pt>
                <c:pt idx="182">
                  <c:v>45929</c:v>
                </c:pt>
                <c:pt idx="183">
                  <c:v>45930</c:v>
                </c:pt>
                <c:pt idx="184">
                  <c:v>45931</c:v>
                </c:pt>
                <c:pt idx="185">
                  <c:v>45932</c:v>
                </c:pt>
                <c:pt idx="186">
                  <c:v>45933</c:v>
                </c:pt>
                <c:pt idx="187">
                  <c:v>45936</c:v>
                </c:pt>
                <c:pt idx="188">
                  <c:v>45937</c:v>
                </c:pt>
                <c:pt idx="189">
                  <c:v>45938</c:v>
                </c:pt>
                <c:pt idx="190">
                  <c:v>45939</c:v>
                </c:pt>
                <c:pt idx="191">
                  <c:v>45940</c:v>
                </c:pt>
                <c:pt idx="192">
                  <c:v>45943</c:v>
                </c:pt>
                <c:pt idx="193">
                  <c:v>45944</c:v>
                </c:pt>
                <c:pt idx="194">
                  <c:v>45945</c:v>
                </c:pt>
                <c:pt idx="195">
                  <c:v>45946</c:v>
                </c:pt>
                <c:pt idx="196">
                  <c:v>45947</c:v>
                </c:pt>
                <c:pt idx="197">
                  <c:v>45950</c:v>
                </c:pt>
                <c:pt idx="198">
                  <c:v>45951</c:v>
                </c:pt>
                <c:pt idx="199">
                  <c:v>45952</c:v>
                </c:pt>
                <c:pt idx="200">
                  <c:v>45953</c:v>
                </c:pt>
                <c:pt idx="201">
                  <c:v>45954</c:v>
                </c:pt>
                <c:pt idx="202">
                  <c:v>45957</c:v>
                </c:pt>
                <c:pt idx="203">
                  <c:v>45958</c:v>
                </c:pt>
                <c:pt idx="204">
                  <c:v>45959</c:v>
                </c:pt>
                <c:pt idx="205">
                  <c:v>45960</c:v>
                </c:pt>
                <c:pt idx="206">
                  <c:v>45961</c:v>
                </c:pt>
                <c:pt idx="207">
                  <c:v>45964</c:v>
                </c:pt>
                <c:pt idx="208">
                  <c:v>45965</c:v>
                </c:pt>
                <c:pt idx="209">
                  <c:v>45966</c:v>
                </c:pt>
                <c:pt idx="210">
                  <c:v>45967</c:v>
                </c:pt>
                <c:pt idx="211">
                  <c:v>45968</c:v>
                </c:pt>
                <c:pt idx="212">
                  <c:v>45971</c:v>
                </c:pt>
                <c:pt idx="213">
                  <c:v>45972</c:v>
                </c:pt>
                <c:pt idx="214">
                  <c:v>45973</c:v>
                </c:pt>
                <c:pt idx="215">
                  <c:v>45974</c:v>
                </c:pt>
                <c:pt idx="216">
                  <c:v>45975</c:v>
                </c:pt>
              </c:numCache>
            </c:numRef>
          </c:cat>
          <c:val>
            <c:numRef>
              <c:f>'Ford Motor Stock Price History'!$B$2:$B$218</c:f>
              <c:numCache>
                <c:formatCode>_("$"* #,##0.00_);_("$"* \(#,##0.00\);_("$"* "-"??_);_(@_)</c:formatCode>
                <c:ptCount val="217"/>
                <c:pt idx="0">
                  <c:v>9.76</c:v>
                </c:pt>
                <c:pt idx="1">
                  <c:v>9.61</c:v>
                </c:pt>
                <c:pt idx="2">
                  <c:v>9.59</c:v>
                </c:pt>
                <c:pt idx="3">
                  <c:v>9.5</c:v>
                </c:pt>
                <c:pt idx="4">
                  <c:v>9.56</c:v>
                </c:pt>
                <c:pt idx="5">
                  <c:v>9.6300000000000008</c:v>
                </c:pt>
                <c:pt idx="6">
                  <c:v>9.7899999999999991</c:v>
                </c:pt>
                <c:pt idx="7">
                  <c:v>9.85</c:v>
                </c:pt>
                <c:pt idx="8">
                  <c:v>10.02</c:v>
                </c:pt>
                <c:pt idx="9">
                  <c:v>10.26</c:v>
                </c:pt>
                <c:pt idx="10">
                  <c:v>10.029999999999999</c:v>
                </c:pt>
                <c:pt idx="11">
                  <c:v>10</c:v>
                </c:pt>
                <c:pt idx="12">
                  <c:v>10.119999999999999</c:v>
                </c:pt>
                <c:pt idx="13">
                  <c:v>10.220000000000001</c:v>
                </c:pt>
                <c:pt idx="14">
                  <c:v>9.92</c:v>
                </c:pt>
                <c:pt idx="15">
                  <c:v>10.050000000000001</c:v>
                </c:pt>
                <c:pt idx="16">
                  <c:v>10</c:v>
                </c:pt>
                <c:pt idx="17">
                  <c:v>9.92</c:v>
                </c:pt>
                <c:pt idx="18">
                  <c:v>9.73</c:v>
                </c:pt>
                <c:pt idx="19">
                  <c:v>10.16</c:v>
                </c:pt>
                <c:pt idx="20">
                  <c:v>9.85</c:v>
                </c:pt>
                <c:pt idx="21">
                  <c:v>9.11</c:v>
                </c:pt>
                <c:pt idx="22">
                  <c:v>9.09</c:v>
                </c:pt>
                <c:pt idx="23">
                  <c:v>9.09</c:v>
                </c:pt>
                <c:pt idx="24">
                  <c:v>9.06</c:v>
                </c:pt>
                <c:pt idx="25">
                  <c:v>9.08</c:v>
                </c:pt>
                <c:pt idx="26">
                  <c:v>9.1999999999999993</c:v>
                </c:pt>
                <c:pt idx="27">
                  <c:v>9.33</c:v>
                </c:pt>
                <c:pt idx="28">
                  <c:v>9.2899999999999991</c:v>
                </c:pt>
                <c:pt idx="29">
                  <c:v>9.34</c:v>
                </c:pt>
                <c:pt idx="30">
                  <c:v>9.39</c:v>
                </c:pt>
                <c:pt idx="31">
                  <c:v>9.2799999999999994</c:v>
                </c:pt>
                <c:pt idx="32">
                  <c:v>9.35</c:v>
                </c:pt>
                <c:pt idx="33">
                  <c:v>9.42</c:v>
                </c:pt>
                <c:pt idx="34">
                  <c:v>9.4700000000000006</c:v>
                </c:pt>
                <c:pt idx="35">
                  <c:v>9.2899999999999991</c:v>
                </c:pt>
                <c:pt idx="36">
                  <c:v>9.5500000000000007</c:v>
                </c:pt>
                <c:pt idx="37">
                  <c:v>9.39</c:v>
                </c:pt>
                <c:pt idx="38">
                  <c:v>9.1199999999999992</c:v>
                </c:pt>
                <c:pt idx="39">
                  <c:v>9.65</c:v>
                </c:pt>
                <c:pt idx="40">
                  <c:v>9.61</c:v>
                </c:pt>
                <c:pt idx="41">
                  <c:v>9.9</c:v>
                </c:pt>
                <c:pt idx="42">
                  <c:v>9.9600000000000009</c:v>
                </c:pt>
                <c:pt idx="43">
                  <c:v>9.69</c:v>
                </c:pt>
                <c:pt idx="44">
                  <c:v>9.59</c:v>
                </c:pt>
                <c:pt idx="45">
                  <c:v>9.5299999999999994</c:v>
                </c:pt>
                <c:pt idx="46">
                  <c:v>9.73</c:v>
                </c:pt>
                <c:pt idx="47">
                  <c:v>9.92</c:v>
                </c:pt>
                <c:pt idx="48">
                  <c:v>9.9499999999999993</c:v>
                </c:pt>
                <c:pt idx="49">
                  <c:v>10.17</c:v>
                </c:pt>
                <c:pt idx="50">
                  <c:v>10.01</c:v>
                </c:pt>
                <c:pt idx="51">
                  <c:v>10</c:v>
                </c:pt>
                <c:pt idx="52">
                  <c:v>10.25</c:v>
                </c:pt>
                <c:pt idx="53">
                  <c:v>10.29</c:v>
                </c:pt>
                <c:pt idx="54">
                  <c:v>10.3</c:v>
                </c:pt>
                <c:pt idx="55">
                  <c:v>9.9</c:v>
                </c:pt>
                <c:pt idx="56">
                  <c:v>9.7200000000000006</c:v>
                </c:pt>
                <c:pt idx="57">
                  <c:v>10.029999999999999</c:v>
                </c:pt>
                <c:pt idx="58">
                  <c:v>9.94</c:v>
                </c:pt>
                <c:pt idx="59">
                  <c:v>10.15</c:v>
                </c:pt>
                <c:pt idx="60">
                  <c:v>9.5399999999999991</c:v>
                </c:pt>
                <c:pt idx="61">
                  <c:v>9.58</c:v>
                </c:pt>
                <c:pt idx="62">
                  <c:v>9.24</c:v>
                </c:pt>
                <c:pt idx="63">
                  <c:v>8.69</c:v>
                </c:pt>
                <c:pt idx="64">
                  <c:v>9.5</c:v>
                </c:pt>
                <c:pt idx="65">
                  <c:v>9.14</c:v>
                </c:pt>
                <c:pt idx="66">
                  <c:v>9.33</c:v>
                </c:pt>
                <c:pt idx="67">
                  <c:v>9.7100000000000009</c:v>
                </c:pt>
                <c:pt idx="68">
                  <c:v>9.4499999999999993</c:v>
                </c:pt>
                <c:pt idx="69">
                  <c:v>9.4</c:v>
                </c:pt>
                <c:pt idx="70">
                  <c:v>9.6300000000000008</c:v>
                </c:pt>
                <c:pt idx="71">
                  <c:v>9.4700000000000006</c:v>
                </c:pt>
                <c:pt idx="72">
                  <c:v>9.65</c:v>
                </c:pt>
                <c:pt idx="73">
                  <c:v>9.7799999999999994</c:v>
                </c:pt>
                <c:pt idx="74">
                  <c:v>10.06</c:v>
                </c:pt>
                <c:pt idx="75">
                  <c:v>10.039999999999999</c:v>
                </c:pt>
                <c:pt idx="76">
                  <c:v>10.02</c:v>
                </c:pt>
                <c:pt idx="77">
                  <c:v>10.15</c:v>
                </c:pt>
                <c:pt idx="78">
                  <c:v>10.01</c:v>
                </c:pt>
                <c:pt idx="79">
                  <c:v>10.18</c:v>
                </c:pt>
                <c:pt idx="80">
                  <c:v>10.28</c:v>
                </c:pt>
                <c:pt idx="81">
                  <c:v>10.17</c:v>
                </c:pt>
                <c:pt idx="82">
                  <c:v>10.44</c:v>
                </c:pt>
                <c:pt idx="83">
                  <c:v>10.28</c:v>
                </c:pt>
                <c:pt idx="84">
                  <c:v>10.28</c:v>
                </c:pt>
                <c:pt idx="85">
                  <c:v>10.43</c:v>
                </c:pt>
                <c:pt idx="86">
                  <c:v>10.55</c:v>
                </c:pt>
                <c:pt idx="87">
                  <c:v>10.6</c:v>
                </c:pt>
                <c:pt idx="88">
                  <c:v>10.65</c:v>
                </c:pt>
                <c:pt idx="89">
                  <c:v>10.75</c:v>
                </c:pt>
                <c:pt idx="90">
                  <c:v>10.8</c:v>
                </c:pt>
                <c:pt idx="91">
                  <c:v>10.75</c:v>
                </c:pt>
                <c:pt idx="92">
                  <c:v>10.72</c:v>
                </c:pt>
                <c:pt idx="93">
                  <c:v>10.48</c:v>
                </c:pt>
                <c:pt idx="94">
                  <c:v>10.44</c:v>
                </c:pt>
                <c:pt idx="95">
                  <c:v>10.36</c:v>
                </c:pt>
                <c:pt idx="96">
                  <c:v>10.31</c:v>
                </c:pt>
                <c:pt idx="97">
                  <c:v>10.17</c:v>
                </c:pt>
                <c:pt idx="98">
                  <c:v>10.220000000000001</c:v>
                </c:pt>
                <c:pt idx="99">
                  <c:v>10.38</c:v>
                </c:pt>
                <c:pt idx="100">
                  <c:v>9.98</c:v>
                </c:pt>
                <c:pt idx="101">
                  <c:v>10.19</c:v>
                </c:pt>
                <c:pt idx="102">
                  <c:v>10.24</c:v>
                </c:pt>
                <c:pt idx="103">
                  <c:v>10.1</c:v>
                </c:pt>
                <c:pt idx="104">
                  <c:v>10.26</c:v>
                </c:pt>
                <c:pt idx="105">
                  <c:v>10.34</c:v>
                </c:pt>
                <c:pt idx="106">
                  <c:v>10.6</c:v>
                </c:pt>
                <c:pt idx="107">
                  <c:v>10.66</c:v>
                </c:pt>
                <c:pt idx="108">
                  <c:v>10.53</c:v>
                </c:pt>
                <c:pt idx="109">
                  <c:v>10.43</c:v>
                </c:pt>
                <c:pt idx="110">
                  <c:v>10.62</c:v>
                </c:pt>
                <c:pt idx="111">
                  <c:v>10.42</c:v>
                </c:pt>
                <c:pt idx="112">
                  <c:v>10.43</c:v>
                </c:pt>
                <c:pt idx="113">
                  <c:v>10.59</c:v>
                </c:pt>
                <c:pt idx="114">
                  <c:v>10.75</c:v>
                </c:pt>
                <c:pt idx="115">
                  <c:v>10.73</c:v>
                </c:pt>
                <c:pt idx="116">
                  <c:v>10.48</c:v>
                </c:pt>
                <c:pt idx="117">
                  <c:v>10.63</c:v>
                </c:pt>
                <c:pt idx="118">
                  <c:v>10.8</c:v>
                </c:pt>
                <c:pt idx="119">
                  <c:v>10.85</c:v>
                </c:pt>
                <c:pt idx="120">
                  <c:v>11.35</c:v>
                </c:pt>
                <c:pt idx="121">
                  <c:v>11.77</c:v>
                </c:pt>
                <c:pt idx="122">
                  <c:v>11.81</c:v>
                </c:pt>
                <c:pt idx="123">
                  <c:v>11.59</c:v>
                </c:pt>
                <c:pt idx="124">
                  <c:v>11.68</c:v>
                </c:pt>
                <c:pt idx="125">
                  <c:v>11.83</c:v>
                </c:pt>
                <c:pt idx="126">
                  <c:v>11.91</c:v>
                </c:pt>
                <c:pt idx="127">
                  <c:v>11.78</c:v>
                </c:pt>
                <c:pt idx="128">
                  <c:v>11.88</c:v>
                </c:pt>
                <c:pt idx="129">
                  <c:v>11.57</c:v>
                </c:pt>
                <c:pt idx="130">
                  <c:v>11.24</c:v>
                </c:pt>
                <c:pt idx="131">
                  <c:v>11.15</c:v>
                </c:pt>
                <c:pt idx="132">
                  <c:v>11.16</c:v>
                </c:pt>
                <c:pt idx="133">
                  <c:v>11.31</c:v>
                </c:pt>
                <c:pt idx="134">
                  <c:v>11.19</c:v>
                </c:pt>
                <c:pt idx="135">
                  <c:v>11.38</c:v>
                </c:pt>
                <c:pt idx="136">
                  <c:v>11.26</c:v>
                </c:pt>
                <c:pt idx="137">
                  <c:v>11.47</c:v>
                </c:pt>
                <c:pt idx="138">
                  <c:v>11.28</c:v>
                </c:pt>
                <c:pt idx="139">
                  <c:v>11.08</c:v>
                </c:pt>
                <c:pt idx="140">
                  <c:v>10.87</c:v>
                </c:pt>
                <c:pt idx="141">
                  <c:v>11.07</c:v>
                </c:pt>
                <c:pt idx="142">
                  <c:v>10.82</c:v>
                </c:pt>
                <c:pt idx="143">
                  <c:v>10.95</c:v>
                </c:pt>
                <c:pt idx="144">
                  <c:v>11.06</c:v>
                </c:pt>
                <c:pt idx="145">
                  <c:v>11.21</c:v>
                </c:pt>
                <c:pt idx="146">
                  <c:v>11.28</c:v>
                </c:pt>
                <c:pt idx="147">
                  <c:v>11.32</c:v>
                </c:pt>
                <c:pt idx="148">
                  <c:v>11.14</c:v>
                </c:pt>
                <c:pt idx="149">
                  <c:v>11.25</c:v>
                </c:pt>
                <c:pt idx="150">
                  <c:v>11.44</c:v>
                </c:pt>
                <c:pt idx="151">
                  <c:v>11.44</c:v>
                </c:pt>
                <c:pt idx="152">
                  <c:v>11.44</c:v>
                </c:pt>
                <c:pt idx="153">
                  <c:v>11.46</c:v>
                </c:pt>
                <c:pt idx="154">
                  <c:v>11.58</c:v>
                </c:pt>
                <c:pt idx="155">
                  <c:v>11.49</c:v>
                </c:pt>
                <c:pt idx="156">
                  <c:v>11.33</c:v>
                </c:pt>
                <c:pt idx="157">
                  <c:v>11.74</c:v>
                </c:pt>
                <c:pt idx="158">
                  <c:v>11.82</c:v>
                </c:pt>
                <c:pt idx="159">
                  <c:v>11.84</c:v>
                </c:pt>
                <c:pt idx="160">
                  <c:v>11.91</c:v>
                </c:pt>
                <c:pt idx="161">
                  <c:v>11.71</c:v>
                </c:pt>
                <c:pt idx="162">
                  <c:v>11.77</c:v>
                </c:pt>
                <c:pt idx="163">
                  <c:v>11.72</c:v>
                </c:pt>
                <c:pt idx="164">
                  <c:v>11.62</c:v>
                </c:pt>
                <c:pt idx="165">
                  <c:v>11.68</c:v>
                </c:pt>
                <c:pt idx="166">
                  <c:v>11.74</c:v>
                </c:pt>
                <c:pt idx="167">
                  <c:v>11.69</c:v>
                </c:pt>
                <c:pt idx="168">
                  <c:v>11.49</c:v>
                </c:pt>
                <c:pt idx="169">
                  <c:v>11.42</c:v>
                </c:pt>
                <c:pt idx="170">
                  <c:v>11.76</c:v>
                </c:pt>
                <c:pt idx="171">
                  <c:v>11.68</c:v>
                </c:pt>
                <c:pt idx="172">
                  <c:v>11.68</c:v>
                </c:pt>
                <c:pt idx="173">
                  <c:v>11.61</c:v>
                </c:pt>
                <c:pt idx="174">
                  <c:v>11.66</c:v>
                </c:pt>
                <c:pt idx="175">
                  <c:v>11.74</c:v>
                </c:pt>
                <c:pt idx="176">
                  <c:v>11.62</c:v>
                </c:pt>
                <c:pt idx="177">
                  <c:v>11.66</c:v>
                </c:pt>
                <c:pt idx="178">
                  <c:v>11.73</c:v>
                </c:pt>
                <c:pt idx="179">
                  <c:v>11.63</c:v>
                </c:pt>
                <c:pt idx="180">
                  <c:v>11.62</c:v>
                </c:pt>
                <c:pt idx="181">
                  <c:v>12.01</c:v>
                </c:pt>
                <c:pt idx="182">
                  <c:v>12.09</c:v>
                </c:pt>
                <c:pt idx="183">
                  <c:v>11.96</c:v>
                </c:pt>
                <c:pt idx="184">
                  <c:v>12.27</c:v>
                </c:pt>
                <c:pt idx="185">
                  <c:v>12.22</c:v>
                </c:pt>
                <c:pt idx="186">
                  <c:v>12.67</c:v>
                </c:pt>
                <c:pt idx="187">
                  <c:v>12.7</c:v>
                </c:pt>
                <c:pt idx="188">
                  <c:v>11.92</c:v>
                </c:pt>
                <c:pt idx="189">
                  <c:v>11.74</c:v>
                </c:pt>
                <c:pt idx="190">
                  <c:v>11.5</c:v>
                </c:pt>
                <c:pt idx="191">
                  <c:v>11.41</c:v>
                </c:pt>
                <c:pt idx="192">
                  <c:v>11.54</c:v>
                </c:pt>
                <c:pt idx="193">
                  <c:v>11.65</c:v>
                </c:pt>
                <c:pt idx="194">
                  <c:v>11.76</c:v>
                </c:pt>
                <c:pt idx="195">
                  <c:v>11.74</c:v>
                </c:pt>
                <c:pt idx="196">
                  <c:v>11.92</c:v>
                </c:pt>
                <c:pt idx="197">
                  <c:v>11.99</c:v>
                </c:pt>
                <c:pt idx="198">
                  <c:v>12.56</c:v>
                </c:pt>
                <c:pt idx="199">
                  <c:v>12.43</c:v>
                </c:pt>
                <c:pt idx="200">
                  <c:v>12.34</c:v>
                </c:pt>
                <c:pt idx="201">
                  <c:v>13.84</c:v>
                </c:pt>
                <c:pt idx="202">
                  <c:v>13.26</c:v>
                </c:pt>
                <c:pt idx="203">
                  <c:v>13.13</c:v>
                </c:pt>
                <c:pt idx="204">
                  <c:v>13.24</c:v>
                </c:pt>
                <c:pt idx="205">
                  <c:v>13.06</c:v>
                </c:pt>
                <c:pt idx="206">
                  <c:v>13.13</c:v>
                </c:pt>
                <c:pt idx="207">
                  <c:v>13.01</c:v>
                </c:pt>
                <c:pt idx="208">
                  <c:v>12.79</c:v>
                </c:pt>
                <c:pt idx="209">
                  <c:v>13.11</c:v>
                </c:pt>
                <c:pt idx="210">
                  <c:v>13.12</c:v>
                </c:pt>
                <c:pt idx="211">
                  <c:v>13.21</c:v>
                </c:pt>
                <c:pt idx="212">
                  <c:v>13.16</c:v>
                </c:pt>
                <c:pt idx="213">
                  <c:v>13.3</c:v>
                </c:pt>
                <c:pt idx="214">
                  <c:v>13.45</c:v>
                </c:pt>
                <c:pt idx="215">
                  <c:v>13.28</c:v>
                </c:pt>
                <c:pt idx="216">
                  <c:v>13.19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1C4-4672-ACC2-39DD57E1A6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8642976"/>
        <c:axId val="1418651616"/>
      </c:lineChart>
      <c:dateAx>
        <c:axId val="141864297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8651616"/>
        <c:crosses val="autoZero"/>
        <c:auto val="1"/>
        <c:lblOffset val="100"/>
        <c:baseTimeUnit val="days"/>
      </c:dateAx>
      <c:valAx>
        <c:axId val="1418651616"/>
        <c:scaling>
          <c:orientation val="minMax"/>
          <c:min val="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8642976"/>
        <c:crosses val="autoZero"/>
        <c:crossBetween val="between"/>
      </c:valAx>
      <c:valAx>
        <c:axId val="1418651136"/>
        <c:scaling>
          <c:orientation val="minMax"/>
        </c:scaling>
        <c:delete val="0"/>
        <c:axPos val="r"/>
        <c:numFmt formatCode="_(* #,##0_);_(* \(#,##0\);_(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8642016"/>
        <c:crosses val="max"/>
        <c:crossBetween val="between"/>
      </c:valAx>
      <c:dateAx>
        <c:axId val="1418642016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1418651136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301136</xdr:colOff>
      <xdr:row>14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A715428-A90F-4D39-AE4C-6CE290C29A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2D8F156-5968-4050-B447-F8F84D75A9A8}" name="Table1" displayName="Table1" ref="A1:I218" totalsRowShown="0">
  <autoFilter ref="A1:I218" xr:uid="{B2D8F156-5968-4050-B447-F8F84D75A9A8}"/>
  <tableColumns count="9">
    <tableColumn id="1" xr3:uid="{A1D98393-472E-4580-B0DF-834ACDD9DFF0}" name="Date" dataDxfId="6"/>
    <tableColumn id="2" xr3:uid="{AD3FC3A4-A74A-4FDB-A238-4C8B22D16D0B}" name="Close" dataDxfId="5" dataCellStyle="Currency"/>
    <tableColumn id="3" xr3:uid="{4E1E7A61-81D8-47D8-87C5-A347A3ACDAA1}" name="Open" dataDxfId="4" dataCellStyle="Currency"/>
    <tableColumn id="4" xr3:uid="{0A4DF015-166E-45BB-A0C2-A65F40060B1D}" name="High" dataDxfId="3" dataCellStyle="Currency"/>
    <tableColumn id="5" xr3:uid="{D29687E7-3DF5-4E00-8769-44A109EF11FB}" name="Low" dataDxfId="2" dataCellStyle="Currency"/>
    <tableColumn id="6" xr3:uid="{04527A08-3F41-4E0D-A846-FDB4C08740B7}" name="Vol."/>
    <tableColumn id="7" xr3:uid="{98FEA7F8-19A0-4140-810E-FDCC06779BBC}" name="Change "/>
    <tableColumn id="8" xr3:uid="{6951FCB0-B786-4A08-ADF9-1E2FCE04A309}" name="Volume" dataDxfId="1" dataCellStyle="Comma">
      <calculatedColumnFormula>F2*100000</calculatedColumnFormula>
    </tableColumn>
    <tableColumn id="9" xr3:uid="{9CCF8536-22CE-4E7F-84AB-1303B46324E4}" name="% change" dataDxfId="0" dataCellStyle="Percent">
      <calculatedColumnFormula>Table1[[#This Row],[Change ]]/100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9CC70-53C8-4DE3-AF9C-4630863851B4}">
  <dimension ref="A1:I218"/>
  <sheetViews>
    <sheetView tabSelected="1" zoomScaleNormal="100" workbookViewId="0">
      <selection activeCell="I1" activeCellId="1" sqref="A1:A1048576 I1:I1048576"/>
    </sheetView>
  </sheetViews>
  <sheetFormatPr defaultRowHeight="15" x14ac:dyDescent="0.25"/>
  <cols>
    <col min="2" max="2" width="9.85546875" style="6" customWidth="1"/>
    <col min="3" max="3" width="9.42578125" style="6" customWidth="1"/>
    <col min="4" max="5" width="9.140625" style="6"/>
    <col min="7" max="7" width="10.42578125" customWidth="1"/>
    <col min="8" max="8" width="14.28515625" style="4" bestFit="1" customWidth="1"/>
    <col min="9" max="9" width="9.140625" style="7"/>
  </cols>
  <sheetData>
    <row r="1" spans="1:9" x14ac:dyDescent="0.25">
      <c r="A1" s="2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2" t="s">
        <v>5</v>
      </c>
      <c r="G1" s="2" t="s">
        <v>6</v>
      </c>
      <c r="H1" s="3" t="s">
        <v>7</v>
      </c>
      <c r="I1" s="7" t="s">
        <v>8</v>
      </c>
    </row>
    <row r="2" spans="1:9" x14ac:dyDescent="0.25">
      <c r="A2" s="1">
        <v>45663</v>
      </c>
      <c r="B2" s="6">
        <v>9.76</v>
      </c>
      <c r="C2" s="6">
        <v>9.9</v>
      </c>
      <c r="D2" s="6">
        <v>10.029999999999999</v>
      </c>
      <c r="E2" s="6">
        <v>9.74</v>
      </c>
      <c r="F2">
        <v>63.84</v>
      </c>
      <c r="G2">
        <v>0.4</v>
      </c>
      <c r="H2" s="4">
        <f>F2*100000</f>
        <v>6384000</v>
      </c>
      <c r="I2" s="7">
        <f>Table1[[#This Row],[Change ]]/100</f>
        <v>4.0000000000000001E-3</v>
      </c>
    </row>
    <row r="3" spans="1:9" x14ac:dyDescent="0.25">
      <c r="A3" s="1">
        <v>45664</v>
      </c>
      <c r="B3" s="6">
        <v>9.61</v>
      </c>
      <c r="C3" s="6">
        <v>9.7899999999999991</v>
      </c>
      <c r="D3" s="6">
        <v>9.85</v>
      </c>
      <c r="E3" s="6">
        <v>9.57</v>
      </c>
      <c r="F3">
        <v>62.4</v>
      </c>
      <c r="G3">
        <v>-1.61</v>
      </c>
      <c r="H3" s="4">
        <f t="shared" ref="H3:H66" si="0">F3*100000</f>
        <v>6240000</v>
      </c>
      <c r="I3" s="7">
        <f>Table1[[#This Row],[Change ]]/100</f>
        <v>-1.61E-2</v>
      </c>
    </row>
    <row r="4" spans="1:9" x14ac:dyDescent="0.25">
      <c r="A4" s="1">
        <v>45665</v>
      </c>
      <c r="B4" s="6">
        <v>9.59</v>
      </c>
      <c r="C4" s="6">
        <v>9.59</v>
      </c>
      <c r="D4" s="6">
        <v>9.6</v>
      </c>
      <c r="E4" s="6">
        <v>9.43</v>
      </c>
      <c r="F4">
        <v>61.68</v>
      </c>
      <c r="G4">
        <v>-0.2</v>
      </c>
      <c r="H4" s="4">
        <f t="shared" si="0"/>
        <v>6168000</v>
      </c>
      <c r="I4" s="7">
        <f>Table1[[#This Row],[Change ]]/100</f>
        <v>-2E-3</v>
      </c>
    </row>
    <row r="5" spans="1:9" x14ac:dyDescent="0.25">
      <c r="A5" s="1">
        <v>45667</v>
      </c>
      <c r="B5" s="6">
        <v>9.5</v>
      </c>
      <c r="C5" s="6">
        <v>9.52</v>
      </c>
      <c r="D5" s="6">
        <v>9.68</v>
      </c>
      <c r="E5" s="6">
        <v>9.44</v>
      </c>
      <c r="F5">
        <v>73.37</v>
      </c>
      <c r="G5">
        <v>-0.92</v>
      </c>
      <c r="H5" s="4">
        <f t="shared" si="0"/>
        <v>7337000</v>
      </c>
      <c r="I5" s="7">
        <f>Table1[[#This Row],[Change ]]/100</f>
        <v>-9.1999999999999998E-3</v>
      </c>
    </row>
    <row r="6" spans="1:9" x14ac:dyDescent="0.25">
      <c r="A6" s="1">
        <v>45670</v>
      </c>
      <c r="B6" s="6">
        <v>9.56</v>
      </c>
      <c r="C6" s="6">
        <v>9.51</v>
      </c>
      <c r="D6" s="6">
        <v>9.57</v>
      </c>
      <c r="E6" s="6">
        <v>9.42</v>
      </c>
      <c r="F6">
        <v>66.02</v>
      </c>
      <c r="G6">
        <v>0.62</v>
      </c>
      <c r="H6" s="4">
        <f t="shared" si="0"/>
        <v>6602000</v>
      </c>
      <c r="I6" s="7">
        <f>Table1[[#This Row],[Change ]]/100</f>
        <v>6.1999999999999998E-3</v>
      </c>
    </row>
    <row r="7" spans="1:9" x14ac:dyDescent="0.25">
      <c r="A7" s="1">
        <v>45671</v>
      </c>
      <c r="B7" s="6">
        <v>9.6300000000000008</v>
      </c>
      <c r="C7" s="6">
        <v>9.6199999999999992</v>
      </c>
      <c r="D7" s="6">
        <v>9.66</v>
      </c>
      <c r="E7" s="6">
        <v>9.5299999999999994</v>
      </c>
      <c r="F7">
        <v>45.42</v>
      </c>
      <c r="G7">
        <v>0.72</v>
      </c>
      <c r="H7" s="4">
        <f t="shared" si="0"/>
        <v>4542000</v>
      </c>
      <c r="I7" s="7">
        <f>Table1[[#This Row],[Change ]]/100</f>
        <v>7.1999999999999998E-3</v>
      </c>
    </row>
    <row r="8" spans="1:9" x14ac:dyDescent="0.25">
      <c r="A8" s="1">
        <v>45672</v>
      </c>
      <c r="B8" s="6">
        <v>9.7899999999999991</v>
      </c>
      <c r="C8" s="6">
        <v>9.81</v>
      </c>
      <c r="D8" s="6">
        <v>9.9</v>
      </c>
      <c r="E8" s="6">
        <v>9.73</v>
      </c>
      <c r="F8">
        <v>68.67</v>
      </c>
      <c r="G8">
        <v>1.74</v>
      </c>
      <c r="H8" s="4">
        <f t="shared" si="0"/>
        <v>6867000</v>
      </c>
      <c r="I8" s="7">
        <f>Table1[[#This Row],[Change ]]/100</f>
        <v>1.7399999999999999E-2</v>
      </c>
    </row>
    <row r="9" spans="1:9" x14ac:dyDescent="0.25">
      <c r="A9" s="1">
        <v>45673</v>
      </c>
      <c r="B9" s="6">
        <v>9.85</v>
      </c>
      <c r="C9" s="6">
        <v>9.75</v>
      </c>
      <c r="D9" s="6">
        <v>9.9</v>
      </c>
      <c r="E9" s="6">
        <v>9.73</v>
      </c>
      <c r="F9">
        <v>45.77</v>
      </c>
      <c r="G9">
        <v>0.6</v>
      </c>
      <c r="H9" s="4">
        <f t="shared" si="0"/>
        <v>4577000</v>
      </c>
      <c r="I9" s="7">
        <f>Table1[[#This Row],[Change ]]/100</f>
        <v>6.0000000000000001E-3</v>
      </c>
    </row>
    <row r="10" spans="1:9" x14ac:dyDescent="0.25">
      <c r="A10" s="1">
        <v>45674</v>
      </c>
      <c r="B10" s="6">
        <v>10.02</v>
      </c>
      <c r="C10" s="6">
        <v>9.92</v>
      </c>
      <c r="D10" s="6">
        <v>10.050000000000001</v>
      </c>
      <c r="E10" s="6">
        <v>9.8800000000000008</v>
      </c>
      <c r="F10">
        <v>60.8</v>
      </c>
      <c r="G10">
        <v>1.7</v>
      </c>
      <c r="H10" s="4">
        <f t="shared" si="0"/>
        <v>6080000</v>
      </c>
      <c r="I10" s="7">
        <f>Table1[[#This Row],[Change ]]/100</f>
        <v>1.7000000000000001E-2</v>
      </c>
    </row>
    <row r="11" spans="1:9" x14ac:dyDescent="0.25">
      <c r="A11" s="1">
        <v>45678</v>
      </c>
      <c r="B11" s="6">
        <v>10.26</v>
      </c>
      <c r="C11" s="6">
        <v>10.14</v>
      </c>
      <c r="D11" s="6">
        <v>10.28</v>
      </c>
      <c r="E11" s="6">
        <v>10.08</v>
      </c>
      <c r="F11">
        <v>65.67</v>
      </c>
      <c r="G11">
        <v>2.46</v>
      </c>
      <c r="H11" s="4">
        <f t="shared" si="0"/>
        <v>6567000</v>
      </c>
      <c r="I11" s="7">
        <f>Table1[[#This Row],[Change ]]/100</f>
        <v>2.46E-2</v>
      </c>
    </row>
    <row r="12" spans="1:9" x14ac:dyDescent="0.25">
      <c r="A12" s="1">
        <v>45679</v>
      </c>
      <c r="B12" s="6">
        <v>10.029999999999999</v>
      </c>
      <c r="C12" s="6">
        <v>10.25</v>
      </c>
      <c r="D12" s="6">
        <v>10.25</v>
      </c>
      <c r="E12" s="6">
        <v>10.02</v>
      </c>
      <c r="F12">
        <v>64.95</v>
      </c>
      <c r="G12">
        <v>-2.29</v>
      </c>
      <c r="H12" s="4">
        <f t="shared" si="0"/>
        <v>6495000</v>
      </c>
      <c r="I12" s="7">
        <f>Table1[[#This Row],[Change ]]/100</f>
        <v>-2.29E-2</v>
      </c>
    </row>
    <row r="13" spans="1:9" x14ac:dyDescent="0.25">
      <c r="A13" s="1">
        <v>45680</v>
      </c>
      <c r="B13" s="6">
        <v>10</v>
      </c>
      <c r="C13" s="6">
        <v>9.89</v>
      </c>
      <c r="D13" s="6">
        <v>10.01</v>
      </c>
      <c r="E13" s="6">
        <v>9.81</v>
      </c>
      <c r="F13">
        <v>56.24</v>
      </c>
      <c r="G13">
        <v>-0.31</v>
      </c>
      <c r="H13" s="4">
        <f t="shared" si="0"/>
        <v>5624000</v>
      </c>
      <c r="I13" s="7">
        <f>Table1[[#This Row],[Change ]]/100</f>
        <v>-3.0999999999999999E-3</v>
      </c>
    </row>
    <row r="14" spans="1:9" x14ac:dyDescent="0.25">
      <c r="A14" s="1">
        <v>45681</v>
      </c>
      <c r="B14" s="6">
        <v>10.119999999999999</v>
      </c>
      <c r="C14" s="6">
        <v>10.16</v>
      </c>
      <c r="D14" s="6">
        <v>10.31</v>
      </c>
      <c r="E14" s="6">
        <v>10.09</v>
      </c>
      <c r="F14">
        <v>42.91</v>
      </c>
      <c r="G14">
        <v>1.21</v>
      </c>
      <c r="H14" s="4">
        <f t="shared" si="0"/>
        <v>4291000</v>
      </c>
      <c r="I14" s="7">
        <f>Table1[[#This Row],[Change ]]/100</f>
        <v>1.21E-2</v>
      </c>
    </row>
    <row r="15" spans="1:9" x14ac:dyDescent="0.25">
      <c r="A15" s="1">
        <v>45684</v>
      </c>
      <c r="B15" s="6">
        <v>10.220000000000001</v>
      </c>
      <c r="C15" s="6">
        <v>9.9499999999999993</v>
      </c>
      <c r="D15" s="6">
        <v>10.26</v>
      </c>
      <c r="E15" s="6">
        <v>9.94</v>
      </c>
      <c r="F15">
        <v>73.08</v>
      </c>
      <c r="G15">
        <v>0.95</v>
      </c>
      <c r="H15" s="4">
        <f t="shared" si="0"/>
        <v>7308000</v>
      </c>
      <c r="I15" s="7">
        <f>Table1[[#This Row],[Change ]]/100</f>
        <v>9.4999999999999998E-3</v>
      </c>
    </row>
    <row r="16" spans="1:9" x14ac:dyDescent="0.25">
      <c r="A16" s="1">
        <v>45685</v>
      </c>
      <c r="B16" s="6">
        <v>9.92</v>
      </c>
      <c r="C16" s="6">
        <v>10.07</v>
      </c>
      <c r="D16" s="6">
        <v>10.07</v>
      </c>
      <c r="E16" s="6">
        <v>9.76</v>
      </c>
      <c r="F16">
        <v>92.18</v>
      </c>
      <c r="G16">
        <v>-2.89</v>
      </c>
      <c r="H16" s="4">
        <f t="shared" si="0"/>
        <v>9218000</v>
      </c>
      <c r="I16" s="7">
        <f>Table1[[#This Row],[Change ]]/100</f>
        <v>-2.8900000000000002E-2</v>
      </c>
    </row>
    <row r="17" spans="1:9" x14ac:dyDescent="0.25">
      <c r="A17" s="1">
        <v>45686</v>
      </c>
      <c r="B17" s="6">
        <v>10.050000000000001</v>
      </c>
      <c r="C17" s="6">
        <v>9.94</v>
      </c>
      <c r="D17" s="6">
        <v>10.130000000000001</v>
      </c>
      <c r="E17" s="6">
        <v>9.8699999999999992</v>
      </c>
      <c r="F17">
        <v>69.989999999999995</v>
      </c>
      <c r="G17">
        <v>1.29</v>
      </c>
      <c r="H17" s="4">
        <f t="shared" si="0"/>
        <v>6998999.9999999991</v>
      </c>
      <c r="I17" s="7">
        <f>Table1[[#This Row],[Change ]]/100</f>
        <v>1.29E-2</v>
      </c>
    </row>
    <row r="18" spans="1:9" x14ac:dyDescent="0.25">
      <c r="A18" s="1">
        <v>45687</v>
      </c>
      <c r="B18" s="6">
        <v>10</v>
      </c>
      <c r="C18" s="6">
        <v>10.1</v>
      </c>
      <c r="D18" s="6">
        <v>10.23</v>
      </c>
      <c r="E18" s="6">
        <v>9.9</v>
      </c>
      <c r="F18">
        <v>69.66</v>
      </c>
      <c r="G18">
        <v>-0.49</v>
      </c>
      <c r="H18" s="4">
        <f t="shared" si="0"/>
        <v>6966000</v>
      </c>
      <c r="I18" s="7">
        <f>Table1[[#This Row],[Change ]]/100</f>
        <v>-4.8999999999999998E-3</v>
      </c>
    </row>
    <row r="19" spans="1:9" x14ac:dyDescent="0.25">
      <c r="A19" s="1">
        <v>45688</v>
      </c>
      <c r="B19" s="6">
        <v>9.92</v>
      </c>
      <c r="C19" s="6">
        <v>10.01</v>
      </c>
      <c r="D19" s="6">
        <v>10.19</v>
      </c>
      <c r="E19" s="6">
        <v>9.83</v>
      </c>
      <c r="F19">
        <v>103.73</v>
      </c>
      <c r="G19">
        <v>-0.79</v>
      </c>
      <c r="H19" s="4">
        <f t="shared" si="0"/>
        <v>10373000</v>
      </c>
      <c r="I19" s="7">
        <f>Table1[[#This Row],[Change ]]/100</f>
        <v>-7.9000000000000008E-3</v>
      </c>
    </row>
    <row r="20" spans="1:9" x14ac:dyDescent="0.25">
      <c r="A20" s="1">
        <v>45691</v>
      </c>
      <c r="B20" s="6">
        <v>9.73</v>
      </c>
      <c r="C20" s="6">
        <v>9.57</v>
      </c>
      <c r="D20" s="6">
        <v>9.9</v>
      </c>
      <c r="E20" s="6">
        <v>9.4499999999999993</v>
      </c>
      <c r="F20">
        <v>131.43</v>
      </c>
      <c r="G20">
        <v>-1.88</v>
      </c>
      <c r="H20" s="4">
        <f t="shared" si="0"/>
        <v>13143000</v>
      </c>
      <c r="I20" s="7">
        <f>Table1[[#This Row],[Change ]]/100</f>
        <v>-1.8799999999999997E-2</v>
      </c>
    </row>
    <row r="21" spans="1:9" x14ac:dyDescent="0.25">
      <c r="A21" s="1">
        <v>45692</v>
      </c>
      <c r="B21" s="6">
        <v>10.16</v>
      </c>
      <c r="C21" s="6">
        <v>9.94</v>
      </c>
      <c r="D21" s="6">
        <v>10.16</v>
      </c>
      <c r="E21" s="6">
        <v>9.9</v>
      </c>
      <c r="F21">
        <v>68.72</v>
      </c>
      <c r="G21">
        <v>4.38</v>
      </c>
      <c r="H21" s="4">
        <f t="shared" si="0"/>
        <v>6872000</v>
      </c>
      <c r="I21" s="7">
        <f>Table1[[#This Row],[Change ]]/100</f>
        <v>4.3799999999999999E-2</v>
      </c>
    </row>
    <row r="22" spans="1:9" x14ac:dyDescent="0.25">
      <c r="A22" s="1">
        <v>45693</v>
      </c>
      <c r="B22" s="6">
        <v>9.85</v>
      </c>
      <c r="C22" s="6">
        <v>10</v>
      </c>
      <c r="D22" s="6">
        <v>10.15</v>
      </c>
      <c r="E22" s="6">
        <v>9.8000000000000007</v>
      </c>
      <c r="F22">
        <v>124.19</v>
      </c>
      <c r="G22">
        <v>-3.04</v>
      </c>
      <c r="H22" s="4">
        <f t="shared" si="0"/>
        <v>12419000</v>
      </c>
      <c r="I22" s="7">
        <f>Table1[[#This Row],[Change ]]/100</f>
        <v>-3.04E-2</v>
      </c>
    </row>
    <row r="23" spans="1:9" x14ac:dyDescent="0.25">
      <c r="A23" s="1">
        <v>45694</v>
      </c>
      <c r="B23" s="6">
        <v>9.11</v>
      </c>
      <c r="C23" s="6">
        <v>9.34</v>
      </c>
      <c r="D23" s="6">
        <v>9.49</v>
      </c>
      <c r="E23" s="6">
        <v>9.11</v>
      </c>
      <c r="F23">
        <v>222.76</v>
      </c>
      <c r="G23">
        <v>-7.49</v>
      </c>
      <c r="H23" s="4">
        <f t="shared" si="0"/>
        <v>22276000</v>
      </c>
      <c r="I23" s="7">
        <f>Table1[[#This Row],[Change ]]/100</f>
        <v>-7.4900000000000008E-2</v>
      </c>
    </row>
    <row r="24" spans="1:9" x14ac:dyDescent="0.25">
      <c r="A24" s="1">
        <v>45695</v>
      </c>
      <c r="B24" s="6">
        <v>9.09</v>
      </c>
      <c r="C24" s="6">
        <v>9.18</v>
      </c>
      <c r="D24" s="6">
        <v>9.1999999999999993</v>
      </c>
      <c r="E24" s="6">
        <v>9.0299999999999994</v>
      </c>
      <c r="F24">
        <v>140.85</v>
      </c>
      <c r="G24">
        <v>-0.22</v>
      </c>
      <c r="H24" s="4">
        <f t="shared" si="0"/>
        <v>14085000</v>
      </c>
      <c r="I24" s="7">
        <f>Table1[[#This Row],[Change ]]/100</f>
        <v>-2.2000000000000001E-3</v>
      </c>
    </row>
    <row r="25" spans="1:9" x14ac:dyDescent="0.25">
      <c r="A25" s="1">
        <v>45698</v>
      </c>
      <c r="B25" s="6">
        <v>9.09</v>
      </c>
      <c r="C25" s="6">
        <v>9.1</v>
      </c>
      <c r="D25" s="6">
        <v>9.15</v>
      </c>
      <c r="E25" s="6">
        <v>8.98</v>
      </c>
      <c r="F25">
        <v>72.17</v>
      </c>
      <c r="G25">
        <v>0</v>
      </c>
      <c r="H25" s="4">
        <f t="shared" si="0"/>
        <v>7217000</v>
      </c>
      <c r="I25" s="7">
        <f>Table1[[#This Row],[Change ]]/100</f>
        <v>0</v>
      </c>
    </row>
    <row r="26" spans="1:9" x14ac:dyDescent="0.25">
      <c r="A26" s="1">
        <v>45699</v>
      </c>
      <c r="B26" s="6">
        <v>9.06</v>
      </c>
      <c r="C26" s="6">
        <v>9.06</v>
      </c>
      <c r="D26" s="6">
        <v>9.11</v>
      </c>
      <c r="E26" s="6">
        <v>9.02</v>
      </c>
      <c r="F26">
        <v>54.84</v>
      </c>
      <c r="G26">
        <v>-0.32</v>
      </c>
      <c r="H26" s="4">
        <f t="shared" si="0"/>
        <v>5484000</v>
      </c>
      <c r="I26" s="7">
        <f>Table1[[#This Row],[Change ]]/100</f>
        <v>-3.2000000000000002E-3</v>
      </c>
    </row>
    <row r="27" spans="1:9" x14ac:dyDescent="0.25">
      <c r="A27" s="1">
        <v>45700</v>
      </c>
      <c r="B27" s="6">
        <v>9.08</v>
      </c>
      <c r="C27" s="6">
        <v>9.02</v>
      </c>
      <c r="D27" s="6">
        <v>9.14</v>
      </c>
      <c r="E27" s="6">
        <v>8.9600000000000009</v>
      </c>
      <c r="F27">
        <v>67.34</v>
      </c>
      <c r="G27">
        <v>0.22</v>
      </c>
      <c r="H27" s="4">
        <f t="shared" si="0"/>
        <v>6734000</v>
      </c>
      <c r="I27" s="7">
        <f>Table1[[#This Row],[Change ]]/100</f>
        <v>2.2000000000000001E-3</v>
      </c>
    </row>
    <row r="28" spans="1:9" x14ac:dyDescent="0.25">
      <c r="A28" s="1">
        <v>45701</v>
      </c>
      <c r="B28" s="6">
        <v>9.1999999999999993</v>
      </c>
      <c r="C28" s="6">
        <v>9.14</v>
      </c>
      <c r="D28" s="6">
        <v>9.26</v>
      </c>
      <c r="E28" s="6">
        <v>9.09</v>
      </c>
      <c r="F28">
        <v>72.06</v>
      </c>
      <c r="G28">
        <v>1.3</v>
      </c>
      <c r="H28" s="4">
        <f t="shared" si="0"/>
        <v>7206000</v>
      </c>
      <c r="I28" s="7">
        <f>Table1[[#This Row],[Change ]]/100</f>
        <v>1.3000000000000001E-2</v>
      </c>
    </row>
    <row r="29" spans="1:9" x14ac:dyDescent="0.25">
      <c r="A29" s="1">
        <v>45702</v>
      </c>
      <c r="B29" s="6">
        <v>9.33</v>
      </c>
      <c r="C29" s="6">
        <v>9.2799999999999994</v>
      </c>
      <c r="D29" s="6">
        <v>9.36</v>
      </c>
      <c r="E29" s="6">
        <v>9.24</v>
      </c>
      <c r="F29">
        <v>53.78</v>
      </c>
      <c r="G29">
        <v>1.39</v>
      </c>
      <c r="H29" s="4">
        <f t="shared" si="0"/>
        <v>5378000</v>
      </c>
      <c r="I29" s="7">
        <f>Table1[[#This Row],[Change ]]/100</f>
        <v>1.3899999999999999E-2</v>
      </c>
    </row>
    <row r="30" spans="1:9" x14ac:dyDescent="0.25">
      <c r="A30" s="1">
        <v>45706</v>
      </c>
      <c r="B30" s="6">
        <v>9.2899999999999991</v>
      </c>
      <c r="C30" s="6">
        <v>9.32</v>
      </c>
      <c r="D30" s="6">
        <v>9.35</v>
      </c>
      <c r="E30" s="6">
        <v>9.23</v>
      </c>
      <c r="F30">
        <v>62.18</v>
      </c>
      <c r="G30">
        <v>-0.43</v>
      </c>
      <c r="H30" s="4">
        <f t="shared" si="0"/>
        <v>6218000</v>
      </c>
      <c r="I30" s="7">
        <f>Table1[[#This Row],[Change ]]/100</f>
        <v>-4.3E-3</v>
      </c>
    </row>
    <row r="31" spans="1:9" x14ac:dyDescent="0.25">
      <c r="A31" s="1">
        <v>45707</v>
      </c>
      <c r="B31" s="6">
        <v>9.34</v>
      </c>
      <c r="C31" s="6">
        <v>9.27</v>
      </c>
      <c r="D31" s="6">
        <v>9.39</v>
      </c>
      <c r="E31" s="6">
        <v>9.2100000000000009</v>
      </c>
      <c r="F31">
        <v>50.19</v>
      </c>
      <c r="G31">
        <v>0.54</v>
      </c>
      <c r="H31" s="4">
        <f t="shared" si="0"/>
        <v>5019000</v>
      </c>
      <c r="I31" s="7">
        <f>Table1[[#This Row],[Change ]]/100</f>
        <v>5.4000000000000003E-3</v>
      </c>
    </row>
    <row r="32" spans="1:9" x14ac:dyDescent="0.25">
      <c r="A32" s="1">
        <v>45708</v>
      </c>
      <c r="B32" s="6">
        <v>9.39</v>
      </c>
      <c r="C32" s="6">
        <v>9.33</v>
      </c>
      <c r="D32" s="6">
        <v>9.4</v>
      </c>
      <c r="E32" s="6">
        <v>9.2799999999999994</v>
      </c>
      <c r="F32">
        <v>39.79</v>
      </c>
      <c r="G32">
        <v>0.54</v>
      </c>
      <c r="H32" s="4">
        <f t="shared" si="0"/>
        <v>3979000</v>
      </c>
      <c r="I32" s="7">
        <f>Table1[[#This Row],[Change ]]/100</f>
        <v>5.4000000000000003E-3</v>
      </c>
    </row>
    <row r="33" spans="1:9" x14ac:dyDescent="0.25">
      <c r="A33" s="1">
        <v>45709</v>
      </c>
      <c r="B33" s="6">
        <v>9.2799999999999994</v>
      </c>
      <c r="C33" s="6">
        <v>9.3800000000000008</v>
      </c>
      <c r="D33" s="6">
        <v>9.41</v>
      </c>
      <c r="E33" s="6">
        <v>9.23</v>
      </c>
      <c r="F33">
        <v>58.44</v>
      </c>
      <c r="G33">
        <v>-1.17</v>
      </c>
      <c r="H33" s="4">
        <f t="shared" si="0"/>
        <v>5844000</v>
      </c>
      <c r="I33" s="7">
        <f>Table1[[#This Row],[Change ]]/100</f>
        <v>-1.1699999999999999E-2</v>
      </c>
    </row>
    <row r="34" spans="1:9" x14ac:dyDescent="0.25">
      <c r="A34" s="1">
        <v>45712</v>
      </c>
      <c r="B34" s="6">
        <v>9.35</v>
      </c>
      <c r="C34" s="6">
        <v>9.31</v>
      </c>
      <c r="D34" s="6">
        <v>9.4</v>
      </c>
      <c r="E34" s="6">
        <v>9.2100000000000009</v>
      </c>
      <c r="F34">
        <v>72.56</v>
      </c>
      <c r="G34">
        <v>0.75</v>
      </c>
      <c r="H34" s="4">
        <f t="shared" si="0"/>
        <v>7256000</v>
      </c>
      <c r="I34" s="7">
        <f>Table1[[#This Row],[Change ]]/100</f>
        <v>7.4999999999999997E-3</v>
      </c>
    </row>
    <row r="35" spans="1:9" x14ac:dyDescent="0.25">
      <c r="A35" s="1">
        <v>45713</v>
      </c>
      <c r="B35" s="6">
        <v>9.42</v>
      </c>
      <c r="C35" s="6">
        <v>9.36</v>
      </c>
      <c r="D35" s="6">
        <v>9.49</v>
      </c>
      <c r="E35" s="6">
        <v>9.31</v>
      </c>
      <c r="F35">
        <v>88.88</v>
      </c>
      <c r="G35">
        <v>0.75</v>
      </c>
      <c r="H35" s="4">
        <f t="shared" si="0"/>
        <v>8888000</v>
      </c>
      <c r="I35" s="7">
        <f>Table1[[#This Row],[Change ]]/100</f>
        <v>7.4999999999999997E-3</v>
      </c>
    </row>
    <row r="36" spans="1:9" x14ac:dyDescent="0.25">
      <c r="A36" s="1">
        <v>45714</v>
      </c>
      <c r="B36" s="6">
        <v>9.4700000000000006</v>
      </c>
      <c r="C36" s="6">
        <v>9.4600000000000009</v>
      </c>
      <c r="D36" s="6">
        <v>9.6199999999999992</v>
      </c>
      <c r="E36" s="6">
        <v>9.44</v>
      </c>
      <c r="F36">
        <v>87.95</v>
      </c>
      <c r="G36">
        <v>0.53</v>
      </c>
      <c r="H36" s="4">
        <f t="shared" si="0"/>
        <v>8795000</v>
      </c>
      <c r="I36" s="7">
        <f>Table1[[#This Row],[Change ]]/100</f>
        <v>5.3E-3</v>
      </c>
    </row>
    <row r="37" spans="1:9" x14ac:dyDescent="0.25">
      <c r="A37" s="1">
        <v>45715</v>
      </c>
      <c r="B37" s="6">
        <v>9.2899999999999991</v>
      </c>
      <c r="C37" s="6">
        <v>9.44</v>
      </c>
      <c r="D37" s="6">
        <v>9.5299999999999994</v>
      </c>
      <c r="E37" s="6">
        <v>9.2899999999999991</v>
      </c>
      <c r="F37">
        <v>70.52</v>
      </c>
      <c r="G37">
        <v>-1.9</v>
      </c>
      <c r="H37" s="4">
        <f t="shared" si="0"/>
        <v>7052000</v>
      </c>
      <c r="I37" s="7">
        <f>Table1[[#This Row],[Change ]]/100</f>
        <v>-1.9E-2</v>
      </c>
    </row>
    <row r="38" spans="1:9" x14ac:dyDescent="0.25">
      <c r="A38" s="1">
        <v>45716</v>
      </c>
      <c r="B38" s="6">
        <v>9.5500000000000007</v>
      </c>
      <c r="C38" s="6">
        <v>9.31</v>
      </c>
      <c r="D38" s="6">
        <v>9.69</v>
      </c>
      <c r="E38" s="6">
        <v>9.31</v>
      </c>
      <c r="F38">
        <v>137.99</v>
      </c>
      <c r="G38">
        <v>2.8</v>
      </c>
      <c r="H38" s="4">
        <f t="shared" si="0"/>
        <v>13799000</v>
      </c>
      <c r="I38" s="7">
        <f>Table1[[#This Row],[Change ]]/100</f>
        <v>2.7999999999999997E-2</v>
      </c>
    </row>
    <row r="39" spans="1:9" x14ac:dyDescent="0.25">
      <c r="A39" s="1">
        <v>45719</v>
      </c>
      <c r="B39" s="6">
        <v>9.39</v>
      </c>
      <c r="C39" s="6">
        <v>9.7100000000000009</v>
      </c>
      <c r="D39" s="6">
        <v>9.82</v>
      </c>
      <c r="E39" s="6">
        <v>9.32</v>
      </c>
      <c r="F39">
        <v>154.44</v>
      </c>
      <c r="G39">
        <v>-1.68</v>
      </c>
      <c r="H39" s="4">
        <f t="shared" si="0"/>
        <v>15444000</v>
      </c>
      <c r="I39" s="7">
        <f>Table1[[#This Row],[Change ]]/100</f>
        <v>-1.6799999999999999E-2</v>
      </c>
    </row>
    <row r="40" spans="1:9" x14ac:dyDescent="0.25">
      <c r="A40" s="1">
        <v>45720</v>
      </c>
      <c r="B40" s="6">
        <v>9.1199999999999992</v>
      </c>
      <c r="C40" s="6">
        <v>9.23</v>
      </c>
      <c r="D40" s="6">
        <v>9.27</v>
      </c>
      <c r="E40" s="6">
        <v>9.06</v>
      </c>
      <c r="F40">
        <v>167.5</v>
      </c>
      <c r="G40">
        <v>-2.88</v>
      </c>
      <c r="H40" s="4">
        <f t="shared" si="0"/>
        <v>16750000</v>
      </c>
      <c r="I40" s="7">
        <f>Table1[[#This Row],[Change ]]/100</f>
        <v>-2.8799999999999999E-2</v>
      </c>
    </row>
    <row r="41" spans="1:9" x14ac:dyDescent="0.25">
      <c r="A41" s="1">
        <v>45721</v>
      </c>
      <c r="B41" s="6">
        <v>9.65</v>
      </c>
      <c r="C41" s="6">
        <v>9.26</v>
      </c>
      <c r="D41" s="6">
        <v>9.67</v>
      </c>
      <c r="E41" s="6">
        <v>9.1999999999999993</v>
      </c>
      <c r="F41">
        <v>157.77000000000001</v>
      </c>
      <c r="G41">
        <v>5.81</v>
      </c>
      <c r="H41" s="4">
        <f t="shared" si="0"/>
        <v>15777000.000000002</v>
      </c>
      <c r="I41" s="7">
        <f>Table1[[#This Row],[Change ]]/100</f>
        <v>5.8099999999999999E-2</v>
      </c>
    </row>
    <row r="42" spans="1:9" x14ac:dyDescent="0.25">
      <c r="A42" s="1">
        <v>45722</v>
      </c>
      <c r="B42" s="6">
        <v>9.61</v>
      </c>
      <c r="C42" s="6">
        <v>9.52</v>
      </c>
      <c r="D42" s="6">
        <v>9.7200000000000006</v>
      </c>
      <c r="E42" s="6">
        <v>9.42</v>
      </c>
      <c r="F42">
        <v>136.68</v>
      </c>
      <c r="G42">
        <v>-0.41</v>
      </c>
      <c r="H42" s="4">
        <f t="shared" si="0"/>
        <v>13668000</v>
      </c>
      <c r="I42" s="7">
        <f>Table1[[#This Row],[Change ]]/100</f>
        <v>-4.0999999999999995E-3</v>
      </c>
    </row>
    <row r="43" spans="1:9" x14ac:dyDescent="0.25">
      <c r="A43" s="1">
        <v>45723</v>
      </c>
      <c r="B43" s="6">
        <v>9.9</v>
      </c>
      <c r="C43" s="6">
        <v>9.5399999999999991</v>
      </c>
      <c r="D43" s="6">
        <v>9.9600000000000009</v>
      </c>
      <c r="E43" s="6">
        <v>9.51</v>
      </c>
      <c r="F43">
        <v>150.63999999999999</v>
      </c>
      <c r="G43">
        <v>3.02</v>
      </c>
      <c r="H43" s="4">
        <f t="shared" si="0"/>
        <v>15063999.999999998</v>
      </c>
      <c r="I43" s="7">
        <f>Table1[[#This Row],[Change ]]/100</f>
        <v>3.0200000000000001E-2</v>
      </c>
    </row>
    <row r="44" spans="1:9" x14ac:dyDescent="0.25">
      <c r="A44" s="1">
        <v>45726</v>
      </c>
      <c r="B44" s="6">
        <v>9.9600000000000009</v>
      </c>
      <c r="C44" s="6">
        <v>9.77</v>
      </c>
      <c r="D44" s="6">
        <v>10.14</v>
      </c>
      <c r="E44" s="6">
        <v>9.77</v>
      </c>
      <c r="F44">
        <v>167.18</v>
      </c>
      <c r="G44">
        <v>0.61</v>
      </c>
      <c r="H44" s="4">
        <f t="shared" si="0"/>
        <v>16718000</v>
      </c>
      <c r="I44" s="7">
        <f>Table1[[#This Row],[Change ]]/100</f>
        <v>6.0999999999999995E-3</v>
      </c>
    </row>
    <row r="45" spans="1:9" x14ac:dyDescent="0.25">
      <c r="A45" s="1">
        <v>45727</v>
      </c>
      <c r="B45" s="6">
        <v>9.69</v>
      </c>
      <c r="C45" s="6">
        <v>9.92</v>
      </c>
      <c r="D45" s="6">
        <v>9.9600000000000009</v>
      </c>
      <c r="E45" s="6">
        <v>9.49</v>
      </c>
      <c r="F45">
        <v>210.13</v>
      </c>
      <c r="G45">
        <v>-2.71</v>
      </c>
      <c r="H45" s="4">
        <f t="shared" si="0"/>
        <v>21013000</v>
      </c>
      <c r="I45" s="7">
        <f>Table1[[#This Row],[Change ]]/100</f>
        <v>-2.7099999999999999E-2</v>
      </c>
    </row>
    <row r="46" spans="1:9" x14ac:dyDescent="0.25">
      <c r="A46" s="1">
        <v>45728</v>
      </c>
      <c r="B46" s="6">
        <v>9.59</v>
      </c>
      <c r="C46" s="6">
        <v>9.6999999999999993</v>
      </c>
      <c r="D46" s="6">
        <v>9.7100000000000009</v>
      </c>
      <c r="E46" s="6">
        <v>9.4600000000000009</v>
      </c>
      <c r="F46">
        <v>129.99</v>
      </c>
      <c r="G46">
        <v>-1.03</v>
      </c>
      <c r="H46" s="4">
        <f t="shared" si="0"/>
        <v>12999000</v>
      </c>
      <c r="I46" s="7">
        <f>Table1[[#This Row],[Change ]]/100</f>
        <v>-1.03E-2</v>
      </c>
    </row>
    <row r="47" spans="1:9" x14ac:dyDescent="0.25">
      <c r="A47" s="1">
        <v>45729</v>
      </c>
      <c r="B47" s="6">
        <v>9.5299999999999994</v>
      </c>
      <c r="C47" s="6">
        <v>9.57</v>
      </c>
      <c r="D47" s="6">
        <v>9.9499999999999993</v>
      </c>
      <c r="E47" s="6">
        <v>9.5</v>
      </c>
      <c r="F47">
        <v>137.75</v>
      </c>
      <c r="G47">
        <v>-0.63</v>
      </c>
      <c r="H47" s="4">
        <f t="shared" si="0"/>
        <v>13775000</v>
      </c>
      <c r="I47" s="7">
        <f>Table1[[#This Row],[Change ]]/100</f>
        <v>-6.3E-3</v>
      </c>
    </row>
    <row r="48" spans="1:9" x14ac:dyDescent="0.25">
      <c r="A48" s="1">
        <v>45730</v>
      </c>
      <c r="B48" s="6">
        <v>9.73</v>
      </c>
      <c r="C48" s="6">
        <v>9.66</v>
      </c>
      <c r="D48" s="6">
        <v>9.7899999999999991</v>
      </c>
      <c r="E48" s="6">
        <v>9.64</v>
      </c>
      <c r="F48">
        <v>91.31</v>
      </c>
      <c r="G48">
        <v>2.1</v>
      </c>
      <c r="H48" s="4">
        <f t="shared" si="0"/>
        <v>9131000</v>
      </c>
      <c r="I48" s="7">
        <f>Table1[[#This Row],[Change ]]/100</f>
        <v>2.1000000000000001E-2</v>
      </c>
    </row>
    <row r="49" spans="1:9" x14ac:dyDescent="0.25">
      <c r="A49" s="1">
        <v>45733</v>
      </c>
      <c r="B49" s="6">
        <v>9.92</v>
      </c>
      <c r="C49" s="6">
        <v>9.74</v>
      </c>
      <c r="D49" s="6">
        <v>9.98</v>
      </c>
      <c r="E49" s="6">
        <v>9.74</v>
      </c>
      <c r="F49">
        <v>98.58</v>
      </c>
      <c r="G49">
        <v>1.95</v>
      </c>
      <c r="H49" s="4">
        <f t="shared" si="0"/>
        <v>9858000</v>
      </c>
      <c r="I49" s="7">
        <f>Table1[[#This Row],[Change ]]/100</f>
        <v>1.95E-2</v>
      </c>
    </row>
    <row r="50" spans="1:9" x14ac:dyDescent="0.25">
      <c r="A50" s="1">
        <v>45734</v>
      </c>
      <c r="B50" s="6">
        <v>9.9499999999999993</v>
      </c>
      <c r="C50" s="6">
        <v>9.9499999999999993</v>
      </c>
      <c r="D50" s="6">
        <v>10.039999999999999</v>
      </c>
      <c r="E50" s="6">
        <v>9.8800000000000008</v>
      </c>
      <c r="F50">
        <v>102.73</v>
      </c>
      <c r="G50">
        <v>0.3</v>
      </c>
      <c r="H50" s="4">
        <f t="shared" si="0"/>
        <v>10273000</v>
      </c>
      <c r="I50" s="7">
        <f>Table1[[#This Row],[Change ]]/100</f>
        <v>3.0000000000000001E-3</v>
      </c>
    </row>
    <row r="51" spans="1:9" x14ac:dyDescent="0.25">
      <c r="A51" s="1">
        <v>45735</v>
      </c>
      <c r="B51" s="6">
        <v>10.17</v>
      </c>
      <c r="C51" s="6">
        <v>9.9600000000000009</v>
      </c>
      <c r="D51" s="6">
        <v>10.28</v>
      </c>
      <c r="E51" s="6">
        <v>9.94</v>
      </c>
      <c r="F51">
        <v>124.7</v>
      </c>
      <c r="G51">
        <v>2.21</v>
      </c>
      <c r="H51" s="4">
        <f t="shared" si="0"/>
        <v>12470000</v>
      </c>
      <c r="I51" s="7">
        <f>Table1[[#This Row],[Change ]]/100</f>
        <v>2.2099999999999998E-2</v>
      </c>
    </row>
    <row r="52" spans="1:9" x14ac:dyDescent="0.25">
      <c r="A52" s="1">
        <v>45736</v>
      </c>
      <c r="B52" s="6">
        <v>10.01</v>
      </c>
      <c r="C52" s="6">
        <v>10.07</v>
      </c>
      <c r="D52" s="6">
        <v>10.15</v>
      </c>
      <c r="E52" s="6">
        <v>9.99</v>
      </c>
      <c r="F52">
        <v>109.1</v>
      </c>
      <c r="G52">
        <v>-1.57</v>
      </c>
      <c r="H52" s="4">
        <f t="shared" si="0"/>
        <v>10910000</v>
      </c>
      <c r="I52" s="7">
        <f>Table1[[#This Row],[Change ]]/100</f>
        <v>-1.5700000000000002E-2</v>
      </c>
    </row>
    <row r="53" spans="1:9" x14ac:dyDescent="0.25">
      <c r="A53" s="1">
        <v>45737</v>
      </c>
      <c r="B53" s="6">
        <v>10</v>
      </c>
      <c r="C53" s="6">
        <v>9.91</v>
      </c>
      <c r="D53" s="6">
        <v>10.119999999999999</v>
      </c>
      <c r="E53" s="6">
        <v>9.83</v>
      </c>
      <c r="F53">
        <v>240.64</v>
      </c>
      <c r="G53">
        <v>-0.1</v>
      </c>
      <c r="H53" s="4">
        <f t="shared" si="0"/>
        <v>24064000</v>
      </c>
      <c r="I53" s="7">
        <f>Table1[[#This Row],[Change ]]/100</f>
        <v>-1E-3</v>
      </c>
    </row>
    <row r="54" spans="1:9" x14ac:dyDescent="0.25">
      <c r="A54" s="1">
        <v>45740</v>
      </c>
      <c r="B54" s="6">
        <v>10.25</v>
      </c>
      <c r="C54" s="6">
        <v>10.039999999999999</v>
      </c>
      <c r="D54" s="6">
        <v>10.25</v>
      </c>
      <c r="E54" s="6">
        <v>10.01</v>
      </c>
      <c r="F54">
        <v>102.85</v>
      </c>
      <c r="G54">
        <v>2.5</v>
      </c>
      <c r="H54" s="4">
        <f t="shared" si="0"/>
        <v>10285000</v>
      </c>
      <c r="I54" s="7">
        <f>Table1[[#This Row],[Change ]]/100</f>
        <v>2.5000000000000001E-2</v>
      </c>
    </row>
    <row r="55" spans="1:9" x14ac:dyDescent="0.25">
      <c r="A55" s="1">
        <v>45741</v>
      </c>
      <c r="B55" s="6">
        <v>10.29</v>
      </c>
      <c r="C55" s="6">
        <v>10.3</v>
      </c>
      <c r="D55" s="6">
        <v>10.35</v>
      </c>
      <c r="E55" s="6">
        <v>10.17</v>
      </c>
      <c r="F55">
        <v>83.67</v>
      </c>
      <c r="G55">
        <v>0.39</v>
      </c>
      <c r="H55" s="4">
        <f t="shared" si="0"/>
        <v>8367000</v>
      </c>
      <c r="I55" s="7">
        <f>Table1[[#This Row],[Change ]]/100</f>
        <v>3.9000000000000003E-3</v>
      </c>
    </row>
    <row r="56" spans="1:9" x14ac:dyDescent="0.25">
      <c r="A56" s="1">
        <v>45742</v>
      </c>
      <c r="B56" s="6">
        <v>10.3</v>
      </c>
      <c r="C56" s="6">
        <v>10.27</v>
      </c>
      <c r="D56" s="6">
        <v>10.35</v>
      </c>
      <c r="E56" s="6">
        <v>10.09</v>
      </c>
      <c r="F56">
        <v>140.97999999999999</v>
      </c>
      <c r="G56">
        <v>0.1</v>
      </c>
      <c r="H56" s="4">
        <f t="shared" si="0"/>
        <v>14097999.999999998</v>
      </c>
      <c r="I56" s="7">
        <f>Table1[[#This Row],[Change ]]/100</f>
        <v>1E-3</v>
      </c>
    </row>
    <row r="57" spans="1:9" x14ac:dyDescent="0.25">
      <c r="A57" s="1">
        <v>45743</v>
      </c>
      <c r="B57" s="6">
        <v>9.9</v>
      </c>
      <c r="C57" s="6">
        <v>10.26</v>
      </c>
      <c r="D57" s="6">
        <v>10.4</v>
      </c>
      <c r="E57" s="6">
        <v>9.82</v>
      </c>
      <c r="F57">
        <v>229.03</v>
      </c>
      <c r="G57">
        <v>-3.88</v>
      </c>
      <c r="H57" s="4">
        <f t="shared" si="0"/>
        <v>22903000</v>
      </c>
      <c r="I57" s="7">
        <f>Table1[[#This Row],[Change ]]/100</f>
        <v>-3.8800000000000001E-2</v>
      </c>
    </row>
    <row r="58" spans="1:9" x14ac:dyDescent="0.25">
      <c r="A58" s="1">
        <v>45744</v>
      </c>
      <c r="B58" s="6">
        <v>9.7200000000000006</v>
      </c>
      <c r="C58" s="6">
        <v>9.84</v>
      </c>
      <c r="D58" s="6">
        <v>9.89</v>
      </c>
      <c r="E58" s="6">
        <v>9.6199999999999992</v>
      </c>
      <c r="F58">
        <v>136.87</v>
      </c>
      <c r="G58">
        <v>-1.82</v>
      </c>
      <c r="H58" s="4">
        <f t="shared" si="0"/>
        <v>13687000</v>
      </c>
      <c r="I58" s="7">
        <f>Table1[[#This Row],[Change ]]/100</f>
        <v>-1.8200000000000001E-2</v>
      </c>
    </row>
    <row r="59" spans="1:9" x14ac:dyDescent="0.25">
      <c r="A59" s="1">
        <v>45747</v>
      </c>
      <c r="B59" s="6">
        <v>10.029999999999999</v>
      </c>
      <c r="C59" s="6">
        <v>9.57</v>
      </c>
      <c r="D59" s="6">
        <v>10.11</v>
      </c>
      <c r="E59" s="6">
        <v>9.5500000000000007</v>
      </c>
      <c r="F59">
        <v>139.94999999999999</v>
      </c>
      <c r="G59">
        <v>3.19</v>
      </c>
      <c r="H59" s="4">
        <f t="shared" si="0"/>
        <v>13994999.999999998</v>
      </c>
      <c r="I59" s="7">
        <f>Table1[[#This Row],[Change ]]/100</f>
        <v>3.1899999999999998E-2</v>
      </c>
    </row>
    <row r="60" spans="1:9" x14ac:dyDescent="0.25">
      <c r="A60" s="1">
        <v>45748</v>
      </c>
      <c r="B60" s="6">
        <v>9.94</v>
      </c>
      <c r="C60" s="6">
        <v>10.1</v>
      </c>
      <c r="D60" s="6">
        <v>10.17</v>
      </c>
      <c r="E60" s="6">
        <v>9.81</v>
      </c>
      <c r="F60">
        <v>135.38999999999999</v>
      </c>
      <c r="G60">
        <v>-0.9</v>
      </c>
      <c r="H60" s="4">
        <f t="shared" si="0"/>
        <v>13538999.999999998</v>
      </c>
      <c r="I60" s="7">
        <f>Table1[[#This Row],[Change ]]/100</f>
        <v>-9.0000000000000011E-3</v>
      </c>
    </row>
    <row r="61" spans="1:9" x14ac:dyDescent="0.25">
      <c r="A61" s="1">
        <v>45749</v>
      </c>
      <c r="B61" s="6">
        <v>10.15</v>
      </c>
      <c r="C61" s="6">
        <v>9.84</v>
      </c>
      <c r="D61" s="6">
        <v>10.27</v>
      </c>
      <c r="E61" s="6">
        <v>9.82</v>
      </c>
      <c r="F61">
        <v>136.91</v>
      </c>
      <c r="G61">
        <v>2.11</v>
      </c>
      <c r="H61" s="4">
        <f t="shared" si="0"/>
        <v>13691000</v>
      </c>
      <c r="I61" s="7">
        <f>Table1[[#This Row],[Change ]]/100</f>
        <v>2.1099999999999997E-2</v>
      </c>
    </row>
    <row r="62" spans="1:9" x14ac:dyDescent="0.25">
      <c r="A62" s="1">
        <v>45750</v>
      </c>
      <c r="B62" s="6">
        <v>9.5399999999999991</v>
      </c>
      <c r="C62" s="6">
        <v>9.99</v>
      </c>
      <c r="D62" s="6">
        <v>10.199999999999999</v>
      </c>
      <c r="E62" s="6">
        <v>9.5299999999999994</v>
      </c>
      <c r="F62">
        <v>220.27</v>
      </c>
      <c r="G62">
        <v>-6.01</v>
      </c>
      <c r="H62" s="4">
        <f t="shared" si="0"/>
        <v>22027000</v>
      </c>
      <c r="I62" s="7">
        <f>Table1[[#This Row],[Change ]]/100</f>
        <v>-6.0100000000000001E-2</v>
      </c>
    </row>
    <row r="63" spans="1:9" x14ac:dyDescent="0.25">
      <c r="A63" s="1">
        <v>45751</v>
      </c>
      <c r="B63" s="6">
        <v>9.58</v>
      </c>
      <c r="C63" s="6">
        <v>9.31</v>
      </c>
      <c r="D63" s="6">
        <v>9.73</v>
      </c>
      <c r="E63" s="6">
        <v>9.1999999999999993</v>
      </c>
      <c r="F63">
        <v>177.47</v>
      </c>
      <c r="G63">
        <v>0.42</v>
      </c>
      <c r="H63" s="4">
        <f t="shared" si="0"/>
        <v>17747000</v>
      </c>
      <c r="I63" s="7">
        <f>Table1[[#This Row],[Change ]]/100</f>
        <v>4.1999999999999997E-3</v>
      </c>
    </row>
    <row r="64" spans="1:9" x14ac:dyDescent="0.25">
      <c r="A64" s="1">
        <v>45754</v>
      </c>
      <c r="B64" s="6">
        <v>9.24</v>
      </c>
      <c r="C64" s="6">
        <v>9.27</v>
      </c>
      <c r="D64" s="6">
        <v>9.64</v>
      </c>
      <c r="E64" s="6">
        <v>9</v>
      </c>
      <c r="F64">
        <v>274.94</v>
      </c>
      <c r="G64">
        <v>-3.55</v>
      </c>
      <c r="H64" s="4">
        <f t="shared" si="0"/>
        <v>27494000</v>
      </c>
      <c r="I64" s="7">
        <f>Table1[[#This Row],[Change ]]/100</f>
        <v>-3.5499999999999997E-2</v>
      </c>
    </row>
    <row r="65" spans="1:9" x14ac:dyDescent="0.25">
      <c r="A65" s="1">
        <v>45755</v>
      </c>
      <c r="B65" s="6">
        <v>8.69</v>
      </c>
      <c r="C65" s="6">
        <v>9.52</v>
      </c>
      <c r="D65" s="6">
        <v>9.52</v>
      </c>
      <c r="E65" s="6">
        <v>8.5500000000000007</v>
      </c>
      <c r="F65">
        <v>199.29</v>
      </c>
      <c r="G65">
        <v>-5.95</v>
      </c>
      <c r="H65" s="4">
        <f t="shared" si="0"/>
        <v>19929000</v>
      </c>
      <c r="I65" s="7">
        <f>Table1[[#This Row],[Change ]]/100</f>
        <v>-5.9500000000000004E-2</v>
      </c>
    </row>
    <row r="66" spans="1:9" x14ac:dyDescent="0.25">
      <c r="A66" s="1">
        <v>45756</v>
      </c>
      <c r="B66" s="6">
        <v>9.5</v>
      </c>
      <c r="C66" s="6">
        <v>8.5</v>
      </c>
      <c r="D66" s="6">
        <v>9.5399999999999991</v>
      </c>
      <c r="E66" s="6">
        <v>8.44</v>
      </c>
      <c r="F66">
        <v>199.66</v>
      </c>
      <c r="G66">
        <v>9.32</v>
      </c>
      <c r="H66" s="4">
        <f t="shared" si="0"/>
        <v>19966000</v>
      </c>
      <c r="I66" s="7">
        <f>Table1[[#This Row],[Change ]]/100</f>
        <v>9.3200000000000005E-2</v>
      </c>
    </row>
    <row r="67" spans="1:9" x14ac:dyDescent="0.25">
      <c r="A67" s="1">
        <v>45757</v>
      </c>
      <c r="B67" s="6">
        <v>9.14</v>
      </c>
      <c r="C67" s="6">
        <v>9.1</v>
      </c>
      <c r="D67" s="6">
        <v>9.2799999999999994</v>
      </c>
      <c r="E67" s="6">
        <v>8.8800000000000008</v>
      </c>
      <c r="F67">
        <v>163.54</v>
      </c>
      <c r="G67">
        <v>-3.79</v>
      </c>
      <c r="H67" s="4">
        <f t="shared" ref="H67:H130" si="1">F67*100000</f>
        <v>16354000</v>
      </c>
      <c r="I67" s="7">
        <f>Table1[[#This Row],[Change ]]/100</f>
        <v>-3.7900000000000003E-2</v>
      </c>
    </row>
    <row r="68" spans="1:9" x14ac:dyDescent="0.25">
      <c r="A68" s="1">
        <v>45758</v>
      </c>
      <c r="B68" s="6">
        <v>9.33</v>
      </c>
      <c r="C68" s="6">
        <v>9.11</v>
      </c>
      <c r="D68" s="6">
        <v>9.35</v>
      </c>
      <c r="E68" s="6">
        <v>9.0399999999999991</v>
      </c>
      <c r="F68">
        <v>146.07</v>
      </c>
      <c r="G68">
        <v>2.08</v>
      </c>
      <c r="H68" s="4">
        <f t="shared" si="1"/>
        <v>14607000</v>
      </c>
      <c r="I68" s="7">
        <f>Table1[[#This Row],[Change ]]/100</f>
        <v>2.0799999999999999E-2</v>
      </c>
    </row>
    <row r="69" spans="1:9" x14ac:dyDescent="0.25">
      <c r="A69" s="1">
        <v>45761</v>
      </c>
      <c r="B69" s="6">
        <v>9.7100000000000009</v>
      </c>
      <c r="C69" s="6">
        <v>9.3800000000000008</v>
      </c>
      <c r="D69" s="6">
        <v>9.81</v>
      </c>
      <c r="E69" s="6">
        <v>9.1999999999999993</v>
      </c>
      <c r="F69">
        <v>189.96</v>
      </c>
      <c r="G69">
        <v>4.07</v>
      </c>
      <c r="H69" s="4">
        <f t="shared" si="1"/>
        <v>18996000</v>
      </c>
      <c r="I69" s="7">
        <f>Table1[[#This Row],[Change ]]/100</f>
        <v>4.07E-2</v>
      </c>
    </row>
    <row r="70" spans="1:9" x14ac:dyDescent="0.25">
      <c r="A70" s="1">
        <v>45762</v>
      </c>
      <c r="B70" s="6">
        <v>9.4499999999999993</v>
      </c>
      <c r="C70" s="6">
        <v>9.61</v>
      </c>
      <c r="D70" s="6">
        <v>9.6300000000000008</v>
      </c>
      <c r="E70" s="6">
        <v>9.3800000000000008</v>
      </c>
      <c r="F70">
        <v>125.47</v>
      </c>
      <c r="G70">
        <v>-2.68</v>
      </c>
      <c r="H70" s="4">
        <f t="shared" si="1"/>
        <v>12547000</v>
      </c>
      <c r="I70" s="7">
        <f>Table1[[#This Row],[Change ]]/100</f>
        <v>-2.6800000000000001E-2</v>
      </c>
    </row>
    <row r="71" spans="1:9" x14ac:dyDescent="0.25">
      <c r="A71" s="1">
        <v>45763</v>
      </c>
      <c r="B71" s="6">
        <v>9.4</v>
      </c>
      <c r="C71" s="6">
        <v>9.4700000000000006</v>
      </c>
      <c r="D71" s="6">
        <v>9.6199999999999992</v>
      </c>
      <c r="E71" s="6">
        <v>9.2899999999999991</v>
      </c>
      <c r="F71">
        <v>133.80000000000001</v>
      </c>
      <c r="G71">
        <v>-0.53</v>
      </c>
      <c r="H71" s="4">
        <f t="shared" si="1"/>
        <v>13380000.000000002</v>
      </c>
      <c r="I71" s="7">
        <f>Table1[[#This Row],[Change ]]/100</f>
        <v>-5.3E-3</v>
      </c>
    </row>
    <row r="72" spans="1:9" x14ac:dyDescent="0.25">
      <c r="A72" s="1">
        <v>45764</v>
      </c>
      <c r="B72" s="6">
        <v>9.6300000000000008</v>
      </c>
      <c r="C72" s="6">
        <v>9.41</v>
      </c>
      <c r="D72" s="6">
        <v>9.69</v>
      </c>
      <c r="E72" s="6">
        <v>9.4</v>
      </c>
      <c r="F72">
        <v>129.19999999999999</v>
      </c>
      <c r="G72">
        <v>2.4500000000000002</v>
      </c>
      <c r="H72" s="4">
        <f t="shared" si="1"/>
        <v>12919999.999999998</v>
      </c>
      <c r="I72" s="7">
        <f>Table1[[#This Row],[Change ]]/100</f>
        <v>2.4500000000000001E-2</v>
      </c>
    </row>
    <row r="73" spans="1:9" x14ac:dyDescent="0.25">
      <c r="A73" s="1">
        <v>45768</v>
      </c>
      <c r="B73" s="6">
        <v>9.4700000000000006</v>
      </c>
      <c r="C73" s="6">
        <v>9.58</v>
      </c>
      <c r="D73" s="6">
        <v>9.6300000000000008</v>
      </c>
      <c r="E73" s="6">
        <v>9.35</v>
      </c>
      <c r="F73">
        <v>94.14</v>
      </c>
      <c r="G73">
        <v>-1.66</v>
      </c>
      <c r="H73" s="4">
        <f t="shared" si="1"/>
        <v>9414000</v>
      </c>
      <c r="I73" s="7">
        <f>Table1[[#This Row],[Change ]]/100</f>
        <v>-1.66E-2</v>
      </c>
    </row>
    <row r="74" spans="1:9" x14ac:dyDescent="0.25">
      <c r="A74" s="1">
        <v>45769</v>
      </c>
      <c r="B74" s="6">
        <v>9.65</v>
      </c>
      <c r="C74" s="6">
        <v>9.5500000000000007</v>
      </c>
      <c r="D74" s="6">
        <v>9.7200000000000006</v>
      </c>
      <c r="E74" s="6">
        <v>9.5299999999999994</v>
      </c>
      <c r="F74">
        <v>121.39</v>
      </c>
      <c r="G74">
        <v>1.9</v>
      </c>
      <c r="H74" s="4">
        <f t="shared" si="1"/>
        <v>12139000</v>
      </c>
      <c r="I74" s="7">
        <f>Table1[[#This Row],[Change ]]/100</f>
        <v>1.9E-2</v>
      </c>
    </row>
    <row r="75" spans="1:9" x14ac:dyDescent="0.25">
      <c r="A75" s="1">
        <v>45770</v>
      </c>
      <c r="B75" s="6">
        <v>9.7799999999999994</v>
      </c>
      <c r="C75" s="6">
        <v>9.84</v>
      </c>
      <c r="D75" s="6">
        <v>10.01</v>
      </c>
      <c r="E75" s="6">
        <v>9.7100000000000009</v>
      </c>
      <c r="F75">
        <v>158.69</v>
      </c>
      <c r="G75">
        <v>1.35</v>
      </c>
      <c r="H75" s="4">
        <f t="shared" si="1"/>
        <v>15869000</v>
      </c>
      <c r="I75" s="7">
        <f>Table1[[#This Row],[Change ]]/100</f>
        <v>1.3500000000000002E-2</v>
      </c>
    </row>
    <row r="76" spans="1:9" x14ac:dyDescent="0.25">
      <c r="A76" s="1">
        <v>45771</v>
      </c>
      <c r="B76" s="6">
        <v>10.06</v>
      </c>
      <c r="C76" s="6">
        <v>9.8699999999999992</v>
      </c>
      <c r="D76" s="6">
        <v>10.09</v>
      </c>
      <c r="E76" s="6">
        <v>9.81</v>
      </c>
      <c r="F76">
        <v>87.03</v>
      </c>
      <c r="G76">
        <v>2.86</v>
      </c>
      <c r="H76" s="4">
        <f t="shared" si="1"/>
        <v>8703000</v>
      </c>
      <c r="I76" s="7">
        <f>Table1[[#This Row],[Change ]]/100</f>
        <v>2.86E-2</v>
      </c>
    </row>
    <row r="77" spans="1:9" x14ac:dyDescent="0.25">
      <c r="A77" s="1">
        <v>45772</v>
      </c>
      <c r="B77" s="6">
        <v>10.039999999999999</v>
      </c>
      <c r="C77" s="6">
        <v>10.050000000000001</v>
      </c>
      <c r="D77" s="6">
        <v>10.1</v>
      </c>
      <c r="E77" s="6">
        <v>9.9700000000000006</v>
      </c>
      <c r="F77">
        <v>88.68</v>
      </c>
      <c r="G77">
        <v>-0.2</v>
      </c>
      <c r="H77" s="4">
        <f t="shared" si="1"/>
        <v>8868000</v>
      </c>
      <c r="I77" s="7">
        <f>Table1[[#This Row],[Change ]]/100</f>
        <v>-2E-3</v>
      </c>
    </row>
    <row r="78" spans="1:9" x14ac:dyDescent="0.25">
      <c r="A78" s="1">
        <v>45775</v>
      </c>
      <c r="B78" s="6">
        <v>10.02</v>
      </c>
      <c r="C78" s="6">
        <v>10.06</v>
      </c>
      <c r="D78" s="6">
        <v>10.18</v>
      </c>
      <c r="E78" s="6">
        <v>9.9700000000000006</v>
      </c>
      <c r="F78">
        <v>77.05</v>
      </c>
      <c r="G78">
        <v>-0.2</v>
      </c>
      <c r="H78" s="4">
        <f t="shared" si="1"/>
        <v>7705000</v>
      </c>
      <c r="I78" s="7">
        <f>Table1[[#This Row],[Change ]]/100</f>
        <v>-2E-3</v>
      </c>
    </row>
    <row r="79" spans="1:9" x14ac:dyDescent="0.25">
      <c r="A79" s="1">
        <v>45776</v>
      </c>
      <c r="B79" s="6">
        <v>10.15</v>
      </c>
      <c r="C79" s="6">
        <v>10.07</v>
      </c>
      <c r="D79" s="6">
        <v>10.19</v>
      </c>
      <c r="E79" s="6">
        <v>9.93</v>
      </c>
      <c r="F79">
        <v>141.97999999999999</v>
      </c>
      <c r="G79">
        <v>1.3</v>
      </c>
      <c r="H79" s="4">
        <f t="shared" si="1"/>
        <v>14197999.999999998</v>
      </c>
      <c r="I79" s="7">
        <f>Table1[[#This Row],[Change ]]/100</f>
        <v>1.3000000000000001E-2</v>
      </c>
    </row>
    <row r="80" spans="1:9" x14ac:dyDescent="0.25">
      <c r="A80" s="1">
        <v>45777</v>
      </c>
      <c r="B80" s="6">
        <v>10.01</v>
      </c>
      <c r="C80" s="6">
        <v>10.11</v>
      </c>
      <c r="D80" s="6">
        <v>10.130000000000001</v>
      </c>
      <c r="E80" s="6">
        <v>9.86</v>
      </c>
      <c r="F80">
        <v>136.41</v>
      </c>
      <c r="G80">
        <v>-1.38</v>
      </c>
      <c r="H80" s="4">
        <f t="shared" si="1"/>
        <v>13641000</v>
      </c>
      <c r="I80" s="7">
        <f>Table1[[#This Row],[Change ]]/100</f>
        <v>-1.38E-2</v>
      </c>
    </row>
    <row r="81" spans="1:9" x14ac:dyDescent="0.25">
      <c r="A81" s="1">
        <v>45778</v>
      </c>
      <c r="B81" s="6">
        <v>10.18</v>
      </c>
      <c r="C81" s="6">
        <v>10.14</v>
      </c>
      <c r="D81" s="6">
        <v>10.32</v>
      </c>
      <c r="E81" s="6">
        <v>10.02</v>
      </c>
      <c r="F81">
        <v>126.53</v>
      </c>
      <c r="G81">
        <v>1.7</v>
      </c>
      <c r="H81" s="4">
        <f t="shared" si="1"/>
        <v>12653000</v>
      </c>
      <c r="I81" s="7">
        <f>Table1[[#This Row],[Change ]]/100</f>
        <v>1.7000000000000001E-2</v>
      </c>
    </row>
    <row r="82" spans="1:9" x14ac:dyDescent="0.25">
      <c r="A82" s="1">
        <v>45779</v>
      </c>
      <c r="B82" s="6">
        <v>10.28</v>
      </c>
      <c r="C82" s="6">
        <v>10.3</v>
      </c>
      <c r="D82" s="6">
        <v>10.39</v>
      </c>
      <c r="E82" s="6">
        <v>10.220000000000001</v>
      </c>
      <c r="F82">
        <v>82.23</v>
      </c>
      <c r="G82">
        <v>0.98</v>
      </c>
      <c r="H82" s="4">
        <f t="shared" si="1"/>
        <v>8223000</v>
      </c>
      <c r="I82" s="7">
        <f>Table1[[#This Row],[Change ]]/100</f>
        <v>9.7999999999999997E-3</v>
      </c>
    </row>
    <row r="83" spans="1:9" x14ac:dyDescent="0.25">
      <c r="A83" s="1">
        <v>45782</v>
      </c>
      <c r="B83" s="6">
        <v>10.17</v>
      </c>
      <c r="C83" s="6">
        <v>10.23</v>
      </c>
      <c r="D83" s="6">
        <v>10.24</v>
      </c>
      <c r="E83" s="6">
        <v>10.1</v>
      </c>
      <c r="F83">
        <v>105.77</v>
      </c>
      <c r="G83">
        <v>-1.07</v>
      </c>
      <c r="H83" s="4">
        <f t="shared" si="1"/>
        <v>10577000</v>
      </c>
      <c r="I83" s="7">
        <f>Table1[[#This Row],[Change ]]/100</f>
        <v>-1.0700000000000001E-2</v>
      </c>
    </row>
    <row r="84" spans="1:9" x14ac:dyDescent="0.25">
      <c r="A84" s="1">
        <v>45783</v>
      </c>
      <c r="B84" s="6">
        <v>10.44</v>
      </c>
      <c r="C84" s="6">
        <v>10.09</v>
      </c>
      <c r="D84" s="6">
        <v>10.62</v>
      </c>
      <c r="E84" s="6">
        <v>10.06</v>
      </c>
      <c r="F84">
        <v>131.81</v>
      </c>
      <c r="G84">
        <v>2.65</v>
      </c>
      <c r="H84" s="4">
        <f t="shared" si="1"/>
        <v>13181000</v>
      </c>
      <c r="I84" s="7">
        <f>Table1[[#This Row],[Change ]]/100</f>
        <v>2.6499999999999999E-2</v>
      </c>
    </row>
    <row r="85" spans="1:9" x14ac:dyDescent="0.25">
      <c r="A85" s="1">
        <v>45784</v>
      </c>
      <c r="B85" s="6">
        <v>10.28</v>
      </c>
      <c r="C85" s="6">
        <v>10.46</v>
      </c>
      <c r="D85" s="6">
        <v>10.51</v>
      </c>
      <c r="E85" s="6">
        <v>10.119999999999999</v>
      </c>
      <c r="F85">
        <v>116.94</v>
      </c>
      <c r="G85">
        <v>-1.53</v>
      </c>
      <c r="H85" s="4">
        <f t="shared" si="1"/>
        <v>11694000</v>
      </c>
      <c r="I85" s="7">
        <f>Table1[[#This Row],[Change ]]/100</f>
        <v>-1.5300000000000001E-2</v>
      </c>
    </row>
    <row r="86" spans="1:9" x14ac:dyDescent="0.25">
      <c r="A86" s="1">
        <v>45785</v>
      </c>
      <c r="B86" s="6">
        <v>10.28</v>
      </c>
      <c r="C86" s="6">
        <v>10.34</v>
      </c>
      <c r="D86" s="6">
        <v>10.46</v>
      </c>
      <c r="E86" s="6">
        <v>10.26</v>
      </c>
      <c r="F86">
        <v>107.17</v>
      </c>
      <c r="G86">
        <v>0</v>
      </c>
      <c r="H86" s="4">
        <f t="shared" si="1"/>
        <v>10717000</v>
      </c>
      <c r="I86" s="7">
        <f>Table1[[#This Row],[Change ]]/100</f>
        <v>0</v>
      </c>
    </row>
    <row r="87" spans="1:9" x14ac:dyDescent="0.25">
      <c r="A87" s="1">
        <v>45786</v>
      </c>
      <c r="B87" s="6">
        <v>10.43</v>
      </c>
      <c r="C87" s="6">
        <v>10.35</v>
      </c>
      <c r="D87" s="6">
        <v>10.49</v>
      </c>
      <c r="E87" s="6">
        <v>10.35</v>
      </c>
      <c r="F87">
        <v>76.349999999999994</v>
      </c>
      <c r="G87">
        <v>1.46</v>
      </c>
      <c r="H87" s="4">
        <f t="shared" si="1"/>
        <v>7634999.9999999991</v>
      </c>
      <c r="I87" s="7">
        <f>Table1[[#This Row],[Change ]]/100</f>
        <v>1.46E-2</v>
      </c>
    </row>
    <row r="88" spans="1:9" x14ac:dyDescent="0.25">
      <c r="A88" s="1">
        <v>45789</v>
      </c>
      <c r="B88" s="6">
        <v>10.55</v>
      </c>
      <c r="C88" s="6">
        <v>10.56</v>
      </c>
      <c r="D88" s="6">
        <v>10.73</v>
      </c>
      <c r="E88" s="6">
        <v>10.48</v>
      </c>
      <c r="F88">
        <v>102.04</v>
      </c>
      <c r="G88">
        <v>1.1499999999999999</v>
      </c>
      <c r="H88" s="4">
        <f t="shared" si="1"/>
        <v>10204000</v>
      </c>
      <c r="I88" s="7">
        <f>Table1[[#This Row],[Change ]]/100</f>
        <v>1.15E-2</v>
      </c>
    </row>
    <row r="89" spans="1:9" x14ac:dyDescent="0.25">
      <c r="A89" s="1">
        <v>45790</v>
      </c>
      <c r="B89" s="6">
        <v>10.6</v>
      </c>
      <c r="C89" s="6">
        <v>10.6</v>
      </c>
      <c r="D89" s="6">
        <v>10.63</v>
      </c>
      <c r="E89" s="6">
        <v>10.42</v>
      </c>
      <c r="F89">
        <v>83.67</v>
      </c>
      <c r="G89">
        <v>0.47</v>
      </c>
      <c r="H89" s="4">
        <f t="shared" si="1"/>
        <v>8367000</v>
      </c>
      <c r="I89" s="7">
        <f>Table1[[#This Row],[Change ]]/100</f>
        <v>4.6999999999999993E-3</v>
      </c>
    </row>
    <row r="90" spans="1:9" x14ac:dyDescent="0.25">
      <c r="A90" s="1">
        <v>45791</v>
      </c>
      <c r="B90" s="6">
        <v>10.65</v>
      </c>
      <c r="C90" s="6">
        <v>10.57</v>
      </c>
      <c r="D90" s="6">
        <v>10.7</v>
      </c>
      <c r="E90" s="6">
        <v>10.48</v>
      </c>
      <c r="F90">
        <v>84.45</v>
      </c>
      <c r="G90">
        <v>0.47</v>
      </c>
      <c r="H90" s="4">
        <f t="shared" si="1"/>
        <v>8445000</v>
      </c>
      <c r="I90" s="7">
        <f>Table1[[#This Row],[Change ]]/100</f>
        <v>4.6999999999999993E-3</v>
      </c>
    </row>
    <row r="91" spans="1:9" x14ac:dyDescent="0.25">
      <c r="A91" s="1">
        <v>45792</v>
      </c>
      <c r="B91" s="6">
        <v>10.75</v>
      </c>
      <c r="C91" s="6">
        <v>10.59</v>
      </c>
      <c r="D91" s="6">
        <v>10.78</v>
      </c>
      <c r="E91" s="6">
        <v>10.55</v>
      </c>
      <c r="F91">
        <v>71.099999999999994</v>
      </c>
      <c r="G91">
        <v>0.94</v>
      </c>
      <c r="H91" s="4">
        <f t="shared" si="1"/>
        <v>7109999.9999999991</v>
      </c>
      <c r="I91" s="7">
        <f>Table1[[#This Row],[Change ]]/100</f>
        <v>9.3999999999999986E-3</v>
      </c>
    </row>
    <row r="92" spans="1:9" x14ac:dyDescent="0.25">
      <c r="A92" s="1">
        <v>45793</v>
      </c>
      <c r="B92" s="6">
        <v>10.8</v>
      </c>
      <c r="C92" s="6">
        <v>10.77</v>
      </c>
      <c r="D92" s="6">
        <v>10.81</v>
      </c>
      <c r="E92" s="6">
        <v>10.64</v>
      </c>
      <c r="F92">
        <v>64.91</v>
      </c>
      <c r="G92">
        <v>0.47</v>
      </c>
      <c r="H92" s="4">
        <f t="shared" si="1"/>
        <v>6491000</v>
      </c>
      <c r="I92" s="7">
        <f>Table1[[#This Row],[Change ]]/100</f>
        <v>4.6999999999999993E-3</v>
      </c>
    </row>
    <row r="93" spans="1:9" x14ac:dyDescent="0.25">
      <c r="A93" s="1">
        <v>45796</v>
      </c>
      <c r="B93" s="6">
        <v>10.75</v>
      </c>
      <c r="C93" s="6">
        <v>10.69</v>
      </c>
      <c r="D93" s="6">
        <v>10.78</v>
      </c>
      <c r="E93" s="6">
        <v>10.63</v>
      </c>
      <c r="F93">
        <v>60.2</v>
      </c>
      <c r="G93">
        <v>-0.46</v>
      </c>
      <c r="H93" s="4">
        <f t="shared" si="1"/>
        <v>6020000</v>
      </c>
      <c r="I93" s="7">
        <f>Table1[[#This Row],[Change ]]/100</f>
        <v>-4.5999999999999999E-3</v>
      </c>
    </row>
    <row r="94" spans="1:9" x14ac:dyDescent="0.25">
      <c r="A94" s="1">
        <v>45797</v>
      </c>
      <c r="B94" s="6">
        <v>10.72</v>
      </c>
      <c r="C94" s="6">
        <v>10.79</v>
      </c>
      <c r="D94" s="6">
        <v>10.84</v>
      </c>
      <c r="E94" s="6">
        <v>10.66</v>
      </c>
      <c r="F94">
        <v>61.06</v>
      </c>
      <c r="G94">
        <v>-0.28000000000000003</v>
      </c>
      <c r="H94" s="4">
        <f t="shared" si="1"/>
        <v>6106000</v>
      </c>
      <c r="I94" s="7">
        <f>Table1[[#This Row],[Change ]]/100</f>
        <v>-2.8000000000000004E-3</v>
      </c>
    </row>
    <row r="95" spans="1:9" x14ac:dyDescent="0.25">
      <c r="A95" s="1">
        <v>45798</v>
      </c>
      <c r="B95" s="6">
        <v>10.48</v>
      </c>
      <c r="C95" s="6">
        <v>10.66</v>
      </c>
      <c r="D95" s="6">
        <v>10.69</v>
      </c>
      <c r="E95" s="6">
        <v>10.45</v>
      </c>
      <c r="F95">
        <v>89.09</v>
      </c>
      <c r="G95">
        <v>-2.2400000000000002</v>
      </c>
      <c r="H95" s="4">
        <f t="shared" si="1"/>
        <v>8909000</v>
      </c>
      <c r="I95" s="7">
        <f>Table1[[#This Row],[Change ]]/100</f>
        <v>-2.2400000000000003E-2</v>
      </c>
    </row>
    <row r="96" spans="1:9" x14ac:dyDescent="0.25">
      <c r="A96" s="1">
        <v>45799</v>
      </c>
      <c r="B96" s="6">
        <v>10.44</v>
      </c>
      <c r="C96" s="6">
        <v>10.48</v>
      </c>
      <c r="D96" s="6">
        <v>10.5</v>
      </c>
      <c r="E96" s="6">
        <v>10.34</v>
      </c>
      <c r="F96">
        <v>94.08</v>
      </c>
      <c r="G96">
        <v>-0.38</v>
      </c>
      <c r="H96" s="4">
        <f t="shared" si="1"/>
        <v>9408000</v>
      </c>
      <c r="I96" s="7">
        <f>Table1[[#This Row],[Change ]]/100</f>
        <v>-3.8E-3</v>
      </c>
    </row>
    <row r="97" spans="1:9" x14ac:dyDescent="0.25">
      <c r="A97" s="1">
        <v>45800</v>
      </c>
      <c r="B97" s="6">
        <v>10.36</v>
      </c>
      <c r="C97" s="6">
        <v>10.3</v>
      </c>
      <c r="D97" s="6">
        <v>10.41</v>
      </c>
      <c r="E97" s="6">
        <v>10.29</v>
      </c>
      <c r="F97">
        <v>80.52</v>
      </c>
      <c r="G97">
        <v>-0.77</v>
      </c>
      <c r="H97" s="4">
        <f t="shared" si="1"/>
        <v>8052000</v>
      </c>
      <c r="I97" s="7">
        <f>Table1[[#This Row],[Change ]]/100</f>
        <v>-7.7000000000000002E-3</v>
      </c>
    </row>
    <row r="98" spans="1:9" x14ac:dyDescent="0.25">
      <c r="A98" s="1">
        <v>45804</v>
      </c>
      <c r="B98" s="6">
        <v>10.31</v>
      </c>
      <c r="C98" s="6">
        <v>10.45</v>
      </c>
      <c r="D98" s="6">
        <v>10.49</v>
      </c>
      <c r="E98" s="6">
        <v>10.210000000000001</v>
      </c>
      <c r="F98">
        <v>89.07</v>
      </c>
      <c r="G98">
        <v>-0.48</v>
      </c>
      <c r="H98" s="4">
        <f t="shared" si="1"/>
        <v>8907000</v>
      </c>
      <c r="I98" s="7">
        <f>Table1[[#This Row],[Change ]]/100</f>
        <v>-4.7999999999999996E-3</v>
      </c>
    </row>
    <row r="99" spans="1:9" x14ac:dyDescent="0.25">
      <c r="A99" s="1">
        <v>45805</v>
      </c>
      <c r="B99" s="6">
        <v>10.17</v>
      </c>
      <c r="C99" s="6">
        <v>10.32</v>
      </c>
      <c r="D99" s="6">
        <v>10.34</v>
      </c>
      <c r="E99" s="6">
        <v>10.15</v>
      </c>
      <c r="F99">
        <v>102.34</v>
      </c>
      <c r="G99">
        <v>-1.36</v>
      </c>
      <c r="H99" s="4">
        <f t="shared" si="1"/>
        <v>10234000</v>
      </c>
      <c r="I99" s="7">
        <f>Table1[[#This Row],[Change ]]/100</f>
        <v>-1.3600000000000001E-2</v>
      </c>
    </row>
    <row r="100" spans="1:9" x14ac:dyDescent="0.25">
      <c r="A100" s="1">
        <v>45806</v>
      </c>
      <c r="B100" s="6">
        <v>10.220000000000001</v>
      </c>
      <c r="C100" s="6">
        <v>10.210000000000001</v>
      </c>
      <c r="D100" s="6">
        <v>10.28</v>
      </c>
      <c r="E100" s="6">
        <v>10.11</v>
      </c>
      <c r="F100">
        <v>101.69</v>
      </c>
      <c r="G100">
        <v>0.49</v>
      </c>
      <c r="H100" s="4">
        <f t="shared" si="1"/>
        <v>10169000</v>
      </c>
      <c r="I100" s="7">
        <f>Table1[[#This Row],[Change ]]/100</f>
        <v>4.8999999999999998E-3</v>
      </c>
    </row>
    <row r="101" spans="1:9" x14ac:dyDescent="0.25">
      <c r="A101" s="1">
        <v>45807</v>
      </c>
      <c r="B101" s="6">
        <v>10.38</v>
      </c>
      <c r="C101" s="6">
        <v>10.18</v>
      </c>
      <c r="D101" s="6">
        <v>10.46</v>
      </c>
      <c r="E101" s="6">
        <v>10.119999999999999</v>
      </c>
      <c r="F101">
        <v>152.19</v>
      </c>
      <c r="G101">
        <v>1.57</v>
      </c>
      <c r="H101" s="4">
        <f t="shared" si="1"/>
        <v>15219000</v>
      </c>
      <c r="I101" s="7">
        <f>Table1[[#This Row],[Change ]]/100</f>
        <v>1.5700000000000002E-2</v>
      </c>
    </row>
    <row r="102" spans="1:9" x14ac:dyDescent="0.25">
      <c r="A102" s="1">
        <v>45810</v>
      </c>
      <c r="B102" s="6">
        <v>9.98</v>
      </c>
      <c r="C102" s="6">
        <v>10.27</v>
      </c>
      <c r="D102" s="6">
        <v>10.28</v>
      </c>
      <c r="E102" s="6">
        <v>9.8800000000000008</v>
      </c>
      <c r="F102">
        <v>170.34</v>
      </c>
      <c r="G102">
        <v>-3.85</v>
      </c>
      <c r="H102" s="4">
        <f t="shared" si="1"/>
        <v>17034000</v>
      </c>
      <c r="I102" s="7">
        <f>Table1[[#This Row],[Change ]]/100</f>
        <v>-3.85E-2</v>
      </c>
    </row>
    <row r="103" spans="1:9" x14ac:dyDescent="0.25">
      <c r="A103" s="1">
        <v>45811</v>
      </c>
      <c r="B103" s="6">
        <v>10.19</v>
      </c>
      <c r="C103" s="6">
        <v>9.9700000000000006</v>
      </c>
      <c r="D103" s="6">
        <v>10.23</v>
      </c>
      <c r="E103" s="6">
        <v>9.89</v>
      </c>
      <c r="F103">
        <v>121.58</v>
      </c>
      <c r="G103">
        <v>2.1</v>
      </c>
      <c r="H103" s="4">
        <f t="shared" si="1"/>
        <v>12158000</v>
      </c>
      <c r="I103" s="7">
        <f>Table1[[#This Row],[Change ]]/100</f>
        <v>2.1000000000000001E-2</v>
      </c>
    </row>
    <row r="104" spans="1:9" x14ac:dyDescent="0.25">
      <c r="A104" s="1">
        <v>45812</v>
      </c>
      <c r="B104" s="6">
        <v>10.24</v>
      </c>
      <c r="C104" s="6">
        <v>10.19</v>
      </c>
      <c r="D104" s="6">
        <v>10.36</v>
      </c>
      <c r="E104" s="6">
        <v>10.18</v>
      </c>
      <c r="F104">
        <v>123.19</v>
      </c>
      <c r="G104">
        <v>0.49</v>
      </c>
      <c r="H104" s="4">
        <f t="shared" si="1"/>
        <v>12319000</v>
      </c>
      <c r="I104" s="7">
        <f>Table1[[#This Row],[Change ]]/100</f>
        <v>4.8999999999999998E-3</v>
      </c>
    </row>
    <row r="105" spans="1:9" x14ac:dyDescent="0.25">
      <c r="A105" s="1">
        <v>45813</v>
      </c>
      <c r="B105" s="6">
        <v>10.1</v>
      </c>
      <c r="C105" s="6">
        <v>10.199999999999999</v>
      </c>
      <c r="D105" s="6">
        <v>10.25</v>
      </c>
      <c r="E105" s="6">
        <v>10.029999999999999</v>
      </c>
      <c r="F105">
        <v>133.27000000000001</v>
      </c>
      <c r="G105">
        <v>-1.37</v>
      </c>
      <c r="H105" s="4">
        <f t="shared" si="1"/>
        <v>13327000.000000002</v>
      </c>
      <c r="I105" s="7">
        <f>Table1[[#This Row],[Change ]]/100</f>
        <v>-1.37E-2</v>
      </c>
    </row>
    <row r="106" spans="1:9" x14ac:dyDescent="0.25">
      <c r="A106" s="1">
        <v>45814</v>
      </c>
      <c r="B106" s="6">
        <v>10.26</v>
      </c>
      <c r="C106" s="6">
        <v>10.16</v>
      </c>
      <c r="D106" s="6">
        <v>10.35</v>
      </c>
      <c r="E106" s="6">
        <v>10.15</v>
      </c>
      <c r="F106">
        <v>105.92</v>
      </c>
      <c r="G106">
        <v>1.58</v>
      </c>
      <c r="H106" s="4">
        <f t="shared" si="1"/>
        <v>10592000</v>
      </c>
      <c r="I106" s="7">
        <f>Table1[[#This Row],[Change ]]/100</f>
        <v>1.5800000000000002E-2</v>
      </c>
    </row>
    <row r="107" spans="1:9" x14ac:dyDescent="0.25">
      <c r="A107" s="1">
        <v>45817</v>
      </c>
      <c r="B107" s="6">
        <v>10.34</v>
      </c>
      <c r="C107" s="6">
        <v>10.29</v>
      </c>
      <c r="D107" s="6">
        <v>10.45</v>
      </c>
      <c r="E107" s="6">
        <v>10.29</v>
      </c>
      <c r="F107">
        <v>63.64</v>
      </c>
      <c r="G107">
        <v>0.78</v>
      </c>
      <c r="H107" s="4">
        <f t="shared" si="1"/>
        <v>6364000</v>
      </c>
      <c r="I107" s="7">
        <f>Table1[[#This Row],[Change ]]/100</f>
        <v>7.8000000000000005E-3</v>
      </c>
    </row>
    <row r="108" spans="1:9" x14ac:dyDescent="0.25">
      <c r="A108" s="1">
        <v>45818</v>
      </c>
      <c r="B108" s="6">
        <v>10.6</v>
      </c>
      <c r="C108" s="6">
        <v>10.38</v>
      </c>
      <c r="D108" s="6">
        <v>10.65</v>
      </c>
      <c r="E108" s="6">
        <v>10.36</v>
      </c>
      <c r="F108">
        <v>87.96</v>
      </c>
      <c r="G108">
        <v>2.5099999999999998</v>
      </c>
      <c r="H108" s="4">
        <f t="shared" si="1"/>
        <v>8796000</v>
      </c>
      <c r="I108" s="7">
        <f>Table1[[#This Row],[Change ]]/100</f>
        <v>2.5099999999999997E-2</v>
      </c>
    </row>
    <row r="109" spans="1:9" x14ac:dyDescent="0.25">
      <c r="A109" s="1">
        <v>45819</v>
      </c>
      <c r="B109" s="6">
        <v>10.66</v>
      </c>
      <c r="C109" s="6">
        <v>10.64</v>
      </c>
      <c r="D109" s="6">
        <v>10.77</v>
      </c>
      <c r="E109" s="6">
        <v>10.61</v>
      </c>
      <c r="F109">
        <v>93.09</v>
      </c>
      <c r="G109">
        <v>0.56999999999999995</v>
      </c>
      <c r="H109" s="4">
        <f t="shared" si="1"/>
        <v>9309000</v>
      </c>
      <c r="I109" s="7">
        <f>Table1[[#This Row],[Change ]]/100</f>
        <v>5.6999999999999993E-3</v>
      </c>
    </row>
    <row r="110" spans="1:9" x14ac:dyDescent="0.25">
      <c r="A110" s="1">
        <v>45820</v>
      </c>
      <c r="B110" s="6">
        <v>10.53</v>
      </c>
      <c r="C110" s="6">
        <v>10.58</v>
      </c>
      <c r="D110" s="6">
        <v>10.59</v>
      </c>
      <c r="E110" s="6">
        <v>10.43</v>
      </c>
      <c r="F110">
        <v>76.39</v>
      </c>
      <c r="G110">
        <v>-1.22</v>
      </c>
      <c r="H110" s="4">
        <f t="shared" si="1"/>
        <v>7639000</v>
      </c>
      <c r="I110" s="7">
        <f>Table1[[#This Row],[Change ]]/100</f>
        <v>-1.2199999999999999E-2</v>
      </c>
    </row>
    <row r="111" spans="1:9" x14ac:dyDescent="0.25">
      <c r="A111" s="1">
        <v>45821</v>
      </c>
      <c r="B111" s="6">
        <v>10.43</v>
      </c>
      <c r="C111" s="6">
        <v>10.47</v>
      </c>
      <c r="D111" s="6">
        <v>10.51</v>
      </c>
      <c r="E111" s="6">
        <v>10.38</v>
      </c>
      <c r="F111">
        <v>90.11</v>
      </c>
      <c r="G111">
        <v>-0.95</v>
      </c>
      <c r="H111" s="4">
        <f t="shared" si="1"/>
        <v>9011000</v>
      </c>
      <c r="I111" s="7">
        <f>Table1[[#This Row],[Change ]]/100</f>
        <v>-9.4999999999999998E-3</v>
      </c>
    </row>
    <row r="112" spans="1:9" x14ac:dyDescent="0.25">
      <c r="A112" s="1">
        <v>45824</v>
      </c>
      <c r="B112" s="6">
        <v>10.62</v>
      </c>
      <c r="C112" s="6">
        <v>10.5</v>
      </c>
      <c r="D112" s="6">
        <v>10.67</v>
      </c>
      <c r="E112" s="6">
        <v>10.5</v>
      </c>
      <c r="F112">
        <v>75.2</v>
      </c>
      <c r="G112">
        <v>1.82</v>
      </c>
      <c r="H112" s="4">
        <f t="shared" si="1"/>
        <v>7520000</v>
      </c>
      <c r="I112" s="7">
        <f>Table1[[#This Row],[Change ]]/100</f>
        <v>1.8200000000000001E-2</v>
      </c>
    </row>
    <row r="113" spans="1:9" x14ac:dyDescent="0.25">
      <c r="A113" s="1">
        <v>45825</v>
      </c>
      <c r="B113" s="6">
        <v>10.42</v>
      </c>
      <c r="C113" s="6">
        <v>10.59</v>
      </c>
      <c r="D113" s="6">
        <v>10.63</v>
      </c>
      <c r="E113" s="6">
        <v>10.38</v>
      </c>
      <c r="F113">
        <v>100.97</v>
      </c>
      <c r="G113">
        <v>-1.88</v>
      </c>
      <c r="H113" s="4">
        <f t="shared" si="1"/>
        <v>10097000</v>
      </c>
      <c r="I113" s="7">
        <f>Table1[[#This Row],[Change ]]/100</f>
        <v>-1.8799999999999997E-2</v>
      </c>
    </row>
    <row r="114" spans="1:9" x14ac:dyDescent="0.25">
      <c r="A114" s="1">
        <v>45826</v>
      </c>
      <c r="B114" s="6">
        <v>10.43</v>
      </c>
      <c r="C114" s="6">
        <v>10.43</v>
      </c>
      <c r="D114" s="6">
        <v>10.53</v>
      </c>
      <c r="E114" s="6">
        <v>10.4</v>
      </c>
      <c r="F114">
        <v>82.77</v>
      </c>
      <c r="G114">
        <v>0.1</v>
      </c>
      <c r="H114" s="4">
        <f t="shared" si="1"/>
        <v>8277000</v>
      </c>
      <c r="I114" s="7">
        <f>Table1[[#This Row],[Change ]]/100</f>
        <v>1E-3</v>
      </c>
    </row>
    <row r="115" spans="1:9" x14ac:dyDescent="0.25">
      <c r="A115" s="1">
        <v>45828</v>
      </c>
      <c r="B115" s="6">
        <v>10.59</v>
      </c>
      <c r="C115" s="6">
        <v>10.49</v>
      </c>
      <c r="D115" s="6">
        <v>10.6</v>
      </c>
      <c r="E115" s="6">
        <v>10.46</v>
      </c>
      <c r="F115">
        <v>116.74</v>
      </c>
      <c r="G115">
        <v>1.53</v>
      </c>
      <c r="H115" s="4">
        <f t="shared" si="1"/>
        <v>11674000</v>
      </c>
      <c r="I115" s="7">
        <f>Table1[[#This Row],[Change ]]/100</f>
        <v>1.5300000000000001E-2</v>
      </c>
    </row>
    <row r="116" spans="1:9" x14ac:dyDescent="0.25">
      <c r="A116" s="1">
        <v>45831</v>
      </c>
      <c r="B116" s="6">
        <v>10.75</v>
      </c>
      <c r="C116" s="6">
        <v>10.55</v>
      </c>
      <c r="D116" s="6">
        <v>10.75</v>
      </c>
      <c r="E116" s="6">
        <v>10.53</v>
      </c>
      <c r="F116">
        <v>77.58</v>
      </c>
      <c r="G116">
        <v>1.51</v>
      </c>
      <c r="H116" s="4">
        <f t="shared" si="1"/>
        <v>7758000</v>
      </c>
      <c r="I116" s="7">
        <f>Table1[[#This Row],[Change ]]/100</f>
        <v>1.5100000000000001E-2</v>
      </c>
    </row>
    <row r="117" spans="1:9" x14ac:dyDescent="0.25">
      <c r="A117" s="1">
        <v>45832</v>
      </c>
      <c r="B117" s="6">
        <v>10.73</v>
      </c>
      <c r="C117" s="6">
        <v>10.79</v>
      </c>
      <c r="D117" s="6">
        <v>10.87</v>
      </c>
      <c r="E117" s="6">
        <v>10.72</v>
      </c>
      <c r="F117">
        <v>77.239999999999995</v>
      </c>
      <c r="G117">
        <v>-0.19</v>
      </c>
      <c r="H117" s="4">
        <f t="shared" si="1"/>
        <v>7723999.9999999991</v>
      </c>
      <c r="I117" s="7">
        <f>Table1[[#This Row],[Change ]]/100</f>
        <v>-1.9E-3</v>
      </c>
    </row>
    <row r="118" spans="1:9" x14ac:dyDescent="0.25">
      <c r="A118" s="1">
        <v>45833</v>
      </c>
      <c r="B118" s="6">
        <v>10.48</v>
      </c>
      <c r="C118" s="6">
        <v>10.76</v>
      </c>
      <c r="D118" s="6">
        <v>10.77</v>
      </c>
      <c r="E118" s="6">
        <v>10.42</v>
      </c>
      <c r="F118">
        <v>91.93</v>
      </c>
      <c r="G118">
        <v>-2.33</v>
      </c>
      <c r="H118" s="4">
        <f t="shared" si="1"/>
        <v>9193000</v>
      </c>
      <c r="I118" s="7">
        <f>Table1[[#This Row],[Change ]]/100</f>
        <v>-2.3300000000000001E-2</v>
      </c>
    </row>
    <row r="119" spans="1:9" x14ac:dyDescent="0.25">
      <c r="A119" s="1">
        <v>45834</v>
      </c>
      <c r="B119" s="6">
        <v>10.63</v>
      </c>
      <c r="C119" s="6">
        <v>10.5</v>
      </c>
      <c r="D119" s="6">
        <v>10.65</v>
      </c>
      <c r="E119" s="6">
        <v>10.47</v>
      </c>
      <c r="F119">
        <v>88.42</v>
      </c>
      <c r="G119">
        <v>1.43</v>
      </c>
      <c r="H119" s="4">
        <f t="shared" si="1"/>
        <v>8842000</v>
      </c>
      <c r="I119" s="7">
        <f>Table1[[#This Row],[Change ]]/100</f>
        <v>1.43E-2</v>
      </c>
    </row>
    <row r="120" spans="1:9" x14ac:dyDescent="0.25">
      <c r="A120" s="1">
        <v>45835</v>
      </c>
      <c r="B120" s="6">
        <v>10.8</v>
      </c>
      <c r="C120" s="6">
        <v>10.7</v>
      </c>
      <c r="D120" s="6">
        <v>10.92</v>
      </c>
      <c r="E120" s="6">
        <v>10.68</v>
      </c>
      <c r="F120">
        <v>182.01</v>
      </c>
      <c r="G120">
        <v>1.6</v>
      </c>
      <c r="H120" s="4">
        <f t="shared" si="1"/>
        <v>18201000</v>
      </c>
      <c r="I120" s="7">
        <f>Table1[[#This Row],[Change ]]/100</f>
        <v>1.6E-2</v>
      </c>
    </row>
    <row r="121" spans="1:9" x14ac:dyDescent="0.25">
      <c r="A121" s="1">
        <v>45838</v>
      </c>
      <c r="B121" s="6">
        <v>10.85</v>
      </c>
      <c r="C121" s="6">
        <v>10.72</v>
      </c>
      <c r="D121" s="6">
        <v>10.86</v>
      </c>
      <c r="E121" s="6">
        <v>10.69</v>
      </c>
      <c r="F121">
        <v>88.47</v>
      </c>
      <c r="G121">
        <v>0.46</v>
      </c>
      <c r="H121" s="4">
        <f t="shared" si="1"/>
        <v>8847000</v>
      </c>
      <c r="I121" s="7">
        <f>Table1[[#This Row],[Change ]]/100</f>
        <v>4.5999999999999999E-3</v>
      </c>
    </row>
    <row r="122" spans="1:9" x14ac:dyDescent="0.25">
      <c r="A122" s="1">
        <v>45839</v>
      </c>
      <c r="B122" s="6">
        <v>11.35</v>
      </c>
      <c r="C122" s="6">
        <v>10.81</v>
      </c>
      <c r="D122" s="6">
        <v>11.38</v>
      </c>
      <c r="E122" s="6">
        <v>10.79</v>
      </c>
      <c r="F122">
        <v>140.15</v>
      </c>
      <c r="G122">
        <v>4.6100000000000003</v>
      </c>
      <c r="H122" s="4">
        <f t="shared" si="1"/>
        <v>14015000</v>
      </c>
      <c r="I122" s="7">
        <f>Table1[[#This Row],[Change ]]/100</f>
        <v>4.6100000000000002E-2</v>
      </c>
    </row>
    <row r="123" spans="1:9" x14ac:dyDescent="0.25">
      <c r="A123" s="1">
        <v>45840</v>
      </c>
      <c r="B123" s="6">
        <v>11.77</v>
      </c>
      <c r="C123" s="6">
        <v>11.38</v>
      </c>
      <c r="D123" s="6">
        <v>11.78</v>
      </c>
      <c r="E123" s="6">
        <v>11.37</v>
      </c>
      <c r="F123">
        <v>122.33</v>
      </c>
      <c r="G123">
        <v>3.7</v>
      </c>
      <c r="H123" s="4">
        <f t="shared" si="1"/>
        <v>12233000</v>
      </c>
      <c r="I123" s="7">
        <f>Table1[[#This Row],[Change ]]/100</f>
        <v>3.7000000000000005E-2</v>
      </c>
    </row>
    <row r="124" spans="1:9" x14ac:dyDescent="0.25">
      <c r="A124" s="1">
        <v>45841</v>
      </c>
      <c r="B124" s="6">
        <v>11.81</v>
      </c>
      <c r="C124" s="6">
        <v>11.75</v>
      </c>
      <c r="D124" s="6">
        <v>11.96</v>
      </c>
      <c r="E124" s="6">
        <v>11.75</v>
      </c>
      <c r="F124">
        <v>60.31</v>
      </c>
      <c r="G124">
        <v>0.34</v>
      </c>
      <c r="H124" s="4">
        <f t="shared" si="1"/>
        <v>6031000</v>
      </c>
      <c r="I124" s="7">
        <f>Table1[[#This Row],[Change ]]/100</f>
        <v>3.4000000000000002E-3</v>
      </c>
    </row>
    <row r="125" spans="1:9" x14ac:dyDescent="0.25">
      <c r="A125" s="1">
        <v>45845</v>
      </c>
      <c r="B125" s="6">
        <v>11.59</v>
      </c>
      <c r="C125" s="6">
        <v>11.6</v>
      </c>
      <c r="D125" s="6">
        <v>11.79</v>
      </c>
      <c r="E125" s="6">
        <v>11.48</v>
      </c>
      <c r="F125">
        <v>73.84</v>
      </c>
      <c r="G125">
        <v>-1.86</v>
      </c>
      <c r="H125" s="4">
        <f t="shared" si="1"/>
        <v>7384000</v>
      </c>
      <c r="I125" s="7">
        <f>Table1[[#This Row],[Change ]]/100</f>
        <v>-1.8600000000000002E-2</v>
      </c>
    </row>
    <row r="126" spans="1:9" x14ac:dyDescent="0.25">
      <c r="A126" s="1">
        <v>45846</v>
      </c>
      <c r="B126" s="6">
        <v>11.68</v>
      </c>
      <c r="C126" s="6">
        <v>11.65</v>
      </c>
      <c r="D126" s="6">
        <v>11.85</v>
      </c>
      <c r="E126" s="6">
        <v>11.64</v>
      </c>
      <c r="F126">
        <v>74.19</v>
      </c>
      <c r="G126">
        <v>0.78</v>
      </c>
      <c r="H126" s="4">
        <f t="shared" si="1"/>
        <v>7419000</v>
      </c>
      <c r="I126" s="7">
        <f>Table1[[#This Row],[Change ]]/100</f>
        <v>7.8000000000000005E-3</v>
      </c>
    </row>
    <row r="127" spans="1:9" x14ac:dyDescent="0.25">
      <c r="A127" s="1">
        <v>45847</v>
      </c>
      <c r="B127" s="6">
        <v>11.83</v>
      </c>
      <c r="C127" s="6">
        <v>11.78</v>
      </c>
      <c r="D127" s="6">
        <v>11.9</v>
      </c>
      <c r="E127" s="6">
        <v>11.76</v>
      </c>
      <c r="F127">
        <v>63.89</v>
      </c>
      <c r="G127">
        <v>1.28</v>
      </c>
      <c r="H127" s="4">
        <f t="shared" si="1"/>
        <v>6389000</v>
      </c>
      <c r="I127" s="7">
        <f>Table1[[#This Row],[Change ]]/100</f>
        <v>1.2800000000000001E-2</v>
      </c>
    </row>
    <row r="128" spans="1:9" x14ac:dyDescent="0.25">
      <c r="A128" s="1">
        <v>45848</v>
      </c>
      <c r="B128" s="6">
        <v>11.91</v>
      </c>
      <c r="C128" s="6">
        <v>11.86</v>
      </c>
      <c r="D128" s="6">
        <v>11.97</v>
      </c>
      <c r="E128" s="6">
        <v>11.78</v>
      </c>
      <c r="F128">
        <v>67.260000000000005</v>
      </c>
      <c r="G128">
        <v>0.68</v>
      </c>
      <c r="H128" s="4">
        <f t="shared" si="1"/>
        <v>6726000.0000000009</v>
      </c>
      <c r="I128" s="7">
        <f>Table1[[#This Row],[Change ]]/100</f>
        <v>6.8000000000000005E-3</v>
      </c>
    </row>
    <row r="129" spans="1:9" x14ac:dyDescent="0.25">
      <c r="A129" s="1">
        <v>45849</v>
      </c>
      <c r="B129" s="6">
        <v>11.78</v>
      </c>
      <c r="C129" s="6">
        <v>11.85</v>
      </c>
      <c r="D129" s="6">
        <v>11.86</v>
      </c>
      <c r="E129" s="6">
        <v>11.71</v>
      </c>
      <c r="F129">
        <v>65.34</v>
      </c>
      <c r="G129">
        <v>-1.0900000000000001</v>
      </c>
      <c r="H129" s="4">
        <f t="shared" si="1"/>
        <v>6534000</v>
      </c>
      <c r="I129" s="7">
        <f>Table1[[#This Row],[Change ]]/100</f>
        <v>-1.09E-2</v>
      </c>
    </row>
    <row r="130" spans="1:9" x14ac:dyDescent="0.25">
      <c r="A130" s="1">
        <v>45852</v>
      </c>
      <c r="B130" s="6">
        <v>11.88</v>
      </c>
      <c r="C130" s="6">
        <v>11.76</v>
      </c>
      <c r="D130" s="6">
        <v>11.9</v>
      </c>
      <c r="E130" s="6">
        <v>11.67</v>
      </c>
      <c r="F130">
        <v>62.1</v>
      </c>
      <c r="G130">
        <v>0.85</v>
      </c>
      <c r="H130" s="4">
        <f t="shared" si="1"/>
        <v>6210000</v>
      </c>
      <c r="I130" s="7">
        <f>Table1[[#This Row],[Change ]]/100</f>
        <v>8.5000000000000006E-3</v>
      </c>
    </row>
    <row r="131" spans="1:9" x14ac:dyDescent="0.25">
      <c r="A131" s="1">
        <v>45853</v>
      </c>
      <c r="B131" s="6">
        <v>11.57</v>
      </c>
      <c r="C131" s="6">
        <v>11.9</v>
      </c>
      <c r="D131" s="6">
        <v>11.93</v>
      </c>
      <c r="E131" s="6">
        <v>11.52</v>
      </c>
      <c r="F131">
        <v>65.099999999999994</v>
      </c>
      <c r="G131">
        <v>-2.61</v>
      </c>
      <c r="H131" s="4">
        <f t="shared" ref="H131:H194" si="2">F131*100000</f>
        <v>6509999.9999999991</v>
      </c>
      <c r="I131" s="7">
        <f>Table1[[#This Row],[Change ]]/100</f>
        <v>-2.6099999999999998E-2</v>
      </c>
    </row>
    <row r="132" spans="1:9" x14ac:dyDescent="0.25">
      <c r="A132" s="1">
        <v>45854</v>
      </c>
      <c r="B132" s="6">
        <v>11.24</v>
      </c>
      <c r="C132" s="6">
        <v>11.35</v>
      </c>
      <c r="D132" s="6">
        <v>11.45</v>
      </c>
      <c r="E132" s="6">
        <v>11.15</v>
      </c>
      <c r="F132">
        <v>107.98</v>
      </c>
      <c r="G132">
        <v>-2.85</v>
      </c>
      <c r="H132" s="4">
        <f t="shared" si="2"/>
        <v>10798000</v>
      </c>
      <c r="I132" s="7">
        <f>Table1[[#This Row],[Change ]]/100</f>
        <v>-2.8500000000000001E-2</v>
      </c>
    </row>
    <row r="133" spans="1:9" x14ac:dyDescent="0.25">
      <c r="A133" s="1">
        <v>45855</v>
      </c>
      <c r="B133" s="6">
        <v>11.15</v>
      </c>
      <c r="C133" s="6">
        <v>11.19</v>
      </c>
      <c r="D133" s="6">
        <v>11.35</v>
      </c>
      <c r="E133" s="6">
        <v>11.11</v>
      </c>
      <c r="F133">
        <v>70.349999999999994</v>
      </c>
      <c r="G133">
        <v>-0.8</v>
      </c>
      <c r="H133" s="4">
        <f t="shared" si="2"/>
        <v>7034999.9999999991</v>
      </c>
      <c r="I133" s="7">
        <f>Table1[[#This Row],[Change ]]/100</f>
        <v>-8.0000000000000002E-3</v>
      </c>
    </row>
    <row r="134" spans="1:9" x14ac:dyDescent="0.25">
      <c r="A134" s="1">
        <v>45856</v>
      </c>
      <c r="B134" s="6">
        <v>11.16</v>
      </c>
      <c r="C134" s="6">
        <v>11.17</v>
      </c>
      <c r="D134" s="6">
        <v>11.24</v>
      </c>
      <c r="E134" s="6">
        <v>11.05</v>
      </c>
      <c r="F134">
        <v>68.81</v>
      </c>
      <c r="G134">
        <v>0.09</v>
      </c>
      <c r="H134" s="4">
        <f t="shared" si="2"/>
        <v>6881000</v>
      </c>
      <c r="I134" s="7">
        <f>Table1[[#This Row],[Change ]]/100</f>
        <v>8.9999999999999998E-4</v>
      </c>
    </row>
    <row r="135" spans="1:9" x14ac:dyDescent="0.25">
      <c r="A135" s="1">
        <v>45859</v>
      </c>
      <c r="B135" s="6">
        <v>11.31</v>
      </c>
      <c r="C135" s="6">
        <v>11.26</v>
      </c>
      <c r="D135" s="6">
        <v>11.45</v>
      </c>
      <c r="E135" s="6">
        <v>11.21</v>
      </c>
      <c r="F135">
        <v>65.52</v>
      </c>
      <c r="G135">
        <v>1.34</v>
      </c>
      <c r="H135" s="4">
        <f t="shared" si="2"/>
        <v>6552000</v>
      </c>
      <c r="I135" s="7">
        <f>Table1[[#This Row],[Change ]]/100</f>
        <v>1.34E-2</v>
      </c>
    </row>
    <row r="136" spans="1:9" x14ac:dyDescent="0.25">
      <c r="A136" s="1">
        <v>45860</v>
      </c>
      <c r="B136" s="6">
        <v>11.19</v>
      </c>
      <c r="C136" s="6">
        <v>11.24</v>
      </c>
      <c r="D136" s="6">
        <v>11.29</v>
      </c>
      <c r="E136" s="6">
        <v>11.08</v>
      </c>
      <c r="F136">
        <v>79.400000000000006</v>
      </c>
      <c r="G136">
        <v>-1.06</v>
      </c>
      <c r="H136" s="4">
        <f t="shared" si="2"/>
        <v>7940000.0000000009</v>
      </c>
      <c r="I136" s="7">
        <f>Table1[[#This Row],[Change ]]/100</f>
        <v>-1.06E-2</v>
      </c>
    </row>
    <row r="137" spans="1:9" x14ac:dyDescent="0.25">
      <c r="A137" s="1">
        <v>45861</v>
      </c>
      <c r="B137" s="6">
        <v>11.38</v>
      </c>
      <c r="C137" s="6">
        <v>11.28</v>
      </c>
      <c r="D137" s="6">
        <v>11.46</v>
      </c>
      <c r="E137" s="6">
        <v>11.28</v>
      </c>
      <c r="F137">
        <v>76.16</v>
      </c>
      <c r="G137">
        <v>1.7</v>
      </c>
      <c r="H137" s="4">
        <f t="shared" si="2"/>
        <v>7616000</v>
      </c>
      <c r="I137" s="7">
        <f>Table1[[#This Row],[Change ]]/100</f>
        <v>1.7000000000000001E-2</v>
      </c>
    </row>
    <row r="138" spans="1:9" x14ac:dyDescent="0.25">
      <c r="A138" s="1">
        <v>45862</v>
      </c>
      <c r="B138" s="6">
        <v>11.26</v>
      </c>
      <c r="C138" s="6">
        <v>11.31</v>
      </c>
      <c r="D138" s="6">
        <v>11.43</v>
      </c>
      <c r="E138" s="6">
        <v>11.23</v>
      </c>
      <c r="F138">
        <v>63.56</v>
      </c>
      <c r="G138">
        <v>-1.05</v>
      </c>
      <c r="H138" s="4">
        <f t="shared" si="2"/>
        <v>6356000</v>
      </c>
      <c r="I138" s="7">
        <f>Table1[[#This Row],[Change ]]/100</f>
        <v>-1.0500000000000001E-2</v>
      </c>
    </row>
    <row r="139" spans="1:9" x14ac:dyDescent="0.25">
      <c r="A139" s="1">
        <v>45863</v>
      </c>
      <c r="B139" s="6">
        <v>11.47</v>
      </c>
      <c r="C139" s="6">
        <v>11.34</v>
      </c>
      <c r="D139" s="6">
        <v>11.49</v>
      </c>
      <c r="E139" s="6">
        <v>11.24</v>
      </c>
      <c r="F139">
        <v>52.31</v>
      </c>
      <c r="G139">
        <v>1.87</v>
      </c>
      <c r="H139" s="4">
        <f t="shared" si="2"/>
        <v>5231000</v>
      </c>
      <c r="I139" s="7">
        <f>Table1[[#This Row],[Change ]]/100</f>
        <v>1.8700000000000001E-2</v>
      </c>
    </row>
    <row r="140" spans="1:9" x14ac:dyDescent="0.25">
      <c r="A140" s="1">
        <v>45866</v>
      </c>
      <c r="B140" s="6">
        <v>11.28</v>
      </c>
      <c r="C140" s="6">
        <v>11.48</v>
      </c>
      <c r="D140" s="6">
        <v>11.49</v>
      </c>
      <c r="E140" s="6">
        <v>11.25</v>
      </c>
      <c r="F140">
        <v>54.17</v>
      </c>
      <c r="G140">
        <v>-1.66</v>
      </c>
      <c r="H140" s="4">
        <f t="shared" si="2"/>
        <v>5417000</v>
      </c>
      <c r="I140" s="7">
        <f>Table1[[#This Row],[Change ]]/100</f>
        <v>-1.66E-2</v>
      </c>
    </row>
    <row r="141" spans="1:9" x14ac:dyDescent="0.25">
      <c r="A141" s="1">
        <v>45867</v>
      </c>
      <c r="B141" s="6">
        <v>11.08</v>
      </c>
      <c r="C141" s="6">
        <v>11.29</v>
      </c>
      <c r="D141" s="6">
        <v>11.29</v>
      </c>
      <c r="E141" s="6">
        <v>11.06</v>
      </c>
      <c r="F141">
        <v>58.37</v>
      </c>
      <c r="G141">
        <v>-1.77</v>
      </c>
      <c r="H141" s="4">
        <f t="shared" si="2"/>
        <v>5837000</v>
      </c>
      <c r="I141" s="7">
        <f>Table1[[#This Row],[Change ]]/100</f>
        <v>-1.77E-2</v>
      </c>
    </row>
    <row r="142" spans="1:9" x14ac:dyDescent="0.25">
      <c r="A142" s="1">
        <v>45868</v>
      </c>
      <c r="B142" s="6">
        <v>10.87</v>
      </c>
      <c r="C142" s="6">
        <v>11.13</v>
      </c>
      <c r="D142" s="6">
        <v>11.13</v>
      </c>
      <c r="E142" s="6">
        <v>10.82</v>
      </c>
      <c r="F142">
        <v>79.87</v>
      </c>
      <c r="G142">
        <v>-1.9</v>
      </c>
      <c r="H142" s="4">
        <f t="shared" si="2"/>
        <v>7987000</v>
      </c>
      <c r="I142" s="7">
        <f>Table1[[#This Row],[Change ]]/100</f>
        <v>-1.9E-2</v>
      </c>
    </row>
    <row r="143" spans="1:9" x14ac:dyDescent="0.25">
      <c r="A143" s="1">
        <v>45869</v>
      </c>
      <c r="B143" s="6">
        <v>11.07</v>
      </c>
      <c r="C143" s="6">
        <v>10.77</v>
      </c>
      <c r="D143" s="6">
        <v>11.15</v>
      </c>
      <c r="E143" s="6">
        <v>10.68</v>
      </c>
      <c r="F143">
        <v>101.09</v>
      </c>
      <c r="G143">
        <v>1.84</v>
      </c>
      <c r="H143" s="4">
        <f t="shared" si="2"/>
        <v>10109000</v>
      </c>
      <c r="I143" s="7">
        <f>Table1[[#This Row],[Change ]]/100</f>
        <v>1.84E-2</v>
      </c>
    </row>
    <row r="144" spans="1:9" x14ac:dyDescent="0.25">
      <c r="A144" s="1">
        <v>45870</v>
      </c>
      <c r="B144" s="6">
        <v>10.82</v>
      </c>
      <c r="C144" s="6">
        <v>10.92</v>
      </c>
      <c r="D144" s="6">
        <v>10.92</v>
      </c>
      <c r="E144" s="6">
        <v>10.68</v>
      </c>
      <c r="F144">
        <v>73.540000000000006</v>
      </c>
      <c r="G144">
        <v>-2.2599999999999998</v>
      </c>
      <c r="H144" s="4">
        <f t="shared" si="2"/>
        <v>7354000.0000000009</v>
      </c>
      <c r="I144" s="7">
        <f>Table1[[#This Row],[Change ]]/100</f>
        <v>-2.2599999999999999E-2</v>
      </c>
    </row>
    <row r="145" spans="1:9" x14ac:dyDescent="0.25">
      <c r="A145" s="1">
        <v>45873</v>
      </c>
      <c r="B145" s="6">
        <v>10.95</v>
      </c>
      <c r="C145" s="6">
        <v>10.89</v>
      </c>
      <c r="D145" s="6">
        <v>11.02</v>
      </c>
      <c r="E145" s="6">
        <v>10.86</v>
      </c>
      <c r="F145">
        <v>56.7</v>
      </c>
      <c r="G145">
        <v>1.2</v>
      </c>
      <c r="H145" s="4">
        <f t="shared" si="2"/>
        <v>5670000</v>
      </c>
      <c r="I145" s="7">
        <f>Table1[[#This Row],[Change ]]/100</f>
        <v>1.2E-2</v>
      </c>
    </row>
    <row r="146" spans="1:9" x14ac:dyDescent="0.25">
      <c r="A146" s="1">
        <v>45874</v>
      </c>
      <c r="B146" s="6">
        <v>11.06</v>
      </c>
      <c r="C146" s="6">
        <v>10.98</v>
      </c>
      <c r="D146" s="6">
        <v>11.1</v>
      </c>
      <c r="E146" s="6">
        <v>10.9</v>
      </c>
      <c r="F146">
        <v>58.86</v>
      </c>
      <c r="G146">
        <v>1</v>
      </c>
      <c r="H146" s="4">
        <f t="shared" si="2"/>
        <v>5886000</v>
      </c>
      <c r="I146" s="7">
        <f>Table1[[#This Row],[Change ]]/100</f>
        <v>0.01</v>
      </c>
    </row>
    <row r="147" spans="1:9" x14ac:dyDescent="0.25">
      <c r="A147" s="1">
        <v>45875</v>
      </c>
      <c r="B147" s="6">
        <v>11.21</v>
      </c>
      <c r="C147" s="6">
        <v>11.11</v>
      </c>
      <c r="D147" s="6">
        <v>11.26</v>
      </c>
      <c r="E147" s="6">
        <v>11.08</v>
      </c>
      <c r="F147">
        <v>59.52</v>
      </c>
      <c r="G147">
        <v>1.36</v>
      </c>
      <c r="H147" s="4">
        <f t="shared" si="2"/>
        <v>5952000</v>
      </c>
      <c r="I147" s="7">
        <f>Table1[[#This Row],[Change ]]/100</f>
        <v>1.3600000000000001E-2</v>
      </c>
    </row>
    <row r="148" spans="1:9" x14ac:dyDescent="0.25">
      <c r="A148" s="1">
        <v>45876</v>
      </c>
      <c r="B148" s="6">
        <v>11.28</v>
      </c>
      <c r="C148" s="6">
        <v>11.3</v>
      </c>
      <c r="D148" s="6">
        <v>11.39</v>
      </c>
      <c r="E148" s="6">
        <v>11.1</v>
      </c>
      <c r="F148">
        <v>71.77</v>
      </c>
      <c r="G148">
        <v>0.62</v>
      </c>
      <c r="H148" s="4">
        <f t="shared" si="2"/>
        <v>7177000</v>
      </c>
      <c r="I148" s="7">
        <f>Table1[[#This Row],[Change ]]/100</f>
        <v>6.1999999999999998E-3</v>
      </c>
    </row>
    <row r="149" spans="1:9" x14ac:dyDescent="0.25">
      <c r="A149" s="1">
        <v>45877</v>
      </c>
      <c r="B149" s="6">
        <v>11.32</v>
      </c>
      <c r="C149" s="6">
        <v>11.31</v>
      </c>
      <c r="D149" s="6">
        <v>11.37</v>
      </c>
      <c r="E149" s="6">
        <v>11.21</v>
      </c>
      <c r="F149">
        <v>48.47</v>
      </c>
      <c r="G149">
        <v>0.35</v>
      </c>
      <c r="H149" s="4">
        <f t="shared" si="2"/>
        <v>4847000</v>
      </c>
      <c r="I149" s="7">
        <f>Table1[[#This Row],[Change ]]/100</f>
        <v>3.4999999999999996E-3</v>
      </c>
    </row>
    <row r="150" spans="1:9" x14ac:dyDescent="0.25">
      <c r="A150" s="1">
        <v>45880</v>
      </c>
      <c r="B150" s="6">
        <v>11.14</v>
      </c>
      <c r="C150" s="6">
        <v>11.3</v>
      </c>
      <c r="D150" s="6">
        <v>11.57</v>
      </c>
      <c r="E150" s="6">
        <v>11.06</v>
      </c>
      <c r="F150">
        <v>84.33</v>
      </c>
      <c r="G150">
        <v>-1.59</v>
      </c>
      <c r="H150" s="4">
        <f t="shared" si="2"/>
        <v>8433000</v>
      </c>
      <c r="I150" s="7">
        <f>Table1[[#This Row],[Change ]]/100</f>
        <v>-1.5900000000000001E-2</v>
      </c>
    </row>
    <row r="151" spans="1:9" x14ac:dyDescent="0.25">
      <c r="A151" s="1">
        <v>45881</v>
      </c>
      <c r="B151" s="6">
        <v>11.25</v>
      </c>
      <c r="C151" s="6">
        <v>11.2</v>
      </c>
      <c r="D151" s="6">
        <v>11.32</v>
      </c>
      <c r="E151" s="6">
        <v>11.13</v>
      </c>
      <c r="F151">
        <v>64.02</v>
      </c>
      <c r="G151">
        <v>0.99</v>
      </c>
      <c r="H151" s="4">
        <f t="shared" si="2"/>
        <v>6402000</v>
      </c>
      <c r="I151" s="7">
        <f>Table1[[#This Row],[Change ]]/100</f>
        <v>9.8999999999999991E-3</v>
      </c>
    </row>
    <row r="152" spans="1:9" x14ac:dyDescent="0.25">
      <c r="A152" s="1">
        <v>45882</v>
      </c>
      <c r="B152" s="6">
        <v>11.44</v>
      </c>
      <c r="C152" s="6">
        <v>11.27</v>
      </c>
      <c r="D152" s="6">
        <v>11.49</v>
      </c>
      <c r="E152" s="6">
        <v>11.19</v>
      </c>
      <c r="F152">
        <v>63.82</v>
      </c>
      <c r="G152">
        <v>1.69</v>
      </c>
      <c r="H152" s="4">
        <f t="shared" si="2"/>
        <v>6382000</v>
      </c>
      <c r="I152" s="7">
        <f>Table1[[#This Row],[Change ]]/100</f>
        <v>1.6899999999999998E-2</v>
      </c>
    </row>
    <row r="153" spans="1:9" x14ac:dyDescent="0.25">
      <c r="A153" s="1">
        <v>45883</v>
      </c>
      <c r="B153" s="6">
        <v>11.44</v>
      </c>
      <c r="C153" s="6">
        <v>11.3</v>
      </c>
      <c r="D153" s="6">
        <v>11.45</v>
      </c>
      <c r="E153" s="6">
        <v>11.22</v>
      </c>
      <c r="F153">
        <v>52.47</v>
      </c>
      <c r="G153">
        <v>0</v>
      </c>
      <c r="H153" s="4">
        <f t="shared" si="2"/>
        <v>5247000</v>
      </c>
      <c r="I153" s="7">
        <f>Table1[[#This Row],[Change ]]/100</f>
        <v>0</v>
      </c>
    </row>
    <row r="154" spans="1:9" x14ac:dyDescent="0.25">
      <c r="A154" s="1">
        <v>45884</v>
      </c>
      <c r="B154" s="6">
        <v>11.44</v>
      </c>
      <c r="C154" s="6">
        <v>11.43</v>
      </c>
      <c r="D154" s="6">
        <v>11.52</v>
      </c>
      <c r="E154" s="6">
        <v>11.41</v>
      </c>
      <c r="F154">
        <v>46.14</v>
      </c>
      <c r="G154">
        <v>0</v>
      </c>
      <c r="H154" s="4">
        <f t="shared" si="2"/>
        <v>4614000</v>
      </c>
      <c r="I154" s="7">
        <f>Table1[[#This Row],[Change ]]/100</f>
        <v>0</v>
      </c>
    </row>
    <row r="155" spans="1:9" x14ac:dyDescent="0.25">
      <c r="A155" s="1">
        <v>45887</v>
      </c>
      <c r="B155" s="6">
        <v>11.46</v>
      </c>
      <c r="C155" s="6">
        <v>11.4</v>
      </c>
      <c r="D155" s="6">
        <v>11.48</v>
      </c>
      <c r="E155" s="6">
        <v>11.37</v>
      </c>
      <c r="F155">
        <v>37.11</v>
      </c>
      <c r="G155">
        <v>0.17</v>
      </c>
      <c r="H155" s="4">
        <f t="shared" si="2"/>
        <v>3711000</v>
      </c>
      <c r="I155" s="7">
        <f>Table1[[#This Row],[Change ]]/100</f>
        <v>1.7000000000000001E-3</v>
      </c>
    </row>
    <row r="156" spans="1:9" x14ac:dyDescent="0.25">
      <c r="A156" s="1">
        <v>45888</v>
      </c>
      <c r="B156" s="6">
        <v>11.58</v>
      </c>
      <c r="C156" s="6">
        <v>11.52</v>
      </c>
      <c r="D156" s="6">
        <v>11.73</v>
      </c>
      <c r="E156" s="6">
        <v>11.49</v>
      </c>
      <c r="F156">
        <v>58.02</v>
      </c>
      <c r="G156">
        <v>1.05</v>
      </c>
      <c r="H156" s="4">
        <f t="shared" si="2"/>
        <v>5802000</v>
      </c>
      <c r="I156" s="7">
        <f>Table1[[#This Row],[Change ]]/100</f>
        <v>1.0500000000000001E-2</v>
      </c>
    </row>
    <row r="157" spans="1:9" x14ac:dyDescent="0.25">
      <c r="A157" s="1">
        <v>45889</v>
      </c>
      <c r="B157" s="6">
        <v>11.49</v>
      </c>
      <c r="C157" s="6">
        <v>11.52</v>
      </c>
      <c r="D157" s="6">
        <v>11.6</v>
      </c>
      <c r="E157" s="6">
        <v>11.47</v>
      </c>
      <c r="F157">
        <v>46.47</v>
      </c>
      <c r="G157">
        <v>-0.78</v>
      </c>
      <c r="H157" s="4">
        <f t="shared" si="2"/>
        <v>4647000</v>
      </c>
      <c r="I157" s="7">
        <f>Table1[[#This Row],[Change ]]/100</f>
        <v>-7.8000000000000005E-3</v>
      </c>
    </row>
    <row r="158" spans="1:9" x14ac:dyDescent="0.25">
      <c r="A158" s="1">
        <v>45890</v>
      </c>
      <c r="B158" s="6">
        <v>11.33</v>
      </c>
      <c r="C158" s="6">
        <v>11.42</v>
      </c>
      <c r="D158" s="6">
        <v>11.43</v>
      </c>
      <c r="E158" s="6">
        <v>11.19</v>
      </c>
      <c r="F158">
        <v>51.78</v>
      </c>
      <c r="G158">
        <v>-1.39</v>
      </c>
      <c r="H158" s="4">
        <f t="shared" si="2"/>
        <v>5178000</v>
      </c>
      <c r="I158" s="7">
        <f>Table1[[#This Row],[Change ]]/100</f>
        <v>-1.3899999999999999E-2</v>
      </c>
    </row>
    <row r="159" spans="1:9" x14ac:dyDescent="0.25">
      <c r="A159" s="1">
        <v>45891</v>
      </c>
      <c r="B159" s="6">
        <v>11.74</v>
      </c>
      <c r="C159" s="6">
        <v>11.39</v>
      </c>
      <c r="D159" s="6">
        <v>11.77</v>
      </c>
      <c r="E159" s="6">
        <v>11.39</v>
      </c>
      <c r="F159">
        <v>58.54</v>
      </c>
      <c r="G159">
        <v>3.62</v>
      </c>
      <c r="H159" s="4">
        <f t="shared" si="2"/>
        <v>5854000</v>
      </c>
      <c r="I159" s="7">
        <f>Table1[[#This Row],[Change ]]/100</f>
        <v>3.6200000000000003E-2</v>
      </c>
    </row>
    <row r="160" spans="1:9" x14ac:dyDescent="0.25">
      <c r="A160" s="1">
        <v>45894</v>
      </c>
      <c r="B160" s="6">
        <v>11.82</v>
      </c>
      <c r="C160" s="6">
        <v>11.72</v>
      </c>
      <c r="D160" s="6">
        <v>11.85</v>
      </c>
      <c r="E160" s="6">
        <v>11.68</v>
      </c>
      <c r="F160">
        <v>45.04</v>
      </c>
      <c r="G160">
        <v>0.68</v>
      </c>
      <c r="H160" s="4">
        <f t="shared" si="2"/>
        <v>4504000</v>
      </c>
      <c r="I160" s="7">
        <f>Table1[[#This Row],[Change ]]/100</f>
        <v>6.8000000000000005E-3</v>
      </c>
    </row>
    <row r="161" spans="1:9" x14ac:dyDescent="0.25">
      <c r="A161" s="1">
        <v>45895</v>
      </c>
      <c r="B161" s="6">
        <v>11.84</v>
      </c>
      <c r="C161" s="6">
        <v>11.81</v>
      </c>
      <c r="D161" s="6">
        <v>11.87</v>
      </c>
      <c r="E161" s="6">
        <v>11.77</v>
      </c>
      <c r="F161">
        <v>48.61</v>
      </c>
      <c r="G161">
        <v>0.17</v>
      </c>
      <c r="H161" s="4">
        <f t="shared" si="2"/>
        <v>4861000</v>
      </c>
      <c r="I161" s="7">
        <f>Table1[[#This Row],[Change ]]/100</f>
        <v>1.7000000000000001E-3</v>
      </c>
    </row>
    <row r="162" spans="1:9" x14ac:dyDescent="0.25">
      <c r="A162" s="1">
        <v>45896</v>
      </c>
      <c r="B162" s="6">
        <v>11.91</v>
      </c>
      <c r="C162" s="6">
        <v>11.82</v>
      </c>
      <c r="D162" s="6">
        <v>11.98</v>
      </c>
      <c r="E162" s="6">
        <v>11.81</v>
      </c>
      <c r="F162">
        <v>40.380000000000003</v>
      </c>
      <c r="G162">
        <v>0.59</v>
      </c>
      <c r="H162" s="4">
        <f t="shared" si="2"/>
        <v>4038000.0000000005</v>
      </c>
      <c r="I162" s="7">
        <f>Table1[[#This Row],[Change ]]/100</f>
        <v>5.8999999999999999E-3</v>
      </c>
    </row>
    <row r="163" spans="1:9" x14ac:dyDescent="0.25">
      <c r="A163" s="1">
        <v>45897</v>
      </c>
      <c r="B163" s="6">
        <v>11.71</v>
      </c>
      <c r="C163" s="6">
        <v>11.98</v>
      </c>
      <c r="D163" s="6">
        <v>11.99</v>
      </c>
      <c r="E163" s="6">
        <v>11.63</v>
      </c>
      <c r="F163">
        <v>47.72</v>
      </c>
      <c r="G163">
        <v>-1.68</v>
      </c>
      <c r="H163" s="4">
        <f t="shared" si="2"/>
        <v>4772000</v>
      </c>
      <c r="I163" s="7">
        <f>Table1[[#This Row],[Change ]]/100</f>
        <v>-1.6799999999999999E-2</v>
      </c>
    </row>
    <row r="164" spans="1:9" x14ac:dyDescent="0.25">
      <c r="A164" s="1">
        <v>45898</v>
      </c>
      <c r="B164" s="6">
        <v>11.77</v>
      </c>
      <c r="C164" s="6">
        <v>11.74</v>
      </c>
      <c r="D164" s="6">
        <v>11.83</v>
      </c>
      <c r="E164" s="6">
        <v>11.72</v>
      </c>
      <c r="F164">
        <v>44.07</v>
      </c>
      <c r="G164">
        <v>0.51</v>
      </c>
      <c r="H164" s="4">
        <f t="shared" si="2"/>
        <v>4407000</v>
      </c>
      <c r="I164" s="7">
        <f>Table1[[#This Row],[Change ]]/100</f>
        <v>5.1000000000000004E-3</v>
      </c>
    </row>
    <row r="165" spans="1:9" x14ac:dyDescent="0.25">
      <c r="A165" s="1">
        <v>45902</v>
      </c>
      <c r="B165" s="6">
        <v>11.72</v>
      </c>
      <c r="C165" s="6">
        <v>11.76</v>
      </c>
      <c r="D165" s="6">
        <v>11.89</v>
      </c>
      <c r="E165" s="6">
        <v>11.64</v>
      </c>
      <c r="F165">
        <v>57.7</v>
      </c>
      <c r="G165">
        <v>-0.42</v>
      </c>
      <c r="H165" s="4">
        <f t="shared" si="2"/>
        <v>5770000</v>
      </c>
      <c r="I165" s="7">
        <f>Table1[[#This Row],[Change ]]/100</f>
        <v>-4.1999999999999997E-3</v>
      </c>
    </row>
    <row r="166" spans="1:9" x14ac:dyDescent="0.25">
      <c r="A166" s="1">
        <v>45903</v>
      </c>
      <c r="B166" s="6">
        <v>11.62</v>
      </c>
      <c r="C166" s="6">
        <v>11.67</v>
      </c>
      <c r="D166" s="6">
        <v>11.73</v>
      </c>
      <c r="E166" s="6">
        <v>11.57</v>
      </c>
      <c r="F166">
        <v>47.73</v>
      </c>
      <c r="G166">
        <v>-0.85</v>
      </c>
      <c r="H166" s="4">
        <f t="shared" si="2"/>
        <v>4773000</v>
      </c>
      <c r="I166" s="7">
        <f>Table1[[#This Row],[Change ]]/100</f>
        <v>-8.5000000000000006E-3</v>
      </c>
    </row>
    <row r="167" spans="1:9" x14ac:dyDescent="0.25">
      <c r="A167" s="1">
        <v>45904</v>
      </c>
      <c r="B167" s="6">
        <v>11.68</v>
      </c>
      <c r="C167" s="6">
        <v>11.65</v>
      </c>
      <c r="D167" s="6">
        <v>11.7</v>
      </c>
      <c r="E167" s="6">
        <v>11.57</v>
      </c>
      <c r="F167">
        <v>33.14</v>
      </c>
      <c r="G167">
        <v>0.52</v>
      </c>
      <c r="H167" s="4">
        <f t="shared" si="2"/>
        <v>3314000</v>
      </c>
      <c r="I167" s="7">
        <f>Table1[[#This Row],[Change ]]/100</f>
        <v>5.1999999999999998E-3</v>
      </c>
    </row>
    <row r="168" spans="1:9" x14ac:dyDescent="0.25">
      <c r="A168" s="1">
        <v>45905</v>
      </c>
      <c r="B168" s="6">
        <v>11.74</v>
      </c>
      <c r="C168" s="6">
        <v>11.71</v>
      </c>
      <c r="D168" s="6">
        <v>11.91</v>
      </c>
      <c r="E168" s="6">
        <v>11.66</v>
      </c>
      <c r="F168">
        <v>47.55</v>
      </c>
      <c r="G168">
        <v>0.51</v>
      </c>
      <c r="H168" s="4">
        <f t="shared" si="2"/>
        <v>4755000</v>
      </c>
      <c r="I168" s="7">
        <f>Table1[[#This Row],[Change ]]/100</f>
        <v>5.1000000000000004E-3</v>
      </c>
    </row>
    <row r="169" spans="1:9" x14ac:dyDescent="0.25">
      <c r="A169" s="1">
        <v>45908</v>
      </c>
      <c r="B169" s="6">
        <v>11.69</v>
      </c>
      <c r="C169" s="6">
        <v>11.75</v>
      </c>
      <c r="D169" s="6">
        <v>11.75</v>
      </c>
      <c r="E169" s="6">
        <v>11.58</v>
      </c>
      <c r="F169">
        <v>39.729999999999997</v>
      </c>
      <c r="G169">
        <v>-0.43</v>
      </c>
      <c r="H169" s="4">
        <f t="shared" si="2"/>
        <v>3972999.9999999995</v>
      </c>
      <c r="I169" s="7">
        <f>Table1[[#This Row],[Change ]]/100</f>
        <v>-4.3E-3</v>
      </c>
    </row>
    <row r="170" spans="1:9" x14ac:dyDescent="0.25">
      <c r="A170" s="1">
        <v>45909</v>
      </c>
      <c r="B170" s="6">
        <v>11.49</v>
      </c>
      <c r="C170" s="6">
        <v>11.67</v>
      </c>
      <c r="D170" s="6">
        <v>11.68</v>
      </c>
      <c r="E170" s="6">
        <v>11.45</v>
      </c>
      <c r="F170">
        <v>41.26</v>
      </c>
      <c r="G170">
        <v>-1.71</v>
      </c>
      <c r="H170" s="4">
        <f t="shared" si="2"/>
        <v>4126000</v>
      </c>
      <c r="I170" s="7">
        <f>Table1[[#This Row],[Change ]]/100</f>
        <v>-1.7100000000000001E-2</v>
      </c>
    </row>
    <row r="171" spans="1:9" x14ac:dyDescent="0.25">
      <c r="A171" s="1">
        <v>45910</v>
      </c>
      <c r="B171" s="6">
        <v>11.42</v>
      </c>
      <c r="C171" s="6">
        <v>11.49</v>
      </c>
      <c r="D171" s="6">
        <v>11.52</v>
      </c>
      <c r="E171" s="6">
        <v>11.31</v>
      </c>
      <c r="F171">
        <v>47.02</v>
      </c>
      <c r="G171">
        <v>-0.61</v>
      </c>
      <c r="H171" s="4">
        <f t="shared" si="2"/>
        <v>4702000</v>
      </c>
      <c r="I171" s="7">
        <f>Table1[[#This Row],[Change ]]/100</f>
        <v>-6.0999999999999995E-3</v>
      </c>
    </row>
    <row r="172" spans="1:9" x14ac:dyDescent="0.25">
      <c r="A172" s="1">
        <v>45911</v>
      </c>
      <c r="B172" s="6">
        <v>11.76</v>
      </c>
      <c r="C172" s="6">
        <v>11.46</v>
      </c>
      <c r="D172" s="6">
        <v>11.79</v>
      </c>
      <c r="E172" s="6">
        <v>11.43</v>
      </c>
      <c r="F172">
        <v>64.2</v>
      </c>
      <c r="G172">
        <v>2.98</v>
      </c>
      <c r="H172" s="4">
        <f t="shared" si="2"/>
        <v>6420000</v>
      </c>
      <c r="I172" s="7">
        <f>Table1[[#This Row],[Change ]]/100</f>
        <v>2.98E-2</v>
      </c>
    </row>
    <row r="173" spans="1:9" x14ac:dyDescent="0.25">
      <c r="A173" s="1">
        <v>45912</v>
      </c>
      <c r="B173" s="6">
        <v>11.68</v>
      </c>
      <c r="C173" s="6">
        <v>11.75</v>
      </c>
      <c r="D173" s="6">
        <v>11.81</v>
      </c>
      <c r="E173" s="6">
        <v>11.66</v>
      </c>
      <c r="F173">
        <v>50.1</v>
      </c>
      <c r="G173">
        <v>-0.68</v>
      </c>
      <c r="H173" s="4">
        <f t="shared" si="2"/>
        <v>5010000</v>
      </c>
      <c r="I173" s="7">
        <f>Table1[[#This Row],[Change ]]/100</f>
        <v>-6.8000000000000005E-3</v>
      </c>
    </row>
    <row r="174" spans="1:9" x14ac:dyDescent="0.25">
      <c r="A174" s="1">
        <v>45915</v>
      </c>
      <c r="B174" s="6">
        <v>11.68</v>
      </c>
      <c r="C174" s="6">
        <v>11.74</v>
      </c>
      <c r="D174" s="6">
        <v>11.76</v>
      </c>
      <c r="E174" s="6">
        <v>11.61</v>
      </c>
      <c r="F174">
        <v>47.94</v>
      </c>
      <c r="G174">
        <v>0</v>
      </c>
      <c r="H174" s="4">
        <f t="shared" si="2"/>
        <v>4794000</v>
      </c>
      <c r="I174" s="7">
        <f>Table1[[#This Row],[Change ]]/100</f>
        <v>0</v>
      </c>
    </row>
    <row r="175" spans="1:9" x14ac:dyDescent="0.25">
      <c r="A175" s="1">
        <v>45916</v>
      </c>
      <c r="B175" s="6">
        <v>11.61</v>
      </c>
      <c r="C175" s="6">
        <v>11.69</v>
      </c>
      <c r="D175" s="6">
        <v>11.78</v>
      </c>
      <c r="E175" s="6">
        <v>11.51</v>
      </c>
      <c r="F175">
        <v>58.06</v>
      </c>
      <c r="G175">
        <v>-0.6</v>
      </c>
      <c r="H175" s="4">
        <f t="shared" si="2"/>
        <v>5806000</v>
      </c>
      <c r="I175" s="7">
        <f>Table1[[#This Row],[Change ]]/100</f>
        <v>-6.0000000000000001E-3</v>
      </c>
    </row>
    <row r="176" spans="1:9" x14ac:dyDescent="0.25">
      <c r="A176" s="1">
        <v>45917</v>
      </c>
      <c r="B176" s="6">
        <v>11.66</v>
      </c>
      <c r="C176" s="6">
        <v>11.63</v>
      </c>
      <c r="D176" s="6">
        <v>11.88</v>
      </c>
      <c r="E176" s="6">
        <v>11.55</v>
      </c>
      <c r="F176">
        <v>68.59</v>
      </c>
      <c r="G176">
        <v>0.43</v>
      </c>
      <c r="H176" s="4">
        <f t="shared" si="2"/>
        <v>6859000</v>
      </c>
      <c r="I176" s="7">
        <f>Table1[[#This Row],[Change ]]/100</f>
        <v>4.3E-3</v>
      </c>
    </row>
    <row r="177" spans="1:9" x14ac:dyDescent="0.25">
      <c r="A177" s="1">
        <v>45918</v>
      </c>
      <c r="B177" s="6">
        <v>11.74</v>
      </c>
      <c r="C177" s="6">
        <v>11.69</v>
      </c>
      <c r="D177" s="6">
        <v>11.78</v>
      </c>
      <c r="E177" s="6">
        <v>11.62</v>
      </c>
      <c r="F177">
        <v>55.04</v>
      </c>
      <c r="G177">
        <v>0.69</v>
      </c>
      <c r="H177" s="4">
        <f t="shared" si="2"/>
        <v>5504000</v>
      </c>
      <c r="I177" s="7">
        <f>Table1[[#This Row],[Change ]]/100</f>
        <v>6.8999999999999999E-3</v>
      </c>
    </row>
    <row r="178" spans="1:9" x14ac:dyDescent="0.25">
      <c r="A178" s="1">
        <v>45919</v>
      </c>
      <c r="B178" s="6">
        <v>11.62</v>
      </c>
      <c r="C178" s="6">
        <v>11.77</v>
      </c>
      <c r="D178" s="6">
        <v>11.8</v>
      </c>
      <c r="E178" s="6">
        <v>11.59</v>
      </c>
      <c r="F178">
        <v>71.680000000000007</v>
      </c>
      <c r="G178">
        <v>-1.02</v>
      </c>
      <c r="H178" s="4">
        <f t="shared" si="2"/>
        <v>7168000.0000000009</v>
      </c>
      <c r="I178" s="7">
        <f>Table1[[#This Row],[Change ]]/100</f>
        <v>-1.0200000000000001E-2</v>
      </c>
    </row>
    <row r="179" spans="1:9" x14ac:dyDescent="0.25">
      <c r="A179" s="1">
        <v>45922</v>
      </c>
      <c r="B179" s="6">
        <v>11.66</v>
      </c>
      <c r="C179" s="6">
        <v>11.6</v>
      </c>
      <c r="D179" s="6">
        <v>11.7</v>
      </c>
      <c r="E179" s="6">
        <v>11.56</v>
      </c>
      <c r="F179">
        <v>58.43</v>
      </c>
      <c r="G179">
        <v>0.34</v>
      </c>
      <c r="H179" s="4">
        <f t="shared" si="2"/>
        <v>5843000</v>
      </c>
      <c r="I179" s="7">
        <f>Table1[[#This Row],[Change ]]/100</f>
        <v>3.4000000000000002E-3</v>
      </c>
    </row>
    <row r="180" spans="1:9" x14ac:dyDescent="0.25">
      <c r="A180" s="1">
        <v>45923</v>
      </c>
      <c r="B180" s="6">
        <v>11.73</v>
      </c>
      <c r="C180" s="6">
        <v>11.7</v>
      </c>
      <c r="D180" s="6">
        <v>11.93</v>
      </c>
      <c r="E180" s="6">
        <v>11.69</v>
      </c>
      <c r="F180">
        <v>55.67</v>
      </c>
      <c r="G180">
        <v>0.6</v>
      </c>
      <c r="H180" s="4">
        <f t="shared" si="2"/>
        <v>5567000</v>
      </c>
      <c r="I180" s="7">
        <f>Table1[[#This Row],[Change ]]/100</f>
        <v>6.0000000000000001E-3</v>
      </c>
    </row>
    <row r="181" spans="1:9" x14ac:dyDescent="0.25">
      <c r="A181" s="1">
        <v>45924</v>
      </c>
      <c r="B181" s="6">
        <v>11.63</v>
      </c>
      <c r="C181" s="6">
        <v>11.73</v>
      </c>
      <c r="D181" s="6">
        <v>11.83</v>
      </c>
      <c r="E181" s="6">
        <v>11.59</v>
      </c>
      <c r="F181">
        <v>60.19</v>
      </c>
      <c r="G181">
        <v>-0.85</v>
      </c>
      <c r="H181" s="4">
        <f t="shared" si="2"/>
        <v>6019000</v>
      </c>
      <c r="I181" s="7">
        <f>Table1[[#This Row],[Change ]]/100</f>
        <v>-8.5000000000000006E-3</v>
      </c>
    </row>
    <row r="182" spans="1:9" x14ac:dyDescent="0.25">
      <c r="A182" s="1">
        <v>45925</v>
      </c>
      <c r="B182" s="6">
        <v>11.62</v>
      </c>
      <c r="C182" s="6">
        <v>11.54</v>
      </c>
      <c r="D182" s="6">
        <v>11.65</v>
      </c>
      <c r="E182" s="6">
        <v>11.37</v>
      </c>
      <c r="F182">
        <v>67.66</v>
      </c>
      <c r="G182">
        <v>-0.09</v>
      </c>
      <c r="H182" s="4">
        <f t="shared" si="2"/>
        <v>6766000</v>
      </c>
      <c r="I182" s="7">
        <f>Table1[[#This Row],[Change ]]/100</f>
        <v>-8.9999999999999998E-4</v>
      </c>
    </row>
    <row r="183" spans="1:9" x14ac:dyDescent="0.25">
      <c r="A183" s="1">
        <v>45926</v>
      </c>
      <c r="B183" s="6">
        <v>12.01</v>
      </c>
      <c r="C183" s="6">
        <v>11.65</v>
      </c>
      <c r="D183" s="6">
        <v>12.31</v>
      </c>
      <c r="E183" s="6">
        <v>11.65</v>
      </c>
      <c r="F183">
        <v>117.68</v>
      </c>
      <c r="G183">
        <v>3.36</v>
      </c>
      <c r="H183" s="4">
        <f t="shared" si="2"/>
        <v>11768000</v>
      </c>
      <c r="I183" s="7">
        <f>Table1[[#This Row],[Change ]]/100</f>
        <v>3.3599999999999998E-2</v>
      </c>
    </row>
    <row r="184" spans="1:9" x14ac:dyDescent="0.25">
      <c r="A184" s="1">
        <v>45929</v>
      </c>
      <c r="B184" s="6">
        <v>12.09</v>
      </c>
      <c r="C184" s="6">
        <v>12.1</v>
      </c>
      <c r="D184" s="6">
        <v>12.12</v>
      </c>
      <c r="E184" s="6">
        <v>11.89</v>
      </c>
      <c r="F184">
        <v>83.33</v>
      </c>
      <c r="G184">
        <v>0.67</v>
      </c>
      <c r="H184" s="4">
        <f t="shared" si="2"/>
        <v>8333000</v>
      </c>
      <c r="I184" s="7">
        <f>Table1[[#This Row],[Change ]]/100</f>
        <v>6.7000000000000002E-3</v>
      </c>
    </row>
    <row r="185" spans="1:9" x14ac:dyDescent="0.25">
      <c r="A185" s="1">
        <v>45930</v>
      </c>
      <c r="B185" s="6">
        <v>11.96</v>
      </c>
      <c r="C185" s="6">
        <v>12.11</v>
      </c>
      <c r="D185" s="6">
        <v>12.2</v>
      </c>
      <c r="E185" s="6">
        <v>11.91</v>
      </c>
      <c r="F185">
        <v>70.77</v>
      </c>
      <c r="G185">
        <v>-1.08</v>
      </c>
      <c r="H185" s="4">
        <f t="shared" si="2"/>
        <v>7077000</v>
      </c>
      <c r="I185" s="7">
        <f>Table1[[#This Row],[Change ]]/100</f>
        <v>-1.0800000000000001E-2</v>
      </c>
    </row>
    <row r="186" spans="1:9" x14ac:dyDescent="0.25">
      <c r="A186" s="1">
        <v>45931</v>
      </c>
      <c r="B186" s="6">
        <v>12.27</v>
      </c>
      <c r="C186" s="6">
        <v>12.12</v>
      </c>
      <c r="D186" s="6">
        <v>12.28</v>
      </c>
      <c r="E186" s="6">
        <v>12.04</v>
      </c>
      <c r="F186">
        <v>73.58</v>
      </c>
      <c r="G186">
        <v>2.59</v>
      </c>
      <c r="H186" s="4">
        <f t="shared" si="2"/>
        <v>7358000</v>
      </c>
      <c r="I186" s="7">
        <f>Table1[[#This Row],[Change ]]/100</f>
        <v>2.5899999999999999E-2</v>
      </c>
    </row>
    <row r="187" spans="1:9" x14ac:dyDescent="0.25">
      <c r="A187" s="1">
        <v>45932</v>
      </c>
      <c r="B187" s="6">
        <v>12.22</v>
      </c>
      <c r="C187" s="6">
        <v>12.28</v>
      </c>
      <c r="D187" s="6">
        <v>12.43</v>
      </c>
      <c r="E187" s="6">
        <v>12.12</v>
      </c>
      <c r="F187">
        <v>74.53</v>
      </c>
      <c r="G187">
        <v>-0.41</v>
      </c>
      <c r="H187" s="4">
        <f t="shared" si="2"/>
        <v>7453000</v>
      </c>
      <c r="I187" s="7">
        <f>Table1[[#This Row],[Change ]]/100</f>
        <v>-4.0999999999999995E-3</v>
      </c>
    </row>
    <row r="188" spans="1:9" x14ac:dyDescent="0.25">
      <c r="A188" s="1">
        <v>45933</v>
      </c>
      <c r="B188" s="6">
        <v>12.67</v>
      </c>
      <c r="C188" s="6">
        <v>12.24</v>
      </c>
      <c r="D188" s="6">
        <v>12.67</v>
      </c>
      <c r="E188" s="6">
        <v>12.2</v>
      </c>
      <c r="F188">
        <v>100.78</v>
      </c>
      <c r="G188">
        <v>3.68</v>
      </c>
      <c r="H188" s="4">
        <f t="shared" si="2"/>
        <v>10078000</v>
      </c>
      <c r="I188" s="7">
        <f>Table1[[#This Row],[Change ]]/100</f>
        <v>3.6799999999999999E-2</v>
      </c>
    </row>
    <row r="189" spans="1:9" x14ac:dyDescent="0.25">
      <c r="A189" s="1">
        <v>45936</v>
      </c>
      <c r="B189" s="6">
        <v>12.7</v>
      </c>
      <c r="C189" s="6">
        <v>12.63</v>
      </c>
      <c r="D189" s="6">
        <v>12.8</v>
      </c>
      <c r="E189" s="6">
        <v>12.48</v>
      </c>
      <c r="F189">
        <v>90.54</v>
      </c>
      <c r="G189">
        <v>0.24</v>
      </c>
      <c r="H189" s="4">
        <f t="shared" si="2"/>
        <v>9054000</v>
      </c>
      <c r="I189" s="7">
        <f>Table1[[#This Row],[Change ]]/100</f>
        <v>2.3999999999999998E-3</v>
      </c>
    </row>
    <row r="190" spans="1:9" x14ac:dyDescent="0.25">
      <c r="A190" s="1">
        <v>45937</v>
      </c>
      <c r="B190" s="6">
        <v>11.92</v>
      </c>
      <c r="C190" s="6">
        <v>12.5</v>
      </c>
      <c r="D190" s="6">
        <v>12.53</v>
      </c>
      <c r="E190" s="6">
        <v>11.74</v>
      </c>
      <c r="F190">
        <v>154.38999999999999</v>
      </c>
      <c r="G190">
        <v>-6.14</v>
      </c>
      <c r="H190" s="4">
        <f t="shared" si="2"/>
        <v>15438999.999999998</v>
      </c>
      <c r="I190" s="7">
        <f>Table1[[#This Row],[Change ]]/100</f>
        <v>-6.1399999999999996E-2</v>
      </c>
    </row>
    <row r="191" spans="1:9" x14ac:dyDescent="0.25">
      <c r="A191" s="1">
        <v>45938</v>
      </c>
      <c r="B191" s="6">
        <v>11.74</v>
      </c>
      <c r="C191" s="6">
        <v>11.98</v>
      </c>
      <c r="D191" s="6">
        <v>12.01</v>
      </c>
      <c r="E191" s="6">
        <v>11.68</v>
      </c>
      <c r="F191">
        <v>78.47</v>
      </c>
      <c r="G191">
        <v>-1.51</v>
      </c>
      <c r="H191" s="4">
        <f t="shared" si="2"/>
        <v>7847000</v>
      </c>
      <c r="I191" s="7">
        <f>Table1[[#This Row],[Change ]]/100</f>
        <v>-1.5100000000000001E-2</v>
      </c>
    </row>
    <row r="192" spans="1:9" x14ac:dyDescent="0.25">
      <c r="A192" s="1">
        <v>45939</v>
      </c>
      <c r="B192" s="6">
        <v>11.5</v>
      </c>
      <c r="C192" s="6">
        <v>11.74</v>
      </c>
      <c r="D192" s="6">
        <v>11.77</v>
      </c>
      <c r="E192" s="6">
        <v>11.48</v>
      </c>
      <c r="F192">
        <v>70.319999999999993</v>
      </c>
      <c r="G192">
        <v>-2.04</v>
      </c>
      <c r="H192" s="4">
        <f t="shared" si="2"/>
        <v>7031999.9999999991</v>
      </c>
      <c r="I192" s="7">
        <f>Table1[[#This Row],[Change ]]/100</f>
        <v>-2.0400000000000001E-2</v>
      </c>
    </row>
    <row r="193" spans="1:9" x14ac:dyDescent="0.25">
      <c r="A193" s="1">
        <v>45940</v>
      </c>
      <c r="B193" s="6">
        <v>11.41</v>
      </c>
      <c r="C193" s="6">
        <v>11.55</v>
      </c>
      <c r="D193" s="6">
        <v>11.59</v>
      </c>
      <c r="E193" s="6">
        <v>11.35</v>
      </c>
      <c r="F193">
        <v>84.6</v>
      </c>
      <c r="G193">
        <v>-0.78</v>
      </c>
      <c r="H193" s="4">
        <f t="shared" si="2"/>
        <v>8460000</v>
      </c>
      <c r="I193" s="7">
        <f>Table1[[#This Row],[Change ]]/100</f>
        <v>-7.8000000000000005E-3</v>
      </c>
    </row>
    <row r="194" spans="1:9" x14ac:dyDescent="0.25">
      <c r="A194" s="1">
        <v>45943</v>
      </c>
      <c r="B194" s="6">
        <v>11.54</v>
      </c>
      <c r="C194" s="6">
        <v>11.49</v>
      </c>
      <c r="D194" s="6">
        <v>11.63</v>
      </c>
      <c r="E194" s="6">
        <v>11.46</v>
      </c>
      <c r="F194">
        <v>73.94</v>
      </c>
      <c r="G194">
        <v>1.1399999999999999</v>
      </c>
      <c r="H194" s="4">
        <f t="shared" si="2"/>
        <v>7394000</v>
      </c>
      <c r="I194" s="7">
        <f>Table1[[#This Row],[Change ]]/100</f>
        <v>1.1399999999999999E-2</v>
      </c>
    </row>
    <row r="195" spans="1:9" x14ac:dyDescent="0.25">
      <c r="A195" s="1">
        <v>45944</v>
      </c>
      <c r="B195" s="6">
        <v>11.65</v>
      </c>
      <c r="C195" s="6">
        <v>11.38</v>
      </c>
      <c r="D195" s="6">
        <v>11.76</v>
      </c>
      <c r="E195" s="6">
        <v>11.34</v>
      </c>
      <c r="F195">
        <v>89.12</v>
      </c>
      <c r="G195">
        <v>0.95</v>
      </c>
      <c r="H195" s="4">
        <f t="shared" ref="H195:H218" si="3">F195*100000</f>
        <v>8912000</v>
      </c>
      <c r="I195" s="7">
        <f>Table1[[#This Row],[Change ]]/100</f>
        <v>9.4999999999999998E-3</v>
      </c>
    </row>
    <row r="196" spans="1:9" x14ac:dyDescent="0.25">
      <c r="A196" s="1">
        <v>45945</v>
      </c>
      <c r="B196" s="6">
        <v>11.76</v>
      </c>
      <c r="C196" s="6">
        <v>11.68</v>
      </c>
      <c r="D196" s="6">
        <v>11.78</v>
      </c>
      <c r="E196" s="6">
        <v>11.64</v>
      </c>
      <c r="F196">
        <v>88.96</v>
      </c>
      <c r="G196">
        <v>0.94</v>
      </c>
      <c r="H196" s="4">
        <f t="shared" si="3"/>
        <v>8896000</v>
      </c>
      <c r="I196" s="7">
        <f>Table1[[#This Row],[Change ]]/100</f>
        <v>9.3999999999999986E-3</v>
      </c>
    </row>
    <row r="197" spans="1:9" x14ac:dyDescent="0.25">
      <c r="A197" s="1">
        <v>45946</v>
      </c>
      <c r="B197" s="6">
        <v>11.74</v>
      </c>
      <c r="C197" s="6">
        <v>11.74</v>
      </c>
      <c r="D197" s="6">
        <v>11.79</v>
      </c>
      <c r="E197" s="6">
        <v>11.64</v>
      </c>
      <c r="F197">
        <v>108.7</v>
      </c>
      <c r="G197">
        <v>-0.17</v>
      </c>
      <c r="H197" s="4">
        <f t="shared" si="3"/>
        <v>10870000</v>
      </c>
      <c r="I197" s="7">
        <f>Table1[[#This Row],[Change ]]/100</f>
        <v>-1.7000000000000001E-3</v>
      </c>
    </row>
    <row r="198" spans="1:9" x14ac:dyDescent="0.25">
      <c r="A198" s="1">
        <v>45947</v>
      </c>
      <c r="B198" s="6">
        <v>11.92</v>
      </c>
      <c r="C198" s="6">
        <v>11.74</v>
      </c>
      <c r="D198" s="6">
        <v>12.01</v>
      </c>
      <c r="E198" s="6">
        <v>11.72</v>
      </c>
      <c r="F198">
        <v>107.63</v>
      </c>
      <c r="G198">
        <v>1.53</v>
      </c>
      <c r="H198" s="4">
        <f t="shared" si="3"/>
        <v>10763000</v>
      </c>
      <c r="I198" s="7">
        <f>Table1[[#This Row],[Change ]]/100</f>
        <v>1.5300000000000001E-2</v>
      </c>
    </row>
    <row r="199" spans="1:9" x14ac:dyDescent="0.25">
      <c r="A199" s="1">
        <v>45950</v>
      </c>
      <c r="B199" s="6">
        <v>11.99</v>
      </c>
      <c r="C199" s="6">
        <v>11.93</v>
      </c>
      <c r="D199" s="6">
        <v>12.08</v>
      </c>
      <c r="E199" s="6">
        <v>11.91</v>
      </c>
      <c r="F199">
        <v>77.88</v>
      </c>
      <c r="G199">
        <v>0.59</v>
      </c>
      <c r="H199" s="4">
        <f t="shared" si="3"/>
        <v>7788000</v>
      </c>
      <c r="I199" s="7">
        <f>Table1[[#This Row],[Change ]]/100</f>
        <v>5.8999999999999999E-3</v>
      </c>
    </row>
    <row r="200" spans="1:9" x14ac:dyDescent="0.25">
      <c r="A200" s="1">
        <v>45951</v>
      </c>
      <c r="B200" s="6">
        <v>12.56</v>
      </c>
      <c r="C200" s="6">
        <v>12.26</v>
      </c>
      <c r="D200" s="6">
        <v>12.63</v>
      </c>
      <c r="E200" s="6">
        <v>12.07</v>
      </c>
      <c r="F200">
        <v>297.14999999999998</v>
      </c>
      <c r="G200">
        <v>4.75</v>
      </c>
      <c r="H200" s="4">
        <f t="shared" si="3"/>
        <v>29714999.999999996</v>
      </c>
      <c r="I200" s="7">
        <f>Table1[[#This Row],[Change ]]/100</f>
        <v>4.7500000000000001E-2</v>
      </c>
    </row>
    <row r="201" spans="1:9" x14ac:dyDescent="0.25">
      <c r="A201" s="1">
        <v>45952</v>
      </c>
      <c r="B201" s="6">
        <v>12.43</v>
      </c>
      <c r="C201" s="6">
        <v>12.53</v>
      </c>
      <c r="D201" s="6">
        <v>12.6</v>
      </c>
      <c r="E201" s="6">
        <v>12.28</v>
      </c>
      <c r="F201">
        <v>415.06</v>
      </c>
      <c r="G201">
        <v>-1.04</v>
      </c>
      <c r="H201" s="4">
        <f t="shared" si="3"/>
        <v>41506000</v>
      </c>
      <c r="I201" s="7">
        <f>Table1[[#This Row],[Change ]]/100</f>
        <v>-1.04E-2</v>
      </c>
    </row>
    <row r="202" spans="1:9" x14ac:dyDescent="0.25">
      <c r="A202" s="1">
        <v>45953</v>
      </c>
      <c r="B202" s="6">
        <v>12.34</v>
      </c>
      <c r="C202" s="6">
        <v>12.47</v>
      </c>
      <c r="D202" s="6">
        <v>12.49</v>
      </c>
      <c r="E202" s="6">
        <v>12.19</v>
      </c>
      <c r="F202">
        <v>479.84</v>
      </c>
      <c r="G202">
        <v>-0.72</v>
      </c>
      <c r="H202" s="4">
        <f t="shared" si="3"/>
        <v>47984000</v>
      </c>
      <c r="I202" s="7">
        <f>Table1[[#This Row],[Change ]]/100</f>
        <v>-7.1999999999999998E-3</v>
      </c>
    </row>
    <row r="203" spans="1:9" x14ac:dyDescent="0.25">
      <c r="A203" s="1">
        <v>45954</v>
      </c>
      <c r="B203" s="6">
        <v>13.84</v>
      </c>
      <c r="C203" s="6">
        <v>12.73</v>
      </c>
      <c r="D203" s="6">
        <v>13.97</v>
      </c>
      <c r="E203" s="6">
        <v>12.71</v>
      </c>
      <c r="F203">
        <v>298.37</v>
      </c>
      <c r="G203">
        <v>12.16</v>
      </c>
      <c r="H203" s="4">
        <f t="shared" si="3"/>
        <v>29837000</v>
      </c>
      <c r="I203" s="7">
        <f>Table1[[#This Row],[Change ]]/100</f>
        <v>0.1216</v>
      </c>
    </row>
    <row r="204" spans="1:9" x14ac:dyDescent="0.25">
      <c r="A204" s="1">
        <v>45957</v>
      </c>
      <c r="B204" s="6">
        <v>13.26</v>
      </c>
      <c r="C204" s="6">
        <v>13.8</v>
      </c>
      <c r="D204" s="6">
        <v>13.8</v>
      </c>
      <c r="E204" s="6">
        <v>13.21</v>
      </c>
      <c r="F204">
        <v>140.86000000000001</v>
      </c>
      <c r="G204">
        <v>-4.1900000000000004</v>
      </c>
      <c r="H204" s="4">
        <f t="shared" si="3"/>
        <v>14086000.000000002</v>
      </c>
      <c r="I204" s="7">
        <f>Table1[[#This Row],[Change ]]/100</f>
        <v>-4.1900000000000007E-2</v>
      </c>
    </row>
    <row r="205" spans="1:9" x14ac:dyDescent="0.25">
      <c r="A205" s="1">
        <v>45958</v>
      </c>
      <c r="B205" s="6">
        <v>13.13</v>
      </c>
      <c r="C205" s="6">
        <v>13.24</v>
      </c>
      <c r="D205" s="6">
        <v>13.28</v>
      </c>
      <c r="E205" s="6">
        <v>13.04</v>
      </c>
      <c r="F205">
        <v>96.74</v>
      </c>
      <c r="G205">
        <v>-0.98</v>
      </c>
      <c r="H205" s="4">
        <f t="shared" si="3"/>
        <v>9674000</v>
      </c>
      <c r="I205" s="7">
        <f>Table1[[#This Row],[Change ]]/100</f>
        <v>-9.7999999999999997E-3</v>
      </c>
    </row>
    <row r="206" spans="1:9" x14ac:dyDescent="0.25">
      <c r="A206" s="1">
        <v>45959</v>
      </c>
      <c r="B206" s="6">
        <v>13.24</v>
      </c>
      <c r="C206" s="6">
        <v>13.1</v>
      </c>
      <c r="D206" s="6">
        <v>13.39</v>
      </c>
      <c r="E206" s="6">
        <v>13.07</v>
      </c>
      <c r="F206">
        <v>127.51</v>
      </c>
      <c r="G206">
        <v>0.84</v>
      </c>
      <c r="H206" s="4">
        <f t="shared" si="3"/>
        <v>12751000</v>
      </c>
      <c r="I206" s="7">
        <f>Table1[[#This Row],[Change ]]/100</f>
        <v>8.3999999999999995E-3</v>
      </c>
    </row>
    <row r="207" spans="1:9" x14ac:dyDescent="0.25">
      <c r="A207" s="1">
        <v>45960</v>
      </c>
      <c r="B207" s="6">
        <v>13.06</v>
      </c>
      <c r="C207" s="6">
        <v>13.14</v>
      </c>
      <c r="D207" s="6">
        <v>13.29</v>
      </c>
      <c r="E207" s="6">
        <v>13.06</v>
      </c>
      <c r="F207">
        <v>80.77</v>
      </c>
      <c r="G207">
        <v>-1.36</v>
      </c>
      <c r="H207" s="4">
        <f t="shared" si="3"/>
        <v>8077000</v>
      </c>
      <c r="I207" s="7">
        <f>Table1[[#This Row],[Change ]]/100</f>
        <v>-1.3600000000000001E-2</v>
      </c>
    </row>
    <row r="208" spans="1:9" x14ac:dyDescent="0.25">
      <c r="A208" s="1">
        <v>45961</v>
      </c>
      <c r="B208" s="6">
        <v>13.13</v>
      </c>
      <c r="C208" s="6">
        <v>13.04</v>
      </c>
      <c r="D208" s="6">
        <v>13.17</v>
      </c>
      <c r="E208" s="6">
        <v>12.99</v>
      </c>
      <c r="F208">
        <v>68.86</v>
      </c>
      <c r="G208">
        <v>0.54</v>
      </c>
      <c r="H208" s="4">
        <f t="shared" si="3"/>
        <v>6886000</v>
      </c>
      <c r="I208" s="7">
        <f>Table1[[#This Row],[Change ]]/100</f>
        <v>5.4000000000000003E-3</v>
      </c>
    </row>
    <row r="209" spans="1:9" x14ac:dyDescent="0.25">
      <c r="A209" s="1">
        <v>45964</v>
      </c>
      <c r="B209" s="6">
        <v>13.01</v>
      </c>
      <c r="C209" s="6">
        <v>13.1</v>
      </c>
      <c r="D209" s="6">
        <v>13.1</v>
      </c>
      <c r="E209" s="6">
        <v>12.9</v>
      </c>
      <c r="F209">
        <v>80.42</v>
      </c>
      <c r="G209">
        <v>-0.91</v>
      </c>
      <c r="H209" s="4">
        <f t="shared" si="3"/>
        <v>8042000</v>
      </c>
      <c r="I209" s="7">
        <f>Table1[[#This Row],[Change ]]/100</f>
        <v>-9.1000000000000004E-3</v>
      </c>
    </row>
    <row r="210" spans="1:9" x14ac:dyDescent="0.25">
      <c r="A210" s="1">
        <v>45965</v>
      </c>
      <c r="B210" s="6">
        <v>12.79</v>
      </c>
      <c r="C210" s="6">
        <v>12.91</v>
      </c>
      <c r="D210" s="6">
        <v>12.93</v>
      </c>
      <c r="E210" s="6">
        <v>12.75</v>
      </c>
      <c r="F210">
        <v>70.36</v>
      </c>
      <c r="G210">
        <v>-1.69</v>
      </c>
      <c r="H210" s="4">
        <f t="shared" si="3"/>
        <v>7036000</v>
      </c>
      <c r="I210" s="7">
        <f>Table1[[#This Row],[Change ]]/100</f>
        <v>-1.6899999999999998E-2</v>
      </c>
    </row>
    <row r="211" spans="1:9" x14ac:dyDescent="0.25">
      <c r="A211" s="1">
        <v>45966</v>
      </c>
      <c r="B211" s="6">
        <v>13.11</v>
      </c>
      <c r="C211" s="6">
        <v>12.92</v>
      </c>
      <c r="D211" s="6">
        <v>13.31</v>
      </c>
      <c r="E211" s="6">
        <v>12.88</v>
      </c>
      <c r="F211">
        <v>79.13</v>
      </c>
      <c r="G211">
        <v>2.5</v>
      </c>
      <c r="H211" s="4">
        <f t="shared" si="3"/>
        <v>7913000</v>
      </c>
      <c r="I211" s="7">
        <f>Table1[[#This Row],[Change ]]/100</f>
        <v>2.5000000000000001E-2</v>
      </c>
    </row>
    <row r="212" spans="1:9" x14ac:dyDescent="0.25">
      <c r="A212" s="1">
        <v>45967</v>
      </c>
      <c r="B212" s="6">
        <v>13.12</v>
      </c>
      <c r="C212" s="6">
        <v>13.14</v>
      </c>
      <c r="D212" s="6">
        <v>13.26</v>
      </c>
      <c r="E212" s="6">
        <v>12.98</v>
      </c>
      <c r="F212">
        <v>82.29</v>
      </c>
      <c r="G212">
        <v>0.08</v>
      </c>
      <c r="H212" s="4">
        <f t="shared" si="3"/>
        <v>8229000.0000000009</v>
      </c>
      <c r="I212" s="7">
        <f>Table1[[#This Row],[Change ]]/100</f>
        <v>8.0000000000000004E-4</v>
      </c>
    </row>
    <row r="213" spans="1:9" x14ac:dyDescent="0.25">
      <c r="A213" s="1">
        <v>45968</v>
      </c>
      <c r="B213" s="6">
        <v>13.21</v>
      </c>
      <c r="C213" s="6">
        <v>12.96</v>
      </c>
      <c r="D213" s="6">
        <v>13.24</v>
      </c>
      <c r="E213" s="6">
        <v>12.95</v>
      </c>
      <c r="F213">
        <v>80.010000000000005</v>
      </c>
      <c r="G213">
        <v>0.69</v>
      </c>
      <c r="H213" s="4">
        <f t="shared" si="3"/>
        <v>8001000.0000000009</v>
      </c>
      <c r="I213" s="7">
        <f>Table1[[#This Row],[Change ]]/100</f>
        <v>6.8999999999999999E-3</v>
      </c>
    </row>
    <row r="214" spans="1:9" x14ac:dyDescent="0.25">
      <c r="A214" s="1">
        <v>45971</v>
      </c>
      <c r="B214" s="6">
        <v>13.16</v>
      </c>
      <c r="C214" s="6">
        <v>13.23</v>
      </c>
      <c r="D214" s="6">
        <v>13.23</v>
      </c>
      <c r="E214" s="6">
        <v>13</v>
      </c>
      <c r="F214">
        <v>62.05</v>
      </c>
      <c r="G214">
        <v>-0.38</v>
      </c>
      <c r="H214" s="4">
        <f t="shared" si="3"/>
        <v>6205000</v>
      </c>
      <c r="I214" s="7">
        <f>Table1[[#This Row],[Change ]]/100</f>
        <v>-3.8E-3</v>
      </c>
    </row>
    <row r="215" spans="1:9" x14ac:dyDescent="0.25">
      <c r="A215" s="1">
        <v>45972</v>
      </c>
      <c r="B215" s="6">
        <v>13.3</v>
      </c>
      <c r="C215" s="6">
        <v>13.19</v>
      </c>
      <c r="D215" s="6">
        <v>13.44</v>
      </c>
      <c r="E215" s="6">
        <v>13.19</v>
      </c>
      <c r="F215">
        <v>79.739999999999995</v>
      </c>
      <c r="G215">
        <v>1.06</v>
      </c>
      <c r="H215" s="4">
        <f t="shared" si="3"/>
        <v>7973999.9999999991</v>
      </c>
      <c r="I215" s="7">
        <f>Table1[[#This Row],[Change ]]/100</f>
        <v>1.06E-2</v>
      </c>
    </row>
    <row r="216" spans="1:9" x14ac:dyDescent="0.25">
      <c r="A216" s="1">
        <v>45973</v>
      </c>
      <c r="B216" s="6">
        <v>13.45</v>
      </c>
      <c r="C216" s="6">
        <v>13.3</v>
      </c>
      <c r="D216" s="6">
        <v>13.5</v>
      </c>
      <c r="E216" s="6">
        <v>13.3</v>
      </c>
      <c r="F216">
        <v>61.84</v>
      </c>
      <c r="G216">
        <v>1.1299999999999999</v>
      </c>
      <c r="H216" s="4">
        <f t="shared" si="3"/>
        <v>6184000</v>
      </c>
      <c r="I216" s="7">
        <f>Table1[[#This Row],[Change ]]/100</f>
        <v>1.1299999999999999E-2</v>
      </c>
    </row>
    <row r="217" spans="1:9" x14ac:dyDescent="0.25">
      <c r="A217" s="1">
        <v>45974</v>
      </c>
      <c r="B217" s="6">
        <v>13.28</v>
      </c>
      <c r="C217" s="6">
        <v>13.4</v>
      </c>
      <c r="D217" s="6">
        <v>13.5</v>
      </c>
      <c r="E217" s="6">
        <v>13.25</v>
      </c>
      <c r="F217">
        <v>71.48</v>
      </c>
      <c r="G217">
        <v>-1.26</v>
      </c>
      <c r="H217" s="4">
        <f t="shared" si="3"/>
        <v>7148000</v>
      </c>
      <c r="I217" s="7">
        <f>Table1[[#This Row],[Change ]]/100</f>
        <v>-1.26E-2</v>
      </c>
    </row>
    <row r="218" spans="1:9" x14ac:dyDescent="0.25">
      <c r="A218" s="1">
        <v>45975</v>
      </c>
      <c r="B218" s="6">
        <v>13.19</v>
      </c>
      <c r="C218" s="6">
        <v>13.18</v>
      </c>
      <c r="D218" s="6">
        <v>13.31</v>
      </c>
      <c r="E218" s="6">
        <v>13.1</v>
      </c>
      <c r="F218">
        <v>67.930000000000007</v>
      </c>
      <c r="G218">
        <v>-0.68</v>
      </c>
      <c r="H218" s="4">
        <f t="shared" si="3"/>
        <v>6793000.0000000009</v>
      </c>
      <c r="I218" s="7">
        <f>Table1[[#This Row],[Change ]]/100</f>
        <v>-6.8000000000000005E-3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336AF-B681-4789-A151-150969297238}">
  <dimension ref="A1"/>
  <sheetViews>
    <sheetView workbookViewId="0"/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Ford Motor Stock Price History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 Jackson</cp:lastModifiedBy>
  <dcterms:created xsi:type="dcterms:W3CDTF">2025-11-17T03:54:22Z</dcterms:created>
  <dcterms:modified xsi:type="dcterms:W3CDTF">2025-11-17T03:58:37Z</dcterms:modified>
</cp:coreProperties>
</file>