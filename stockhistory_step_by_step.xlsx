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ExcelChartLab\"/>
    </mc:Choice>
  </mc:AlternateContent>
  <xr:revisionPtr revIDLastSave="0" documentId="13_ncr:1_{CA3100D9-F82B-461D-9CE0-8EB4BBC637AF}" xr6:coauthVersionLast="47" xr6:coauthVersionMax="47" xr10:uidLastSave="{00000000-0000-0000-0000-000000000000}"/>
  <bookViews>
    <workbookView xWindow="-105" yWindow="0" windowWidth="12510" windowHeight="10905" activeTab="1" xr2:uid="{DB93E74F-1954-4E0E-A9C8-8DFFA95C58B4}"/>
  </bookViews>
  <sheets>
    <sheet name="Disclaimer" sheetId="1" r:id="rId1"/>
    <sheet name="SMA EMA" sheetId="7" r:id="rId2"/>
    <sheet name="Week" sheetId="6" r:id="rId3"/>
    <sheet name="Basic" sheetId="3" r:id="rId4"/>
    <sheet name="Intro" sheetId="2" r:id="rId5"/>
    <sheet name="All Cols" sheetId="4" r:id="rId6"/>
    <sheet name="stockhistory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7" l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78" i="7" s="1"/>
  <c r="F79" i="7" s="1"/>
  <c r="F80" i="7" s="1"/>
  <c r="F81" i="7" s="1"/>
  <c r="F82" i="7" s="1"/>
  <c r="F83" i="7" s="1"/>
  <c r="F84" i="7" s="1"/>
  <c r="F85" i="7" s="1"/>
  <c r="F86" i="7" s="1"/>
  <c r="F87" i="7" s="1"/>
  <c r="F88" i="7" s="1"/>
  <c r="F89" i="7" s="1"/>
  <c r="F90" i="7" s="1"/>
  <c r="F91" i="7" s="1"/>
  <c r="F92" i="7" s="1"/>
  <c r="F93" i="7" s="1"/>
  <c r="F94" i="7" s="1"/>
  <c r="F95" i="7" s="1"/>
  <c r="F96" i="7" s="1"/>
  <c r="F97" i="7" s="1"/>
  <c r="F98" i="7" s="1"/>
  <c r="F99" i="7" s="1"/>
  <c r="F100" i="7" s="1"/>
  <c r="F101" i="7" s="1"/>
  <c r="F102" i="7" s="1"/>
  <c r="F103" i="7" s="1"/>
  <c r="F104" i="7" s="1"/>
  <c r="F105" i="7" s="1"/>
  <c r="F106" i="7" s="1"/>
  <c r="F107" i="7" s="1"/>
  <c r="F108" i="7" s="1"/>
  <c r="F109" i="7" s="1"/>
  <c r="F110" i="7" s="1"/>
  <c r="F111" i="7" s="1"/>
  <c r="F112" i="7" s="1"/>
  <c r="F113" i="7" s="1"/>
  <c r="F114" i="7" s="1"/>
  <c r="F115" i="7" s="1"/>
  <c r="F116" i="7" s="1"/>
  <c r="F117" i="7" s="1"/>
  <c r="F118" i="7" s="1"/>
  <c r="F119" i="7" s="1"/>
  <c r="F120" i="7" s="1"/>
  <c r="F121" i="7" s="1"/>
  <c r="F122" i="7" s="1"/>
  <c r="F123" i="7" s="1"/>
  <c r="F124" i="7" s="1"/>
  <c r="F125" i="7" s="1"/>
  <c r="F126" i="7" s="1"/>
  <c r="F127" i="7" s="1"/>
  <c r="F128" i="7" s="1"/>
  <c r="F129" i="7" s="1"/>
  <c r="F130" i="7" s="1"/>
  <c r="F131" i="7" s="1"/>
  <c r="F132" i="7" s="1"/>
  <c r="F133" i="7" s="1"/>
  <c r="F134" i="7" s="1"/>
  <c r="F135" i="7" s="1"/>
  <c r="F136" i="7" s="1"/>
  <c r="F137" i="7" s="1"/>
  <c r="F138" i="7" s="1"/>
  <c r="F139" i="7" s="1"/>
  <c r="F140" i="7" s="1"/>
  <c r="F141" i="7" s="1"/>
  <c r="F142" i="7" s="1"/>
  <c r="F143" i="7" s="1"/>
  <c r="F144" i="7" s="1"/>
  <c r="F145" i="7" s="1"/>
  <c r="F146" i="7" s="1"/>
  <c r="F147" i="7" s="1"/>
  <c r="F148" i="7" s="1"/>
  <c r="F149" i="7" s="1"/>
  <c r="F150" i="7" s="1"/>
  <c r="F151" i="7" s="1"/>
  <c r="F152" i="7" s="1"/>
  <c r="F153" i="7" s="1"/>
  <c r="F154" i="7" s="1"/>
  <c r="F155" i="7" s="1"/>
  <c r="F156" i="7" s="1"/>
  <c r="F157" i="7" s="1"/>
  <c r="F158" i="7" s="1"/>
  <c r="F159" i="7" s="1"/>
  <c r="F160" i="7" s="1"/>
  <c r="F161" i="7" s="1"/>
  <c r="F162" i="7" s="1"/>
  <c r="F163" i="7" s="1"/>
  <c r="F164" i="7" s="1"/>
  <c r="F165" i="7" s="1"/>
  <c r="F166" i="7" s="1"/>
  <c r="F167" i="7" s="1"/>
  <c r="F168" i="7" s="1"/>
  <c r="F169" i="7" s="1"/>
  <c r="F170" i="7" s="1"/>
  <c r="F171" i="7" s="1"/>
  <c r="F172" i="7" s="1"/>
  <c r="F173" i="7" s="1"/>
  <c r="F174" i="7" s="1"/>
  <c r="F175" i="7" s="1"/>
  <c r="F176" i="7" s="1"/>
  <c r="F177" i="7" s="1"/>
  <c r="F178" i="7" s="1"/>
  <c r="F179" i="7" s="1"/>
  <c r="F180" i="7" s="1"/>
  <c r="F181" i="7" s="1"/>
  <c r="F182" i="7" s="1"/>
  <c r="F183" i="7" s="1"/>
  <c r="F184" i="7" s="1"/>
  <c r="F185" i="7" s="1"/>
  <c r="F186" i="7" s="1"/>
  <c r="F187" i="7" s="1"/>
  <c r="F188" i="7" s="1"/>
  <c r="F189" i="7" s="1"/>
  <c r="F190" i="7" s="1"/>
  <c r="F191" i="7" s="1"/>
  <c r="F192" i="7" s="1"/>
  <c r="F193" i="7" s="1"/>
  <c r="F194" i="7" s="1"/>
  <c r="F195" i="7" s="1"/>
  <c r="F196" i="7" s="1"/>
  <c r="F197" i="7" s="1"/>
  <c r="F198" i="7" s="1"/>
  <c r="F199" i="7" s="1"/>
  <c r="F200" i="7" s="1"/>
  <c r="F201" i="7" s="1"/>
  <c r="F202" i="7" s="1"/>
  <c r="F203" i="7" s="1"/>
  <c r="F204" i="7" s="1"/>
  <c r="F205" i="7" s="1"/>
  <c r="F206" i="7" s="1"/>
  <c r="F207" i="7" s="1"/>
  <c r="F208" i="7" s="1"/>
  <c r="F209" i="7" s="1"/>
  <c r="F210" i="7" s="1"/>
  <c r="F211" i="7" s="1"/>
  <c r="F212" i="7" s="1"/>
  <c r="F213" i="7" s="1"/>
  <c r="F214" i="7" s="1"/>
  <c r="F215" i="7" s="1"/>
  <c r="F216" i="7" s="1"/>
  <c r="F217" i="7" s="1"/>
  <c r="F218" i="7" s="1"/>
  <c r="F219" i="7" s="1"/>
  <c r="F220" i="7" s="1"/>
  <c r="F221" i="7" s="1"/>
  <c r="F222" i="7" s="1"/>
  <c r="F223" i="7" s="1"/>
  <c r="F224" i="7" s="1"/>
  <c r="F225" i="7" s="1"/>
  <c r="F226" i="7" s="1"/>
  <c r="F227" i="7" s="1"/>
  <c r="F228" i="7" s="1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1" i="7"/>
  <c r="E20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51" i="7"/>
  <c r="C21" i="7"/>
  <c r="A1" i="3" l="1" a="1"/>
  <c r="A1" i="6" a="1"/>
  <c r="A1" i="4" a="1"/>
  <c r="A1" i="5" a="1"/>
  <c r="D52" i="3" l="1"/>
  <c r="D55" i="3"/>
  <c r="D63" i="3"/>
  <c r="D71" i="3"/>
  <c r="D79" i="3"/>
  <c r="D87" i="3"/>
  <c r="D95" i="3"/>
  <c r="D103" i="3"/>
  <c r="D111" i="3"/>
  <c r="D119" i="3"/>
  <c r="D127" i="3"/>
  <c r="D135" i="3"/>
  <c r="D143" i="3"/>
  <c r="D151" i="3"/>
  <c r="D159" i="3"/>
  <c r="D167" i="3"/>
  <c r="D175" i="3"/>
  <c r="D183" i="3"/>
  <c r="D191" i="3"/>
  <c r="D199" i="3"/>
  <c r="D207" i="3"/>
  <c r="D215" i="3"/>
  <c r="D223" i="3"/>
  <c r="D56" i="3"/>
  <c r="D64" i="3"/>
  <c r="D72" i="3"/>
  <c r="D80" i="3"/>
  <c r="D88" i="3"/>
  <c r="D96" i="3"/>
  <c r="D104" i="3"/>
  <c r="D112" i="3"/>
  <c r="D120" i="3"/>
  <c r="D128" i="3"/>
  <c r="D136" i="3"/>
  <c r="D144" i="3"/>
  <c r="D152" i="3"/>
  <c r="D160" i="3"/>
  <c r="D168" i="3"/>
  <c r="D176" i="3"/>
  <c r="D184" i="3"/>
  <c r="D192" i="3"/>
  <c r="D200" i="3"/>
  <c r="D208" i="3"/>
  <c r="D216" i="3"/>
  <c r="D224" i="3"/>
  <c r="D57" i="3"/>
  <c r="D65" i="3"/>
  <c r="D73" i="3"/>
  <c r="D81" i="3"/>
  <c r="D89" i="3"/>
  <c r="D97" i="3"/>
  <c r="D105" i="3"/>
  <c r="D113" i="3"/>
  <c r="D121" i="3"/>
  <c r="D129" i="3"/>
  <c r="D137" i="3"/>
  <c r="D145" i="3"/>
  <c r="D153" i="3"/>
  <c r="D161" i="3"/>
  <c r="D169" i="3"/>
  <c r="D177" i="3"/>
  <c r="D185" i="3"/>
  <c r="D193" i="3"/>
  <c r="D201" i="3"/>
  <c r="D209" i="3"/>
  <c r="D217" i="3"/>
  <c r="D225" i="3"/>
  <c r="D58" i="3"/>
  <c r="D66" i="3"/>
  <c r="D74" i="3"/>
  <c r="D82" i="3"/>
  <c r="D90" i="3"/>
  <c r="D98" i="3"/>
  <c r="D114" i="3"/>
  <c r="D122" i="3"/>
  <c r="D130" i="3"/>
  <c r="D138" i="3"/>
  <c r="D146" i="3"/>
  <c r="D154" i="3"/>
  <c r="D162" i="3"/>
  <c r="D170" i="3"/>
  <c r="D178" i="3"/>
  <c r="D194" i="3"/>
  <c r="D202" i="3"/>
  <c r="D210" i="3"/>
  <c r="D218" i="3"/>
  <c r="D106" i="3"/>
  <c r="D186" i="3"/>
  <c r="D59" i="3"/>
  <c r="D67" i="3"/>
  <c r="D75" i="3"/>
  <c r="D83" i="3"/>
  <c r="D91" i="3"/>
  <c r="D99" i="3"/>
  <c r="D107" i="3"/>
  <c r="D115" i="3"/>
  <c r="D123" i="3"/>
  <c r="D131" i="3"/>
  <c r="D139" i="3"/>
  <c r="D147" i="3"/>
  <c r="D155" i="3"/>
  <c r="D163" i="3"/>
  <c r="D171" i="3"/>
  <c r="D60" i="3"/>
  <c r="D78" i="3"/>
  <c r="D101" i="3"/>
  <c r="D124" i="3"/>
  <c r="D142" i="3"/>
  <c r="D165" i="3"/>
  <c r="D182" i="3"/>
  <c r="D198" i="3"/>
  <c r="D214" i="3"/>
  <c r="D229" i="3"/>
  <c r="D61" i="3"/>
  <c r="D84" i="3"/>
  <c r="D102" i="3"/>
  <c r="D125" i="3"/>
  <c r="D148" i="3"/>
  <c r="D166" i="3"/>
  <c r="D187" i="3"/>
  <c r="D203" i="3"/>
  <c r="D219" i="3"/>
  <c r="D68" i="3"/>
  <c r="D62" i="3"/>
  <c r="D85" i="3"/>
  <c r="D108" i="3"/>
  <c r="D126" i="3"/>
  <c r="D149" i="3"/>
  <c r="D172" i="3"/>
  <c r="D188" i="3"/>
  <c r="D204" i="3"/>
  <c r="D220" i="3"/>
  <c r="D86" i="3"/>
  <c r="D109" i="3"/>
  <c r="D132" i="3"/>
  <c r="D150" i="3"/>
  <c r="D173" i="3"/>
  <c r="D189" i="3"/>
  <c r="D205" i="3"/>
  <c r="D221" i="3"/>
  <c r="D69" i="3"/>
  <c r="D92" i="3"/>
  <c r="D110" i="3"/>
  <c r="D156" i="3"/>
  <c r="D190" i="3"/>
  <c r="D222" i="3"/>
  <c r="D70" i="3"/>
  <c r="D93" i="3"/>
  <c r="D116" i="3"/>
  <c r="D134" i="3"/>
  <c r="D157" i="3"/>
  <c r="D179" i="3"/>
  <c r="D195" i="3"/>
  <c r="D211" i="3"/>
  <c r="D226" i="3"/>
  <c r="D53" i="3"/>
  <c r="D76" i="3"/>
  <c r="D94" i="3"/>
  <c r="D117" i="3"/>
  <c r="D140" i="3"/>
  <c r="D158" i="3"/>
  <c r="D180" i="3"/>
  <c r="D196" i="3"/>
  <c r="D212" i="3"/>
  <c r="D227" i="3"/>
  <c r="D54" i="3"/>
  <c r="D77" i="3"/>
  <c r="D100" i="3"/>
  <c r="D118" i="3"/>
  <c r="D141" i="3"/>
  <c r="D164" i="3"/>
  <c r="D181" i="3"/>
  <c r="D197" i="3"/>
  <c r="D213" i="3"/>
  <c r="D228" i="3"/>
  <c r="D133" i="3"/>
  <c r="D174" i="3"/>
  <c r="D206" i="3"/>
  <c r="D51" i="3"/>
  <c r="C50" i="3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A1" i="3"/>
  <c r="A1" i="5"/>
  <c r="A1" i="4"/>
  <c r="A1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3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  <bk>
      <extLst>
        <ext uri="{3e2802c4-a4d2-4d8b-9148-e3be6c30e623}">
          <xlrd:rvb i="875"/>
        </ext>
      </extLst>
    </bk>
    <bk>
      <extLst>
        <ext uri="{3e2802c4-a4d2-4d8b-9148-e3be6c30e623}">
          <xlrd:rvb i="876"/>
        </ext>
      </extLst>
    </bk>
    <bk>
      <extLst>
        <ext uri="{3e2802c4-a4d2-4d8b-9148-e3be6c30e623}">
          <xlrd:rvb i="877"/>
        </ext>
      </extLst>
    </bk>
    <bk>
      <extLst>
        <ext uri="{3e2802c4-a4d2-4d8b-9148-e3be6c30e623}">
          <xlrd:rvb i="878"/>
        </ext>
      </extLst>
    </bk>
    <bk>
      <extLst>
        <ext uri="{3e2802c4-a4d2-4d8b-9148-e3be6c30e623}">
          <xlrd:rvb i="879"/>
        </ext>
      </extLst>
    </bk>
    <bk>
      <extLst>
        <ext uri="{3e2802c4-a4d2-4d8b-9148-e3be6c30e623}">
          <xlrd:rvb i="880"/>
        </ext>
      </extLst>
    </bk>
    <bk>
      <extLst>
        <ext uri="{3e2802c4-a4d2-4d8b-9148-e3be6c30e623}">
          <xlrd:rvb i="881"/>
        </ext>
      </extLst>
    </bk>
    <bk>
      <extLst>
        <ext uri="{3e2802c4-a4d2-4d8b-9148-e3be6c30e623}">
          <xlrd:rvb i="882"/>
        </ext>
      </extLst>
    </bk>
    <bk>
      <extLst>
        <ext uri="{3e2802c4-a4d2-4d8b-9148-e3be6c30e623}">
          <xlrd:rvb i="883"/>
        </ext>
      </extLst>
    </bk>
    <bk>
      <extLst>
        <ext uri="{3e2802c4-a4d2-4d8b-9148-e3be6c30e623}">
          <xlrd:rvb i="884"/>
        </ext>
      </extLst>
    </bk>
    <bk>
      <extLst>
        <ext uri="{3e2802c4-a4d2-4d8b-9148-e3be6c30e623}">
          <xlrd:rvb i="885"/>
        </ext>
      </extLst>
    </bk>
    <bk>
      <extLst>
        <ext uri="{3e2802c4-a4d2-4d8b-9148-e3be6c30e623}">
          <xlrd:rvb i="886"/>
        </ext>
      </extLst>
    </bk>
    <bk>
      <extLst>
        <ext uri="{3e2802c4-a4d2-4d8b-9148-e3be6c30e623}">
          <xlrd:rvb i="887"/>
        </ext>
      </extLst>
    </bk>
    <bk>
      <extLst>
        <ext uri="{3e2802c4-a4d2-4d8b-9148-e3be6c30e623}">
          <xlrd:rvb i="888"/>
        </ext>
      </extLst>
    </bk>
    <bk>
      <extLst>
        <ext uri="{3e2802c4-a4d2-4d8b-9148-e3be6c30e623}">
          <xlrd:rvb i="889"/>
        </ext>
      </extLst>
    </bk>
    <bk>
      <extLst>
        <ext uri="{3e2802c4-a4d2-4d8b-9148-e3be6c30e623}">
          <xlrd:rvb i="890"/>
        </ext>
      </extLst>
    </bk>
    <bk>
      <extLst>
        <ext uri="{3e2802c4-a4d2-4d8b-9148-e3be6c30e623}">
          <xlrd:rvb i="891"/>
        </ext>
      </extLst>
    </bk>
    <bk>
      <extLst>
        <ext uri="{3e2802c4-a4d2-4d8b-9148-e3be6c30e623}">
          <xlrd:rvb i="892"/>
        </ext>
      </extLst>
    </bk>
    <bk>
      <extLst>
        <ext uri="{3e2802c4-a4d2-4d8b-9148-e3be6c30e623}">
          <xlrd:rvb i="893"/>
        </ext>
      </extLst>
    </bk>
    <bk>
      <extLst>
        <ext uri="{3e2802c4-a4d2-4d8b-9148-e3be6c30e623}">
          <xlrd:rvb i="894"/>
        </ext>
      </extLst>
    </bk>
    <bk>
      <extLst>
        <ext uri="{3e2802c4-a4d2-4d8b-9148-e3be6c30e623}">
          <xlrd:rvb i="895"/>
        </ext>
      </extLst>
    </bk>
    <bk>
      <extLst>
        <ext uri="{3e2802c4-a4d2-4d8b-9148-e3be6c30e623}">
          <xlrd:rvb i="896"/>
        </ext>
      </extLst>
    </bk>
    <bk>
      <extLst>
        <ext uri="{3e2802c4-a4d2-4d8b-9148-e3be6c30e623}">
          <xlrd:rvb i="897"/>
        </ext>
      </extLst>
    </bk>
    <bk>
      <extLst>
        <ext uri="{3e2802c4-a4d2-4d8b-9148-e3be6c30e623}">
          <xlrd:rvb i="898"/>
        </ext>
      </extLst>
    </bk>
    <bk>
      <extLst>
        <ext uri="{3e2802c4-a4d2-4d8b-9148-e3be6c30e623}">
          <xlrd:rvb i="899"/>
        </ext>
      </extLst>
    </bk>
    <bk>
      <extLst>
        <ext uri="{3e2802c4-a4d2-4d8b-9148-e3be6c30e623}">
          <xlrd:rvb i="900"/>
        </ext>
      </extLst>
    </bk>
    <bk>
      <extLst>
        <ext uri="{3e2802c4-a4d2-4d8b-9148-e3be6c30e623}">
          <xlrd:rvb i="901"/>
        </ext>
      </extLst>
    </bk>
    <bk>
      <extLst>
        <ext uri="{3e2802c4-a4d2-4d8b-9148-e3be6c30e623}">
          <xlrd:rvb i="902"/>
        </ext>
      </extLst>
    </bk>
    <bk>
      <extLst>
        <ext uri="{3e2802c4-a4d2-4d8b-9148-e3be6c30e623}">
          <xlrd:rvb i="903"/>
        </ext>
      </extLst>
    </bk>
    <bk>
      <extLst>
        <ext uri="{3e2802c4-a4d2-4d8b-9148-e3be6c30e623}">
          <xlrd:rvb i="904"/>
        </ext>
      </extLst>
    </bk>
    <bk>
      <extLst>
        <ext uri="{3e2802c4-a4d2-4d8b-9148-e3be6c30e623}">
          <xlrd:rvb i="905"/>
        </ext>
      </extLst>
    </bk>
    <bk>
      <extLst>
        <ext uri="{3e2802c4-a4d2-4d8b-9148-e3be6c30e623}">
          <xlrd:rvb i="906"/>
        </ext>
      </extLst>
    </bk>
    <bk>
      <extLst>
        <ext uri="{3e2802c4-a4d2-4d8b-9148-e3be6c30e623}">
          <xlrd:rvb i="907"/>
        </ext>
      </extLst>
    </bk>
    <bk>
      <extLst>
        <ext uri="{3e2802c4-a4d2-4d8b-9148-e3be6c30e623}">
          <xlrd:rvb i="908"/>
        </ext>
      </extLst>
    </bk>
    <bk>
      <extLst>
        <ext uri="{3e2802c4-a4d2-4d8b-9148-e3be6c30e623}">
          <xlrd:rvb i="909"/>
        </ext>
      </extLst>
    </bk>
    <bk>
      <extLst>
        <ext uri="{3e2802c4-a4d2-4d8b-9148-e3be6c30e623}">
          <xlrd:rvb i="910"/>
        </ext>
      </extLst>
    </bk>
    <bk>
      <extLst>
        <ext uri="{3e2802c4-a4d2-4d8b-9148-e3be6c30e623}">
          <xlrd:rvb i="911"/>
        </ext>
      </extLst>
    </bk>
    <bk>
      <extLst>
        <ext uri="{3e2802c4-a4d2-4d8b-9148-e3be6c30e623}">
          <xlrd:rvb i="912"/>
        </ext>
      </extLst>
    </bk>
    <bk>
      <extLst>
        <ext uri="{3e2802c4-a4d2-4d8b-9148-e3be6c30e623}">
          <xlrd:rvb i="913"/>
        </ext>
      </extLst>
    </bk>
    <bk>
      <extLst>
        <ext uri="{3e2802c4-a4d2-4d8b-9148-e3be6c30e623}">
          <xlrd:rvb i="914"/>
        </ext>
      </extLst>
    </bk>
    <bk>
      <extLst>
        <ext uri="{3e2802c4-a4d2-4d8b-9148-e3be6c30e623}">
          <xlrd:rvb i="915"/>
        </ext>
      </extLst>
    </bk>
    <bk>
      <extLst>
        <ext uri="{3e2802c4-a4d2-4d8b-9148-e3be6c30e623}">
          <xlrd:rvb i="916"/>
        </ext>
      </extLst>
    </bk>
    <bk>
      <extLst>
        <ext uri="{3e2802c4-a4d2-4d8b-9148-e3be6c30e623}">
          <xlrd:rvb i="917"/>
        </ext>
      </extLst>
    </bk>
    <bk>
      <extLst>
        <ext uri="{3e2802c4-a4d2-4d8b-9148-e3be6c30e623}">
          <xlrd:rvb i="918"/>
        </ext>
      </extLst>
    </bk>
    <bk>
      <extLst>
        <ext uri="{3e2802c4-a4d2-4d8b-9148-e3be6c30e623}">
          <xlrd:rvb i="919"/>
        </ext>
      </extLst>
    </bk>
    <bk>
      <extLst>
        <ext uri="{3e2802c4-a4d2-4d8b-9148-e3be6c30e623}">
          <xlrd:rvb i="920"/>
        </ext>
      </extLst>
    </bk>
    <bk>
      <extLst>
        <ext uri="{3e2802c4-a4d2-4d8b-9148-e3be6c30e623}">
          <xlrd:rvb i="921"/>
        </ext>
      </extLst>
    </bk>
    <bk>
      <extLst>
        <ext uri="{3e2802c4-a4d2-4d8b-9148-e3be6c30e623}">
          <xlrd:rvb i="922"/>
        </ext>
      </extLst>
    </bk>
    <bk>
      <extLst>
        <ext uri="{3e2802c4-a4d2-4d8b-9148-e3be6c30e623}">
          <xlrd:rvb i="923"/>
        </ext>
      </extLst>
    </bk>
    <bk>
      <extLst>
        <ext uri="{3e2802c4-a4d2-4d8b-9148-e3be6c30e623}">
          <xlrd:rvb i="924"/>
        </ext>
      </extLst>
    </bk>
    <bk>
      <extLst>
        <ext uri="{3e2802c4-a4d2-4d8b-9148-e3be6c30e623}">
          <xlrd:rvb i="925"/>
        </ext>
      </extLst>
    </bk>
    <bk>
      <extLst>
        <ext uri="{3e2802c4-a4d2-4d8b-9148-e3be6c30e623}">
          <xlrd:rvb i="926"/>
        </ext>
      </extLst>
    </bk>
    <bk>
      <extLst>
        <ext uri="{3e2802c4-a4d2-4d8b-9148-e3be6c30e623}">
          <xlrd:rvb i="927"/>
        </ext>
      </extLst>
    </bk>
    <bk>
      <extLst>
        <ext uri="{3e2802c4-a4d2-4d8b-9148-e3be6c30e623}">
          <xlrd:rvb i="928"/>
        </ext>
      </extLst>
    </bk>
    <bk>
      <extLst>
        <ext uri="{3e2802c4-a4d2-4d8b-9148-e3be6c30e623}">
          <xlrd:rvb i="929"/>
        </ext>
      </extLst>
    </bk>
    <bk>
      <extLst>
        <ext uri="{3e2802c4-a4d2-4d8b-9148-e3be6c30e623}">
          <xlrd:rvb i="930"/>
        </ext>
      </extLst>
    </bk>
    <bk>
      <extLst>
        <ext uri="{3e2802c4-a4d2-4d8b-9148-e3be6c30e623}">
          <xlrd:rvb i="931"/>
        </ext>
      </extLst>
    </bk>
    <bk>
      <extLst>
        <ext uri="{3e2802c4-a4d2-4d8b-9148-e3be6c30e623}">
          <xlrd:rvb i="932"/>
        </ext>
      </extLst>
    </bk>
    <bk>
      <extLst>
        <ext uri="{3e2802c4-a4d2-4d8b-9148-e3be6c30e623}">
          <xlrd:rvb i="933"/>
        </ext>
      </extLst>
    </bk>
    <bk>
      <extLst>
        <ext uri="{3e2802c4-a4d2-4d8b-9148-e3be6c30e623}">
          <xlrd:rvb i="934"/>
        </ext>
      </extLst>
    </bk>
    <bk>
      <extLst>
        <ext uri="{3e2802c4-a4d2-4d8b-9148-e3be6c30e623}">
          <xlrd:rvb i="935"/>
        </ext>
      </extLst>
    </bk>
    <bk>
      <extLst>
        <ext uri="{3e2802c4-a4d2-4d8b-9148-e3be6c30e623}">
          <xlrd:rvb i="936"/>
        </ext>
      </extLst>
    </bk>
    <bk>
      <extLst>
        <ext uri="{3e2802c4-a4d2-4d8b-9148-e3be6c30e623}">
          <xlrd:rvb i="937"/>
        </ext>
      </extLst>
    </bk>
    <bk>
      <extLst>
        <ext uri="{3e2802c4-a4d2-4d8b-9148-e3be6c30e623}">
          <xlrd:rvb i="938"/>
        </ext>
      </extLst>
    </bk>
    <bk>
      <extLst>
        <ext uri="{3e2802c4-a4d2-4d8b-9148-e3be6c30e623}">
          <xlrd:rvb i="939"/>
        </ext>
      </extLst>
    </bk>
    <bk>
      <extLst>
        <ext uri="{3e2802c4-a4d2-4d8b-9148-e3be6c30e623}">
          <xlrd:rvb i="940"/>
        </ext>
      </extLst>
    </bk>
    <bk>
      <extLst>
        <ext uri="{3e2802c4-a4d2-4d8b-9148-e3be6c30e623}">
          <xlrd:rvb i="941"/>
        </ext>
      </extLst>
    </bk>
    <bk>
      <extLst>
        <ext uri="{3e2802c4-a4d2-4d8b-9148-e3be6c30e623}">
          <xlrd:rvb i="942"/>
        </ext>
      </extLst>
    </bk>
    <bk>
      <extLst>
        <ext uri="{3e2802c4-a4d2-4d8b-9148-e3be6c30e623}">
          <xlrd:rvb i="943"/>
        </ext>
      </extLst>
    </bk>
    <bk>
      <extLst>
        <ext uri="{3e2802c4-a4d2-4d8b-9148-e3be6c30e623}">
          <xlrd:rvb i="944"/>
        </ext>
      </extLst>
    </bk>
    <bk>
      <extLst>
        <ext uri="{3e2802c4-a4d2-4d8b-9148-e3be6c30e623}">
          <xlrd:rvb i="945"/>
        </ext>
      </extLst>
    </bk>
    <bk>
      <extLst>
        <ext uri="{3e2802c4-a4d2-4d8b-9148-e3be6c30e623}">
          <xlrd:rvb i="946"/>
        </ext>
      </extLst>
    </bk>
    <bk>
      <extLst>
        <ext uri="{3e2802c4-a4d2-4d8b-9148-e3be6c30e623}">
          <xlrd:rvb i="947"/>
        </ext>
      </extLst>
    </bk>
    <bk>
      <extLst>
        <ext uri="{3e2802c4-a4d2-4d8b-9148-e3be6c30e623}">
          <xlrd:rvb i="948"/>
        </ext>
      </extLst>
    </bk>
    <bk>
      <extLst>
        <ext uri="{3e2802c4-a4d2-4d8b-9148-e3be6c30e623}">
          <xlrd:rvb i="949"/>
        </ext>
      </extLst>
    </bk>
    <bk>
      <extLst>
        <ext uri="{3e2802c4-a4d2-4d8b-9148-e3be6c30e623}">
          <xlrd:rvb i="950"/>
        </ext>
      </extLst>
    </bk>
    <bk>
      <extLst>
        <ext uri="{3e2802c4-a4d2-4d8b-9148-e3be6c30e623}">
          <xlrd:rvb i="951"/>
        </ext>
      </extLst>
    </bk>
    <bk>
      <extLst>
        <ext uri="{3e2802c4-a4d2-4d8b-9148-e3be6c30e623}">
          <xlrd:rvb i="952"/>
        </ext>
      </extLst>
    </bk>
    <bk>
      <extLst>
        <ext uri="{3e2802c4-a4d2-4d8b-9148-e3be6c30e623}">
          <xlrd:rvb i="953"/>
        </ext>
      </extLst>
    </bk>
    <bk>
      <extLst>
        <ext uri="{3e2802c4-a4d2-4d8b-9148-e3be6c30e623}">
          <xlrd:rvb i="954"/>
        </ext>
      </extLst>
    </bk>
    <bk>
      <extLst>
        <ext uri="{3e2802c4-a4d2-4d8b-9148-e3be6c30e623}">
          <xlrd:rvb i="955"/>
        </ext>
      </extLst>
    </bk>
    <bk>
      <extLst>
        <ext uri="{3e2802c4-a4d2-4d8b-9148-e3be6c30e623}">
          <xlrd:rvb i="956"/>
        </ext>
      </extLst>
    </bk>
    <bk>
      <extLst>
        <ext uri="{3e2802c4-a4d2-4d8b-9148-e3be6c30e623}">
          <xlrd:rvb i="957"/>
        </ext>
      </extLst>
    </bk>
    <bk>
      <extLst>
        <ext uri="{3e2802c4-a4d2-4d8b-9148-e3be6c30e623}">
          <xlrd:rvb i="958"/>
        </ext>
      </extLst>
    </bk>
    <bk>
      <extLst>
        <ext uri="{3e2802c4-a4d2-4d8b-9148-e3be6c30e623}">
          <xlrd:rvb i="959"/>
        </ext>
      </extLst>
    </bk>
    <bk>
      <extLst>
        <ext uri="{3e2802c4-a4d2-4d8b-9148-e3be6c30e623}">
          <xlrd:rvb i="960"/>
        </ext>
      </extLst>
    </bk>
    <bk>
      <extLst>
        <ext uri="{3e2802c4-a4d2-4d8b-9148-e3be6c30e623}">
          <xlrd:rvb i="961"/>
        </ext>
      </extLst>
    </bk>
    <bk>
      <extLst>
        <ext uri="{3e2802c4-a4d2-4d8b-9148-e3be6c30e623}">
          <xlrd:rvb i="962"/>
        </ext>
      </extLst>
    </bk>
    <bk>
      <extLst>
        <ext uri="{3e2802c4-a4d2-4d8b-9148-e3be6c30e623}">
          <xlrd:rvb i="963"/>
        </ext>
      </extLst>
    </bk>
    <bk>
      <extLst>
        <ext uri="{3e2802c4-a4d2-4d8b-9148-e3be6c30e623}">
          <xlrd:rvb i="964"/>
        </ext>
      </extLst>
    </bk>
    <bk>
      <extLst>
        <ext uri="{3e2802c4-a4d2-4d8b-9148-e3be6c30e623}">
          <xlrd:rvb i="965"/>
        </ext>
      </extLst>
    </bk>
    <bk>
      <extLst>
        <ext uri="{3e2802c4-a4d2-4d8b-9148-e3be6c30e623}">
          <xlrd:rvb i="966"/>
        </ext>
      </extLst>
    </bk>
    <bk>
      <extLst>
        <ext uri="{3e2802c4-a4d2-4d8b-9148-e3be6c30e623}">
          <xlrd:rvb i="967"/>
        </ext>
      </extLst>
    </bk>
    <bk>
      <extLst>
        <ext uri="{3e2802c4-a4d2-4d8b-9148-e3be6c30e623}">
          <xlrd:rvb i="968"/>
        </ext>
      </extLst>
    </bk>
    <bk>
      <extLst>
        <ext uri="{3e2802c4-a4d2-4d8b-9148-e3be6c30e623}">
          <xlrd:rvb i="969"/>
        </ext>
      </extLst>
    </bk>
    <bk>
      <extLst>
        <ext uri="{3e2802c4-a4d2-4d8b-9148-e3be6c30e623}">
          <xlrd:rvb i="970"/>
        </ext>
      </extLst>
    </bk>
    <bk>
      <extLst>
        <ext uri="{3e2802c4-a4d2-4d8b-9148-e3be6c30e623}">
          <xlrd:rvb i="971"/>
        </ext>
      </extLst>
    </bk>
    <bk>
      <extLst>
        <ext uri="{3e2802c4-a4d2-4d8b-9148-e3be6c30e623}">
          <xlrd:rvb i="972"/>
        </ext>
      </extLst>
    </bk>
    <bk>
      <extLst>
        <ext uri="{3e2802c4-a4d2-4d8b-9148-e3be6c30e623}">
          <xlrd:rvb i="973"/>
        </ext>
      </extLst>
    </bk>
    <bk>
      <extLst>
        <ext uri="{3e2802c4-a4d2-4d8b-9148-e3be6c30e623}">
          <xlrd:rvb i="974"/>
        </ext>
      </extLst>
    </bk>
    <bk>
      <extLst>
        <ext uri="{3e2802c4-a4d2-4d8b-9148-e3be6c30e623}">
          <xlrd:rvb i="975"/>
        </ext>
      </extLst>
    </bk>
    <bk>
      <extLst>
        <ext uri="{3e2802c4-a4d2-4d8b-9148-e3be6c30e623}">
          <xlrd:rvb i="976"/>
        </ext>
      </extLst>
    </bk>
    <bk>
      <extLst>
        <ext uri="{3e2802c4-a4d2-4d8b-9148-e3be6c30e623}">
          <xlrd:rvb i="977"/>
        </ext>
      </extLst>
    </bk>
    <bk>
      <extLst>
        <ext uri="{3e2802c4-a4d2-4d8b-9148-e3be6c30e623}">
          <xlrd:rvb i="978"/>
        </ext>
      </extLst>
    </bk>
    <bk>
      <extLst>
        <ext uri="{3e2802c4-a4d2-4d8b-9148-e3be6c30e623}">
          <xlrd:rvb i="979"/>
        </ext>
      </extLst>
    </bk>
    <bk>
      <extLst>
        <ext uri="{3e2802c4-a4d2-4d8b-9148-e3be6c30e623}">
          <xlrd:rvb i="980"/>
        </ext>
      </extLst>
    </bk>
    <bk>
      <extLst>
        <ext uri="{3e2802c4-a4d2-4d8b-9148-e3be6c30e623}">
          <xlrd:rvb i="981"/>
        </ext>
      </extLst>
    </bk>
    <bk>
      <extLst>
        <ext uri="{3e2802c4-a4d2-4d8b-9148-e3be6c30e623}">
          <xlrd:rvb i="982"/>
        </ext>
      </extLst>
    </bk>
    <bk>
      <extLst>
        <ext uri="{3e2802c4-a4d2-4d8b-9148-e3be6c30e623}">
          <xlrd:rvb i="983"/>
        </ext>
      </extLst>
    </bk>
    <bk>
      <extLst>
        <ext uri="{3e2802c4-a4d2-4d8b-9148-e3be6c30e623}">
          <xlrd:rvb i="984"/>
        </ext>
      </extLst>
    </bk>
    <bk>
      <extLst>
        <ext uri="{3e2802c4-a4d2-4d8b-9148-e3be6c30e623}">
          <xlrd:rvb i="985"/>
        </ext>
      </extLst>
    </bk>
    <bk>
      <extLst>
        <ext uri="{3e2802c4-a4d2-4d8b-9148-e3be6c30e623}">
          <xlrd:rvb i="986"/>
        </ext>
      </extLst>
    </bk>
    <bk>
      <extLst>
        <ext uri="{3e2802c4-a4d2-4d8b-9148-e3be6c30e623}">
          <xlrd:rvb i="987"/>
        </ext>
      </extLst>
    </bk>
    <bk>
      <extLst>
        <ext uri="{3e2802c4-a4d2-4d8b-9148-e3be6c30e623}">
          <xlrd:rvb i="988"/>
        </ext>
      </extLst>
    </bk>
    <bk>
      <extLst>
        <ext uri="{3e2802c4-a4d2-4d8b-9148-e3be6c30e623}">
          <xlrd:rvb i="989"/>
        </ext>
      </extLst>
    </bk>
    <bk>
      <extLst>
        <ext uri="{3e2802c4-a4d2-4d8b-9148-e3be6c30e623}">
          <xlrd:rvb i="990"/>
        </ext>
      </extLst>
    </bk>
    <bk>
      <extLst>
        <ext uri="{3e2802c4-a4d2-4d8b-9148-e3be6c30e623}">
          <xlrd:rvb i="991"/>
        </ext>
      </extLst>
    </bk>
    <bk>
      <extLst>
        <ext uri="{3e2802c4-a4d2-4d8b-9148-e3be6c30e623}">
          <xlrd:rvb i="992"/>
        </ext>
      </extLst>
    </bk>
    <bk>
      <extLst>
        <ext uri="{3e2802c4-a4d2-4d8b-9148-e3be6c30e623}">
          <xlrd:rvb i="993"/>
        </ext>
      </extLst>
    </bk>
    <bk>
      <extLst>
        <ext uri="{3e2802c4-a4d2-4d8b-9148-e3be6c30e623}">
          <xlrd:rvb i="994"/>
        </ext>
      </extLst>
    </bk>
    <bk>
      <extLst>
        <ext uri="{3e2802c4-a4d2-4d8b-9148-e3be6c30e623}">
          <xlrd:rvb i="995"/>
        </ext>
      </extLst>
    </bk>
    <bk>
      <extLst>
        <ext uri="{3e2802c4-a4d2-4d8b-9148-e3be6c30e623}">
          <xlrd:rvb i="996"/>
        </ext>
      </extLst>
    </bk>
    <bk>
      <extLst>
        <ext uri="{3e2802c4-a4d2-4d8b-9148-e3be6c30e623}">
          <xlrd:rvb i="997"/>
        </ext>
      </extLst>
    </bk>
    <bk>
      <extLst>
        <ext uri="{3e2802c4-a4d2-4d8b-9148-e3be6c30e623}">
          <xlrd:rvb i="998"/>
        </ext>
      </extLst>
    </bk>
    <bk>
      <extLst>
        <ext uri="{3e2802c4-a4d2-4d8b-9148-e3be6c30e623}">
          <xlrd:rvb i="999"/>
        </ext>
      </extLst>
    </bk>
    <bk>
      <extLst>
        <ext uri="{3e2802c4-a4d2-4d8b-9148-e3be6c30e623}">
          <xlrd:rvb i="1000"/>
        </ext>
      </extLst>
    </bk>
    <bk>
      <extLst>
        <ext uri="{3e2802c4-a4d2-4d8b-9148-e3be6c30e623}">
          <xlrd:rvb i="1001"/>
        </ext>
      </extLst>
    </bk>
    <bk>
      <extLst>
        <ext uri="{3e2802c4-a4d2-4d8b-9148-e3be6c30e623}">
          <xlrd:rvb i="1002"/>
        </ext>
      </extLst>
    </bk>
    <bk>
      <extLst>
        <ext uri="{3e2802c4-a4d2-4d8b-9148-e3be6c30e623}">
          <xlrd:rvb i="1003"/>
        </ext>
      </extLst>
    </bk>
    <bk>
      <extLst>
        <ext uri="{3e2802c4-a4d2-4d8b-9148-e3be6c30e623}">
          <xlrd:rvb i="1004"/>
        </ext>
      </extLst>
    </bk>
    <bk>
      <extLst>
        <ext uri="{3e2802c4-a4d2-4d8b-9148-e3be6c30e623}">
          <xlrd:rvb i="1005"/>
        </ext>
      </extLst>
    </bk>
    <bk>
      <extLst>
        <ext uri="{3e2802c4-a4d2-4d8b-9148-e3be6c30e623}">
          <xlrd:rvb i="1006"/>
        </ext>
      </extLst>
    </bk>
    <bk>
      <extLst>
        <ext uri="{3e2802c4-a4d2-4d8b-9148-e3be6c30e623}">
          <xlrd:rvb i="1007"/>
        </ext>
      </extLst>
    </bk>
    <bk>
      <extLst>
        <ext uri="{3e2802c4-a4d2-4d8b-9148-e3be6c30e623}">
          <xlrd:rvb i="1008"/>
        </ext>
      </extLst>
    </bk>
    <bk>
      <extLst>
        <ext uri="{3e2802c4-a4d2-4d8b-9148-e3be6c30e623}">
          <xlrd:rvb i="1009"/>
        </ext>
      </extLst>
    </bk>
    <bk>
      <extLst>
        <ext uri="{3e2802c4-a4d2-4d8b-9148-e3be6c30e623}">
          <xlrd:rvb i="1010"/>
        </ext>
      </extLst>
    </bk>
    <bk>
      <extLst>
        <ext uri="{3e2802c4-a4d2-4d8b-9148-e3be6c30e623}">
          <xlrd:rvb i="1011"/>
        </ext>
      </extLst>
    </bk>
    <bk>
      <extLst>
        <ext uri="{3e2802c4-a4d2-4d8b-9148-e3be6c30e623}">
          <xlrd:rvb i="1012"/>
        </ext>
      </extLst>
    </bk>
    <bk>
      <extLst>
        <ext uri="{3e2802c4-a4d2-4d8b-9148-e3be6c30e623}">
          <xlrd:rvb i="1013"/>
        </ext>
      </extLst>
    </bk>
    <bk>
      <extLst>
        <ext uri="{3e2802c4-a4d2-4d8b-9148-e3be6c30e623}">
          <xlrd:rvb i="1014"/>
        </ext>
      </extLst>
    </bk>
    <bk>
      <extLst>
        <ext uri="{3e2802c4-a4d2-4d8b-9148-e3be6c30e623}">
          <xlrd:rvb i="1015"/>
        </ext>
      </extLst>
    </bk>
    <bk>
      <extLst>
        <ext uri="{3e2802c4-a4d2-4d8b-9148-e3be6c30e623}">
          <xlrd:rvb i="1016"/>
        </ext>
      </extLst>
    </bk>
    <bk>
      <extLst>
        <ext uri="{3e2802c4-a4d2-4d8b-9148-e3be6c30e623}">
          <xlrd:rvb i="1017"/>
        </ext>
      </extLst>
    </bk>
    <bk>
      <extLst>
        <ext uri="{3e2802c4-a4d2-4d8b-9148-e3be6c30e623}">
          <xlrd:rvb i="1018"/>
        </ext>
      </extLst>
    </bk>
    <bk>
      <extLst>
        <ext uri="{3e2802c4-a4d2-4d8b-9148-e3be6c30e623}">
          <xlrd:rvb i="1019"/>
        </ext>
      </extLst>
    </bk>
    <bk>
      <extLst>
        <ext uri="{3e2802c4-a4d2-4d8b-9148-e3be6c30e623}">
          <xlrd:rvb i="1020"/>
        </ext>
      </extLst>
    </bk>
    <bk>
      <extLst>
        <ext uri="{3e2802c4-a4d2-4d8b-9148-e3be6c30e623}">
          <xlrd:rvb i="1021"/>
        </ext>
      </extLst>
    </bk>
    <bk>
      <extLst>
        <ext uri="{3e2802c4-a4d2-4d8b-9148-e3be6c30e623}">
          <xlrd:rvb i="1022"/>
        </ext>
      </extLst>
    </bk>
    <bk>
      <extLst>
        <ext uri="{3e2802c4-a4d2-4d8b-9148-e3be6c30e623}">
          <xlrd:rvb i="1023"/>
        </ext>
      </extLst>
    </bk>
    <bk>
      <extLst>
        <ext uri="{3e2802c4-a4d2-4d8b-9148-e3be6c30e623}">
          <xlrd:rvb i="1024"/>
        </ext>
      </extLst>
    </bk>
    <bk>
      <extLst>
        <ext uri="{3e2802c4-a4d2-4d8b-9148-e3be6c30e623}">
          <xlrd:rvb i="1025"/>
        </ext>
      </extLst>
    </bk>
    <bk>
      <extLst>
        <ext uri="{3e2802c4-a4d2-4d8b-9148-e3be6c30e623}">
          <xlrd:rvb i="1026"/>
        </ext>
      </extLst>
    </bk>
    <bk>
      <extLst>
        <ext uri="{3e2802c4-a4d2-4d8b-9148-e3be6c30e623}">
          <xlrd:rvb i="1027"/>
        </ext>
      </extLst>
    </bk>
    <bk>
      <extLst>
        <ext uri="{3e2802c4-a4d2-4d8b-9148-e3be6c30e623}">
          <xlrd:rvb i="1028"/>
        </ext>
      </extLst>
    </bk>
    <bk>
      <extLst>
        <ext uri="{3e2802c4-a4d2-4d8b-9148-e3be6c30e623}">
          <xlrd:rvb i="1029"/>
        </ext>
      </extLst>
    </bk>
    <bk>
      <extLst>
        <ext uri="{3e2802c4-a4d2-4d8b-9148-e3be6c30e623}">
          <xlrd:rvb i="1030"/>
        </ext>
      </extLst>
    </bk>
    <bk>
      <extLst>
        <ext uri="{3e2802c4-a4d2-4d8b-9148-e3be6c30e623}">
          <xlrd:rvb i="1031"/>
        </ext>
      </extLst>
    </bk>
    <bk>
      <extLst>
        <ext uri="{3e2802c4-a4d2-4d8b-9148-e3be6c30e623}">
          <xlrd:rvb i="1032"/>
        </ext>
      </extLst>
    </bk>
    <bk>
      <extLst>
        <ext uri="{3e2802c4-a4d2-4d8b-9148-e3be6c30e623}">
          <xlrd:rvb i="1033"/>
        </ext>
      </extLst>
    </bk>
    <bk>
      <extLst>
        <ext uri="{3e2802c4-a4d2-4d8b-9148-e3be6c30e623}">
          <xlrd:rvb i="1034"/>
        </ext>
      </extLst>
    </bk>
    <bk>
      <extLst>
        <ext uri="{3e2802c4-a4d2-4d8b-9148-e3be6c30e623}">
          <xlrd:rvb i="1035"/>
        </ext>
      </extLst>
    </bk>
    <bk>
      <extLst>
        <ext uri="{3e2802c4-a4d2-4d8b-9148-e3be6c30e623}">
          <xlrd:rvb i="1036"/>
        </ext>
      </extLst>
    </bk>
    <bk>
      <extLst>
        <ext uri="{3e2802c4-a4d2-4d8b-9148-e3be6c30e623}">
          <xlrd:rvb i="1037"/>
        </ext>
      </extLst>
    </bk>
    <bk>
      <extLst>
        <ext uri="{3e2802c4-a4d2-4d8b-9148-e3be6c30e623}">
          <xlrd:rvb i="1038"/>
        </ext>
      </extLst>
    </bk>
    <bk>
      <extLst>
        <ext uri="{3e2802c4-a4d2-4d8b-9148-e3be6c30e623}">
          <xlrd:rvb i="1039"/>
        </ext>
      </extLst>
    </bk>
    <bk>
      <extLst>
        <ext uri="{3e2802c4-a4d2-4d8b-9148-e3be6c30e623}">
          <xlrd:rvb i="1040"/>
        </ext>
      </extLst>
    </bk>
    <bk>
      <extLst>
        <ext uri="{3e2802c4-a4d2-4d8b-9148-e3be6c30e623}">
          <xlrd:rvb i="1041"/>
        </ext>
      </extLst>
    </bk>
    <bk>
      <extLst>
        <ext uri="{3e2802c4-a4d2-4d8b-9148-e3be6c30e623}">
          <xlrd:rvb i="1042"/>
        </ext>
      </extLst>
    </bk>
    <bk>
      <extLst>
        <ext uri="{3e2802c4-a4d2-4d8b-9148-e3be6c30e623}">
          <xlrd:rvb i="1043"/>
        </ext>
      </extLst>
    </bk>
    <bk>
      <extLst>
        <ext uri="{3e2802c4-a4d2-4d8b-9148-e3be6c30e623}">
          <xlrd:rvb i="1044"/>
        </ext>
      </extLst>
    </bk>
    <bk>
      <extLst>
        <ext uri="{3e2802c4-a4d2-4d8b-9148-e3be6c30e623}">
          <xlrd:rvb i="1045"/>
        </ext>
      </extLst>
    </bk>
    <bk>
      <extLst>
        <ext uri="{3e2802c4-a4d2-4d8b-9148-e3be6c30e623}">
          <xlrd:rvb i="1046"/>
        </ext>
      </extLst>
    </bk>
    <bk>
      <extLst>
        <ext uri="{3e2802c4-a4d2-4d8b-9148-e3be6c30e623}">
          <xlrd:rvb i="1047"/>
        </ext>
      </extLst>
    </bk>
    <bk>
      <extLst>
        <ext uri="{3e2802c4-a4d2-4d8b-9148-e3be6c30e623}">
          <xlrd:rvb i="1048"/>
        </ext>
      </extLst>
    </bk>
    <bk>
      <extLst>
        <ext uri="{3e2802c4-a4d2-4d8b-9148-e3be6c30e623}">
          <xlrd:rvb i="1049"/>
        </ext>
      </extLst>
    </bk>
    <bk>
      <extLst>
        <ext uri="{3e2802c4-a4d2-4d8b-9148-e3be6c30e623}">
          <xlrd:rvb i="1050"/>
        </ext>
      </extLst>
    </bk>
    <bk>
      <extLst>
        <ext uri="{3e2802c4-a4d2-4d8b-9148-e3be6c30e623}">
          <xlrd:rvb i="1051"/>
        </ext>
      </extLst>
    </bk>
    <bk>
      <extLst>
        <ext uri="{3e2802c4-a4d2-4d8b-9148-e3be6c30e623}">
          <xlrd:rvb i="1052"/>
        </ext>
      </extLst>
    </bk>
    <bk>
      <extLst>
        <ext uri="{3e2802c4-a4d2-4d8b-9148-e3be6c30e623}">
          <xlrd:rvb i="1053"/>
        </ext>
      </extLst>
    </bk>
    <bk>
      <extLst>
        <ext uri="{3e2802c4-a4d2-4d8b-9148-e3be6c30e623}">
          <xlrd:rvb i="1054"/>
        </ext>
      </extLst>
    </bk>
    <bk>
      <extLst>
        <ext uri="{3e2802c4-a4d2-4d8b-9148-e3be6c30e623}">
          <xlrd:rvb i="1055"/>
        </ext>
      </extLst>
    </bk>
    <bk>
      <extLst>
        <ext uri="{3e2802c4-a4d2-4d8b-9148-e3be6c30e623}">
          <xlrd:rvb i="1056"/>
        </ext>
      </extLst>
    </bk>
    <bk>
      <extLst>
        <ext uri="{3e2802c4-a4d2-4d8b-9148-e3be6c30e623}">
          <xlrd:rvb i="1057"/>
        </ext>
      </extLst>
    </bk>
    <bk>
      <extLst>
        <ext uri="{3e2802c4-a4d2-4d8b-9148-e3be6c30e623}">
          <xlrd:rvb i="1058"/>
        </ext>
      </extLst>
    </bk>
    <bk>
      <extLst>
        <ext uri="{3e2802c4-a4d2-4d8b-9148-e3be6c30e623}">
          <xlrd:rvb i="1059"/>
        </ext>
      </extLst>
    </bk>
    <bk>
      <extLst>
        <ext uri="{3e2802c4-a4d2-4d8b-9148-e3be6c30e623}">
          <xlrd:rvb i="1060"/>
        </ext>
      </extLst>
    </bk>
    <bk>
      <extLst>
        <ext uri="{3e2802c4-a4d2-4d8b-9148-e3be6c30e623}">
          <xlrd:rvb i="1061"/>
        </ext>
      </extLst>
    </bk>
    <bk>
      <extLst>
        <ext uri="{3e2802c4-a4d2-4d8b-9148-e3be6c30e623}">
          <xlrd:rvb i="1062"/>
        </ext>
      </extLst>
    </bk>
    <bk>
      <extLst>
        <ext uri="{3e2802c4-a4d2-4d8b-9148-e3be6c30e623}">
          <xlrd:rvb i="1063"/>
        </ext>
      </extLst>
    </bk>
    <bk>
      <extLst>
        <ext uri="{3e2802c4-a4d2-4d8b-9148-e3be6c30e623}">
          <xlrd:rvb i="1064"/>
        </ext>
      </extLst>
    </bk>
    <bk>
      <extLst>
        <ext uri="{3e2802c4-a4d2-4d8b-9148-e3be6c30e623}">
          <xlrd:rvb i="1065"/>
        </ext>
      </extLst>
    </bk>
    <bk>
      <extLst>
        <ext uri="{3e2802c4-a4d2-4d8b-9148-e3be6c30e623}">
          <xlrd:rvb i="1066"/>
        </ext>
      </extLst>
    </bk>
    <bk>
      <extLst>
        <ext uri="{3e2802c4-a4d2-4d8b-9148-e3be6c30e623}">
          <xlrd:rvb i="1067"/>
        </ext>
      </extLst>
    </bk>
    <bk>
      <extLst>
        <ext uri="{3e2802c4-a4d2-4d8b-9148-e3be6c30e623}">
          <xlrd:rvb i="1068"/>
        </ext>
      </extLst>
    </bk>
    <bk>
      <extLst>
        <ext uri="{3e2802c4-a4d2-4d8b-9148-e3be6c30e623}">
          <xlrd:rvb i="1069"/>
        </ext>
      </extLst>
    </bk>
    <bk>
      <extLst>
        <ext uri="{3e2802c4-a4d2-4d8b-9148-e3be6c30e623}">
          <xlrd:rvb i="1070"/>
        </ext>
      </extLst>
    </bk>
    <bk>
      <extLst>
        <ext uri="{3e2802c4-a4d2-4d8b-9148-e3be6c30e623}">
          <xlrd:rvb i="1071"/>
        </ext>
      </extLst>
    </bk>
    <bk>
      <extLst>
        <ext uri="{3e2802c4-a4d2-4d8b-9148-e3be6c30e623}">
          <xlrd:rvb i="1072"/>
        </ext>
      </extLst>
    </bk>
    <bk>
      <extLst>
        <ext uri="{3e2802c4-a4d2-4d8b-9148-e3be6c30e623}">
          <xlrd:rvb i="1073"/>
        </ext>
      </extLst>
    </bk>
    <bk>
      <extLst>
        <ext uri="{3e2802c4-a4d2-4d8b-9148-e3be6c30e623}">
          <xlrd:rvb i="1074"/>
        </ext>
      </extLst>
    </bk>
    <bk>
      <extLst>
        <ext uri="{3e2802c4-a4d2-4d8b-9148-e3be6c30e623}">
          <xlrd:rvb i="1075"/>
        </ext>
      </extLst>
    </bk>
    <bk>
      <extLst>
        <ext uri="{3e2802c4-a4d2-4d8b-9148-e3be6c30e623}">
          <xlrd:rvb i="1076"/>
        </ext>
      </extLst>
    </bk>
    <bk>
      <extLst>
        <ext uri="{3e2802c4-a4d2-4d8b-9148-e3be6c30e623}">
          <xlrd:rvb i="1077"/>
        </ext>
      </extLst>
    </bk>
    <bk>
      <extLst>
        <ext uri="{3e2802c4-a4d2-4d8b-9148-e3be6c30e623}">
          <xlrd:rvb i="1078"/>
        </ext>
      </extLst>
    </bk>
    <bk>
      <extLst>
        <ext uri="{3e2802c4-a4d2-4d8b-9148-e3be6c30e623}">
          <xlrd:rvb i="1079"/>
        </ext>
      </extLst>
    </bk>
    <bk>
      <extLst>
        <ext uri="{3e2802c4-a4d2-4d8b-9148-e3be6c30e623}">
          <xlrd:rvb i="1080"/>
        </ext>
      </extLst>
    </bk>
    <bk>
      <extLst>
        <ext uri="{3e2802c4-a4d2-4d8b-9148-e3be6c30e623}">
          <xlrd:rvb i="1081"/>
        </ext>
      </extLst>
    </bk>
    <bk>
      <extLst>
        <ext uri="{3e2802c4-a4d2-4d8b-9148-e3be6c30e623}">
          <xlrd:rvb i="1082"/>
        </ext>
      </extLst>
    </bk>
    <bk>
      <extLst>
        <ext uri="{3e2802c4-a4d2-4d8b-9148-e3be6c30e623}">
          <xlrd:rvb i="1083"/>
        </ext>
      </extLst>
    </bk>
    <bk>
      <extLst>
        <ext uri="{3e2802c4-a4d2-4d8b-9148-e3be6c30e623}">
          <xlrd:rvb i="1084"/>
        </ext>
      </extLst>
    </bk>
    <bk>
      <extLst>
        <ext uri="{3e2802c4-a4d2-4d8b-9148-e3be6c30e623}">
          <xlrd:rvb i="1085"/>
        </ext>
      </extLst>
    </bk>
    <bk>
      <extLst>
        <ext uri="{3e2802c4-a4d2-4d8b-9148-e3be6c30e623}">
          <xlrd:rvb i="1086"/>
        </ext>
      </extLst>
    </bk>
    <bk>
      <extLst>
        <ext uri="{3e2802c4-a4d2-4d8b-9148-e3be6c30e623}">
          <xlrd:rvb i="1087"/>
        </ext>
      </extLst>
    </bk>
    <bk>
      <extLst>
        <ext uri="{3e2802c4-a4d2-4d8b-9148-e3be6c30e623}">
          <xlrd:rvb i="1088"/>
        </ext>
      </extLst>
    </bk>
    <bk>
      <extLst>
        <ext uri="{3e2802c4-a4d2-4d8b-9148-e3be6c30e623}">
          <xlrd:rvb i="1089"/>
        </ext>
      </extLst>
    </bk>
    <bk>
      <extLst>
        <ext uri="{3e2802c4-a4d2-4d8b-9148-e3be6c30e623}">
          <xlrd:rvb i="1090"/>
        </ext>
      </extLst>
    </bk>
    <bk>
      <extLst>
        <ext uri="{3e2802c4-a4d2-4d8b-9148-e3be6c30e623}">
          <xlrd:rvb i="1091"/>
        </ext>
      </extLst>
    </bk>
    <bk>
      <extLst>
        <ext uri="{3e2802c4-a4d2-4d8b-9148-e3be6c30e623}">
          <xlrd:rvb i="1092"/>
        </ext>
      </extLst>
    </bk>
    <bk>
      <extLst>
        <ext uri="{3e2802c4-a4d2-4d8b-9148-e3be6c30e623}">
          <xlrd:rvb i="1093"/>
        </ext>
      </extLst>
    </bk>
    <bk>
      <extLst>
        <ext uri="{3e2802c4-a4d2-4d8b-9148-e3be6c30e623}">
          <xlrd:rvb i="1094"/>
        </ext>
      </extLst>
    </bk>
    <bk>
      <extLst>
        <ext uri="{3e2802c4-a4d2-4d8b-9148-e3be6c30e623}">
          <xlrd:rvb i="1095"/>
        </ext>
      </extLst>
    </bk>
    <bk>
      <extLst>
        <ext uri="{3e2802c4-a4d2-4d8b-9148-e3be6c30e623}">
          <xlrd:rvb i="1096"/>
        </ext>
      </extLst>
    </bk>
    <bk>
      <extLst>
        <ext uri="{3e2802c4-a4d2-4d8b-9148-e3be6c30e623}">
          <xlrd:rvb i="1097"/>
        </ext>
      </extLst>
    </bk>
    <bk>
      <extLst>
        <ext uri="{3e2802c4-a4d2-4d8b-9148-e3be6c30e623}">
          <xlrd:rvb i="1098"/>
        </ext>
      </extLst>
    </bk>
    <bk>
      <extLst>
        <ext uri="{3e2802c4-a4d2-4d8b-9148-e3be6c30e623}">
          <xlrd:rvb i="1099"/>
        </ext>
      </extLst>
    </bk>
    <bk>
      <extLst>
        <ext uri="{3e2802c4-a4d2-4d8b-9148-e3be6c30e623}">
          <xlrd:rvb i="1100"/>
        </ext>
      </extLst>
    </bk>
    <bk>
      <extLst>
        <ext uri="{3e2802c4-a4d2-4d8b-9148-e3be6c30e623}">
          <xlrd:rvb i="1101"/>
        </ext>
      </extLst>
    </bk>
    <bk>
      <extLst>
        <ext uri="{3e2802c4-a4d2-4d8b-9148-e3be6c30e623}">
          <xlrd:rvb i="1102"/>
        </ext>
      </extLst>
    </bk>
    <bk>
      <extLst>
        <ext uri="{3e2802c4-a4d2-4d8b-9148-e3be6c30e623}">
          <xlrd:rvb i="1103"/>
        </ext>
      </extLst>
    </bk>
    <bk>
      <extLst>
        <ext uri="{3e2802c4-a4d2-4d8b-9148-e3be6c30e623}">
          <xlrd:rvb i="1104"/>
        </ext>
      </extLst>
    </bk>
    <bk>
      <extLst>
        <ext uri="{3e2802c4-a4d2-4d8b-9148-e3be6c30e623}">
          <xlrd:rvb i="1105"/>
        </ext>
      </extLst>
    </bk>
    <bk>
      <extLst>
        <ext uri="{3e2802c4-a4d2-4d8b-9148-e3be6c30e623}">
          <xlrd:rvb i="1106"/>
        </ext>
      </extLst>
    </bk>
    <bk>
      <extLst>
        <ext uri="{3e2802c4-a4d2-4d8b-9148-e3be6c30e623}">
          <xlrd:rvb i="1107"/>
        </ext>
      </extLst>
    </bk>
    <bk>
      <extLst>
        <ext uri="{3e2802c4-a4d2-4d8b-9148-e3be6c30e623}">
          <xlrd:rvb i="1108"/>
        </ext>
      </extLst>
    </bk>
    <bk>
      <extLst>
        <ext uri="{3e2802c4-a4d2-4d8b-9148-e3be6c30e623}">
          <xlrd:rvb i="1109"/>
        </ext>
      </extLst>
    </bk>
    <bk>
      <extLst>
        <ext uri="{3e2802c4-a4d2-4d8b-9148-e3be6c30e623}">
          <xlrd:rvb i="1110"/>
        </ext>
      </extLst>
    </bk>
    <bk>
      <extLst>
        <ext uri="{3e2802c4-a4d2-4d8b-9148-e3be6c30e623}">
          <xlrd:rvb i="1111"/>
        </ext>
      </extLst>
    </bk>
    <bk>
      <extLst>
        <ext uri="{3e2802c4-a4d2-4d8b-9148-e3be6c30e623}">
          <xlrd:rvb i="1112"/>
        </ext>
      </extLst>
    </bk>
    <bk>
      <extLst>
        <ext uri="{3e2802c4-a4d2-4d8b-9148-e3be6c30e623}">
          <xlrd:rvb i="1113"/>
        </ext>
      </extLst>
    </bk>
    <bk>
      <extLst>
        <ext uri="{3e2802c4-a4d2-4d8b-9148-e3be6c30e623}">
          <xlrd:rvb i="1114"/>
        </ext>
      </extLst>
    </bk>
    <bk>
      <extLst>
        <ext uri="{3e2802c4-a4d2-4d8b-9148-e3be6c30e623}">
          <xlrd:rvb i="1115"/>
        </ext>
      </extLst>
    </bk>
    <bk>
      <extLst>
        <ext uri="{3e2802c4-a4d2-4d8b-9148-e3be6c30e623}">
          <xlrd:rvb i="1116"/>
        </ext>
      </extLst>
    </bk>
    <bk>
      <extLst>
        <ext uri="{3e2802c4-a4d2-4d8b-9148-e3be6c30e623}">
          <xlrd:rvb i="1117"/>
        </ext>
      </extLst>
    </bk>
    <bk>
      <extLst>
        <ext uri="{3e2802c4-a4d2-4d8b-9148-e3be6c30e623}">
          <xlrd:rvb i="1118"/>
        </ext>
      </extLst>
    </bk>
    <bk>
      <extLst>
        <ext uri="{3e2802c4-a4d2-4d8b-9148-e3be6c30e623}">
          <xlrd:rvb i="1119"/>
        </ext>
      </extLst>
    </bk>
    <bk>
      <extLst>
        <ext uri="{3e2802c4-a4d2-4d8b-9148-e3be6c30e623}">
          <xlrd:rvb i="1120"/>
        </ext>
      </extLst>
    </bk>
    <bk>
      <extLst>
        <ext uri="{3e2802c4-a4d2-4d8b-9148-e3be6c30e623}">
          <xlrd:rvb i="1121"/>
        </ext>
      </extLst>
    </bk>
    <bk>
      <extLst>
        <ext uri="{3e2802c4-a4d2-4d8b-9148-e3be6c30e623}">
          <xlrd:rvb i="1122"/>
        </ext>
      </extLst>
    </bk>
    <bk>
      <extLst>
        <ext uri="{3e2802c4-a4d2-4d8b-9148-e3be6c30e623}">
          <xlrd:rvb i="1123"/>
        </ext>
      </extLst>
    </bk>
    <bk>
      <extLst>
        <ext uri="{3e2802c4-a4d2-4d8b-9148-e3be6c30e623}">
          <xlrd:rvb i="1124"/>
        </ext>
      </extLst>
    </bk>
    <bk>
      <extLst>
        <ext uri="{3e2802c4-a4d2-4d8b-9148-e3be6c30e623}">
          <xlrd:rvb i="1125"/>
        </ext>
      </extLst>
    </bk>
    <bk>
      <extLst>
        <ext uri="{3e2802c4-a4d2-4d8b-9148-e3be6c30e623}">
          <xlrd:rvb i="1126"/>
        </ext>
      </extLst>
    </bk>
    <bk>
      <extLst>
        <ext uri="{3e2802c4-a4d2-4d8b-9148-e3be6c30e623}">
          <xlrd:rvb i="1127"/>
        </ext>
      </extLst>
    </bk>
    <bk>
      <extLst>
        <ext uri="{3e2802c4-a4d2-4d8b-9148-e3be6c30e623}">
          <xlrd:rvb i="1128"/>
        </ext>
      </extLst>
    </bk>
    <bk>
      <extLst>
        <ext uri="{3e2802c4-a4d2-4d8b-9148-e3be6c30e623}">
          <xlrd:rvb i="1129"/>
        </ext>
      </extLst>
    </bk>
    <bk>
      <extLst>
        <ext uri="{3e2802c4-a4d2-4d8b-9148-e3be6c30e623}">
          <xlrd:rvb i="1130"/>
        </ext>
      </extLst>
    </bk>
    <bk>
      <extLst>
        <ext uri="{3e2802c4-a4d2-4d8b-9148-e3be6c30e623}">
          <xlrd:rvb i="1131"/>
        </ext>
      </extLst>
    </bk>
    <bk>
      <extLst>
        <ext uri="{3e2802c4-a4d2-4d8b-9148-e3be6c30e623}">
          <xlrd:rvb i="1132"/>
        </ext>
      </extLst>
    </bk>
    <bk>
      <extLst>
        <ext uri="{3e2802c4-a4d2-4d8b-9148-e3be6c30e623}">
          <xlrd:rvb i="1133"/>
        </ext>
      </extLst>
    </bk>
    <bk>
      <extLst>
        <ext uri="{3e2802c4-a4d2-4d8b-9148-e3be6c30e623}">
          <xlrd:rvb i="1134"/>
        </ext>
      </extLst>
    </bk>
    <bk>
      <extLst>
        <ext uri="{3e2802c4-a4d2-4d8b-9148-e3be6c30e623}">
          <xlrd:rvb i="1135"/>
        </ext>
      </extLst>
    </bk>
    <bk>
      <extLst>
        <ext uri="{3e2802c4-a4d2-4d8b-9148-e3be6c30e623}">
          <xlrd:rvb i="1136"/>
        </ext>
      </extLst>
    </bk>
    <bk>
      <extLst>
        <ext uri="{3e2802c4-a4d2-4d8b-9148-e3be6c30e623}">
          <xlrd:rvb i="1137"/>
        </ext>
      </extLst>
    </bk>
    <bk>
      <extLst>
        <ext uri="{3e2802c4-a4d2-4d8b-9148-e3be6c30e623}">
          <xlrd:rvb i="1138"/>
        </ext>
      </extLst>
    </bk>
    <bk>
      <extLst>
        <ext uri="{3e2802c4-a4d2-4d8b-9148-e3be6c30e623}">
          <xlrd:rvb i="1139"/>
        </ext>
      </extLst>
    </bk>
    <bk>
      <extLst>
        <ext uri="{3e2802c4-a4d2-4d8b-9148-e3be6c30e623}">
          <xlrd:rvb i="1140"/>
        </ext>
      </extLst>
    </bk>
    <bk>
      <extLst>
        <ext uri="{3e2802c4-a4d2-4d8b-9148-e3be6c30e623}">
          <xlrd:rvb i="1141"/>
        </ext>
      </extLst>
    </bk>
    <bk>
      <extLst>
        <ext uri="{3e2802c4-a4d2-4d8b-9148-e3be6c30e623}">
          <xlrd:rvb i="1142"/>
        </ext>
      </extLst>
    </bk>
    <bk>
      <extLst>
        <ext uri="{3e2802c4-a4d2-4d8b-9148-e3be6c30e623}">
          <xlrd:rvb i="1143"/>
        </ext>
      </extLst>
    </bk>
    <bk>
      <extLst>
        <ext uri="{3e2802c4-a4d2-4d8b-9148-e3be6c30e623}">
          <xlrd:rvb i="1144"/>
        </ext>
      </extLst>
    </bk>
    <bk>
      <extLst>
        <ext uri="{3e2802c4-a4d2-4d8b-9148-e3be6c30e623}">
          <xlrd:rvb i="1145"/>
        </ext>
      </extLst>
    </bk>
    <bk>
      <extLst>
        <ext uri="{3e2802c4-a4d2-4d8b-9148-e3be6c30e623}">
          <xlrd:rvb i="1146"/>
        </ext>
      </extLst>
    </bk>
    <bk>
      <extLst>
        <ext uri="{3e2802c4-a4d2-4d8b-9148-e3be6c30e623}">
          <xlrd:rvb i="1147"/>
        </ext>
      </extLst>
    </bk>
    <bk>
      <extLst>
        <ext uri="{3e2802c4-a4d2-4d8b-9148-e3be6c30e623}">
          <xlrd:rvb i="1148"/>
        </ext>
      </extLst>
    </bk>
    <bk>
      <extLst>
        <ext uri="{3e2802c4-a4d2-4d8b-9148-e3be6c30e623}">
          <xlrd:rvb i="1149"/>
        </ext>
      </extLst>
    </bk>
    <bk>
      <extLst>
        <ext uri="{3e2802c4-a4d2-4d8b-9148-e3be6c30e623}">
          <xlrd:rvb i="1150"/>
        </ext>
      </extLst>
    </bk>
    <bk>
      <extLst>
        <ext uri="{3e2802c4-a4d2-4d8b-9148-e3be6c30e623}">
          <xlrd:rvb i="1151"/>
        </ext>
      </extLst>
    </bk>
    <bk>
      <extLst>
        <ext uri="{3e2802c4-a4d2-4d8b-9148-e3be6c30e623}">
          <xlrd:rvb i="1152"/>
        </ext>
      </extLst>
    </bk>
    <bk>
      <extLst>
        <ext uri="{3e2802c4-a4d2-4d8b-9148-e3be6c30e623}">
          <xlrd:rvb i="1153"/>
        </ext>
      </extLst>
    </bk>
    <bk>
      <extLst>
        <ext uri="{3e2802c4-a4d2-4d8b-9148-e3be6c30e623}">
          <xlrd:rvb i="1154"/>
        </ext>
      </extLst>
    </bk>
    <bk>
      <extLst>
        <ext uri="{3e2802c4-a4d2-4d8b-9148-e3be6c30e623}">
          <xlrd:rvb i="1155"/>
        </ext>
      </extLst>
    </bk>
    <bk>
      <extLst>
        <ext uri="{3e2802c4-a4d2-4d8b-9148-e3be6c30e623}">
          <xlrd:rvb i="1156"/>
        </ext>
      </extLst>
    </bk>
    <bk>
      <extLst>
        <ext uri="{3e2802c4-a4d2-4d8b-9148-e3be6c30e623}">
          <xlrd:rvb i="1157"/>
        </ext>
      </extLst>
    </bk>
    <bk>
      <extLst>
        <ext uri="{3e2802c4-a4d2-4d8b-9148-e3be6c30e623}">
          <xlrd:rvb i="1158"/>
        </ext>
      </extLst>
    </bk>
    <bk>
      <extLst>
        <ext uri="{3e2802c4-a4d2-4d8b-9148-e3be6c30e623}">
          <xlrd:rvb i="1159"/>
        </ext>
      </extLst>
    </bk>
    <bk>
      <extLst>
        <ext uri="{3e2802c4-a4d2-4d8b-9148-e3be6c30e623}">
          <xlrd:rvb i="1160"/>
        </ext>
      </extLst>
    </bk>
    <bk>
      <extLst>
        <ext uri="{3e2802c4-a4d2-4d8b-9148-e3be6c30e623}">
          <xlrd:rvb i="1161"/>
        </ext>
      </extLst>
    </bk>
    <bk>
      <extLst>
        <ext uri="{3e2802c4-a4d2-4d8b-9148-e3be6c30e623}">
          <xlrd:rvb i="1162"/>
        </ext>
      </extLst>
    </bk>
    <bk>
      <extLst>
        <ext uri="{3e2802c4-a4d2-4d8b-9148-e3be6c30e623}">
          <xlrd:rvb i="1163"/>
        </ext>
      </extLst>
    </bk>
    <bk>
      <extLst>
        <ext uri="{3e2802c4-a4d2-4d8b-9148-e3be6c30e623}">
          <xlrd:rvb i="1164"/>
        </ext>
      </extLst>
    </bk>
    <bk>
      <extLst>
        <ext uri="{3e2802c4-a4d2-4d8b-9148-e3be6c30e623}">
          <xlrd:rvb i="1165"/>
        </ext>
      </extLst>
    </bk>
    <bk>
      <extLst>
        <ext uri="{3e2802c4-a4d2-4d8b-9148-e3be6c30e623}">
          <xlrd:rvb i="1166"/>
        </ext>
      </extLst>
    </bk>
    <bk>
      <extLst>
        <ext uri="{3e2802c4-a4d2-4d8b-9148-e3be6c30e623}">
          <xlrd:rvb i="1167"/>
        </ext>
      </extLst>
    </bk>
    <bk>
      <extLst>
        <ext uri="{3e2802c4-a4d2-4d8b-9148-e3be6c30e623}">
          <xlrd:rvb i="1168"/>
        </ext>
      </extLst>
    </bk>
    <bk>
      <extLst>
        <ext uri="{3e2802c4-a4d2-4d8b-9148-e3be6c30e623}">
          <xlrd:rvb i="1169"/>
        </ext>
      </extLst>
    </bk>
    <bk>
      <extLst>
        <ext uri="{3e2802c4-a4d2-4d8b-9148-e3be6c30e623}">
          <xlrd:rvb i="1170"/>
        </ext>
      </extLst>
    </bk>
    <bk>
      <extLst>
        <ext uri="{3e2802c4-a4d2-4d8b-9148-e3be6c30e623}">
          <xlrd:rvb i="1171"/>
        </ext>
      </extLst>
    </bk>
    <bk>
      <extLst>
        <ext uri="{3e2802c4-a4d2-4d8b-9148-e3be6c30e623}">
          <xlrd:rvb i="1172"/>
        </ext>
      </extLst>
    </bk>
    <bk>
      <extLst>
        <ext uri="{3e2802c4-a4d2-4d8b-9148-e3be6c30e623}">
          <xlrd:rvb i="1173"/>
        </ext>
      </extLst>
    </bk>
    <bk>
      <extLst>
        <ext uri="{3e2802c4-a4d2-4d8b-9148-e3be6c30e623}">
          <xlrd:rvb i="1174"/>
        </ext>
      </extLst>
    </bk>
    <bk>
      <extLst>
        <ext uri="{3e2802c4-a4d2-4d8b-9148-e3be6c30e623}">
          <xlrd:rvb i="1175"/>
        </ext>
      </extLst>
    </bk>
    <bk>
      <extLst>
        <ext uri="{3e2802c4-a4d2-4d8b-9148-e3be6c30e623}">
          <xlrd:rvb i="1176"/>
        </ext>
      </extLst>
    </bk>
    <bk>
      <extLst>
        <ext uri="{3e2802c4-a4d2-4d8b-9148-e3be6c30e623}">
          <xlrd:rvb i="1177"/>
        </ext>
      </extLst>
    </bk>
    <bk>
      <extLst>
        <ext uri="{3e2802c4-a4d2-4d8b-9148-e3be6c30e623}">
          <xlrd:rvb i="1178"/>
        </ext>
      </extLst>
    </bk>
    <bk>
      <extLst>
        <ext uri="{3e2802c4-a4d2-4d8b-9148-e3be6c30e623}">
          <xlrd:rvb i="1179"/>
        </ext>
      </extLst>
    </bk>
    <bk>
      <extLst>
        <ext uri="{3e2802c4-a4d2-4d8b-9148-e3be6c30e623}">
          <xlrd:rvb i="1180"/>
        </ext>
      </extLst>
    </bk>
    <bk>
      <extLst>
        <ext uri="{3e2802c4-a4d2-4d8b-9148-e3be6c30e623}">
          <xlrd:rvb i="1181"/>
        </ext>
      </extLst>
    </bk>
    <bk>
      <extLst>
        <ext uri="{3e2802c4-a4d2-4d8b-9148-e3be6c30e623}">
          <xlrd:rvb i="1182"/>
        </ext>
      </extLst>
    </bk>
    <bk>
      <extLst>
        <ext uri="{3e2802c4-a4d2-4d8b-9148-e3be6c30e623}">
          <xlrd:rvb i="1183"/>
        </ext>
      </extLst>
    </bk>
    <bk>
      <extLst>
        <ext uri="{3e2802c4-a4d2-4d8b-9148-e3be6c30e623}">
          <xlrd:rvb i="1184"/>
        </ext>
      </extLst>
    </bk>
    <bk>
      <extLst>
        <ext uri="{3e2802c4-a4d2-4d8b-9148-e3be6c30e623}">
          <xlrd:rvb i="1185"/>
        </ext>
      </extLst>
    </bk>
    <bk>
      <extLst>
        <ext uri="{3e2802c4-a4d2-4d8b-9148-e3be6c30e623}">
          <xlrd:rvb i="1186"/>
        </ext>
      </extLst>
    </bk>
    <bk>
      <extLst>
        <ext uri="{3e2802c4-a4d2-4d8b-9148-e3be6c30e623}">
          <xlrd:rvb i="1187"/>
        </ext>
      </extLst>
    </bk>
    <bk>
      <extLst>
        <ext uri="{3e2802c4-a4d2-4d8b-9148-e3be6c30e623}">
          <xlrd:rvb i="1188"/>
        </ext>
      </extLst>
    </bk>
    <bk>
      <extLst>
        <ext uri="{3e2802c4-a4d2-4d8b-9148-e3be6c30e623}">
          <xlrd:rvb i="1189"/>
        </ext>
      </extLst>
    </bk>
    <bk>
      <extLst>
        <ext uri="{3e2802c4-a4d2-4d8b-9148-e3be6c30e623}">
          <xlrd:rvb i="1190"/>
        </ext>
      </extLst>
    </bk>
    <bk>
      <extLst>
        <ext uri="{3e2802c4-a4d2-4d8b-9148-e3be6c30e623}">
          <xlrd:rvb i="1191"/>
        </ext>
      </extLst>
    </bk>
    <bk>
      <extLst>
        <ext uri="{3e2802c4-a4d2-4d8b-9148-e3be6c30e623}">
          <xlrd:rvb i="1192"/>
        </ext>
      </extLst>
    </bk>
    <bk>
      <extLst>
        <ext uri="{3e2802c4-a4d2-4d8b-9148-e3be6c30e623}">
          <xlrd:rvb i="1193"/>
        </ext>
      </extLst>
    </bk>
    <bk>
      <extLst>
        <ext uri="{3e2802c4-a4d2-4d8b-9148-e3be6c30e623}">
          <xlrd:rvb i="1194"/>
        </ext>
      </extLst>
    </bk>
    <bk>
      <extLst>
        <ext uri="{3e2802c4-a4d2-4d8b-9148-e3be6c30e623}">
          <xlrd:rvb i="1195"/>
        </ext>
      </extLst>
    </bk>
    <bk>
      <extLst>
        <ext uri="{3e2802c4-a4d2-4d8b-9148-e3be6c30e623}">
          <xlrd:rvb i="1196"/>
        </ext>
      </extLst>
    </bk>
    <bk>
      <extLst>
        <ext uri="{3e2802c4-a4d2-4d8b-9148-e3be6c30e623}">
          <xlrd:rvb i="1197"/>
        </ext>
      </extLst>
    </bk>
    <bk>
      <extLst>
        <ext uri="{3e2802c4-a4d2-4d8b-9148-e3be6c30e623}">
          <xlrd:rvb i="1198"/>
        </ext>
      </extLst>
    </bk>
    <bk>
      <extLst>
        <ext uri="{3e2802c4-a4d2-4d8b-9148-e3be6c30e623}">
          <xlrd:rvb i="1199"/>
        </ext>
      </extLst>
    </bk>
    <bk>
      <extLst>
        <ext uri="{3e2802c4-a4d2-4d8b-9148-e3be6c30e623}">
          <xlrd:rvb i="1200"/>
        </ext>
      </extLst>
    </bk>
    <bk>
      <extLst>
        <ext uri="{3e2802c4-a4d2-4d8b-9148-e3be6c30e623}">
          <xlrd:rvb i="1201"/>
        </ext>
      </extLst>
    </bk>
    <bk>
      <extLst>
        <ext uri="{3e2802c4-a4d2-4d8b-9148-e3be6c30e623}">
          <xlrd:rvb i="1202"/>
        </ext>
      </extLst>
    </bk>
    <bk>
      <extLst>
        <ext uri="{3e2802c4-a4d2-4d8b-9148-e3be6c30e623}">
          <xlrd:rvb i="1203"/>
        </ext>
      </extLst>
    </bk>
    <bk>
      <extLst>
        <ext uri="{3e2802c4-a4d2-4d8b-9148-e3be6c30e623}">
          <xlrd:rvb i="1204"/>
        </ext>
      </extLst>
    </bk>
    <bk>
      <extLst>
        <ext uri="{3e2802c4-a4d2-4d8b-9148-e3be6c30e623}">
          <xlrd:rvb i="1205"/>
        </ext>
      </extLst>
    </bk>
    <bk>
      <extLst>
        <ext uri="{3e2802c4-a4d2-4d8b-9148-e3be6c30e623}">
          <xlrd:rvb i="1206"/>
        </ext>
      </extLst>
    </bk>
    <bk>
      <extLst>
        <ext uri="{3e2802c4-a4d2-4d8b-9148-e3be6c30e623}">
          <xlrd:rvb i="1207"/>
        </ext>
      </extLst>
    </bk>
    <bk>
      <extLst>
        <ext uri="{3e2802c4-a4d2-4d8b-9148-e3be6c30e623}">
          <xlrd:rvb i="1208"/>
        </ext>
      </extLst>
    </bk>
    <bk>
      <extLst>
        <ext uri="{3e2802c4-a4d2-4d8b-9148-e3be6c30e623}">
          <xlrd:rvb i="1209"/>
        </ext>
      </extLst>
    </bk>
    <bk>
      <extLst>
        <ext uri="{3e2802c4-a4d2-4d8b-9148-e3be6c30e623}">
          <xlrd:rvb i="1210"/>
        </ext>
      </extLst>
    </bk>
    <bk>
      <extLst>
        <ext uri="{3e2802c4-a4d2-4d8b-9148-e3be6c30e623}">
          <xlrd:rvb i="1211"/>
        </ext>
      </extLst>
    </bk>
    <bk>
      <extLst>
        <ext uri="{3e2802c4-a4d2-4d8b-9148-e3be6c30e623}">
          <xlrd:rvb i="1212"/>
        </ext>
      </extLst>
    </bk>
    <bk>
      <extLst>
        <ext uri="{3e2802c4-a4d2-4d8b-9148-e3be6c30e623}">
          <xlrd:rvb i="1213"/>
        </ext>
      </extLst>
    </bk>
    <bk>
      <extLst>
        <ext uri="{3e2802c4-a4d2-4d8b-9148-e3be6c30e623}">
          <xlrd:rvb i="1214"/>
        </ext>
      </extLst>
    </bk>
    <bk>
      <extLst>
        <ext uri="{3e2802c4-a4d2-4d8b-9148-e3be6c30e623}">
          <xlrd:rvb i="1215"/>
        </ext>
      </extLst>
    </bk>
    <bk>
      <extLst>
        <ext uri="{3e2802c4-a4d2-4d8b-9148-e3be6c30e623}">
          <xlrd:rvb i="1216"/>
        </ext>
      </extLst>
    </bk>
    <bk>
      <extLst>
        <ext uri="{3e2802c4-a4d2-4d8b-9148-e3be6c30e623}">
          <xlrd:rvb i="1217"/>
        </ext>
      </extLst>
    </bk>
    <bk>
      <extLst>
        <ext uri="{3e2802c4-a4d2-4d8b-9148-e3be6c30e623}">
          <xlrd:rvb i="1218"/>
        </ext>
      </extLst>
    </bk>
    <bk>
      <extLst>
        <ext uri="{3e2802c4-a4d2-4d8b-9148-e3be6c30e623}">
          <xlrd:rvb i="1219"/>
        </ext>
      </extLst>
    </bk>
    <bk>
      <extLst>
        <ext uri="{3e2802c4-a4d2-4d8b-9148-e3be6c30e623}">
          <xlrd:rvb i="1220"/>
        </ext>
      </extLst>
    </bk>
    <bk>
      <extLst>
        <ext uri="{3e2802c4-a4d2-4d8b-9148-e3be6c30e623}">
          <xlrd:rvb i="1221"/>
        </ext>
      </extLst>
    </bk>
    <bk>
      <extLst>
        <ext uri="{3e2802c4-a4d2-4d8b-9148-e3be6c30e623}">
          <xlrd:rvb i="1222"/>
        </ext>
      </extLst>
    </bk>
    <bk>
      <extLst>
        <ext uri="{3e2802c4-a4d2-4d8b-9148-e3be6c30e623}">
          <xlrd:rvb i="1223"/>
        </ext>
      </extLst>
    </bk>
    <bk>
      <extLst>
        <ext uri="{3e2802c4-a4d2-4d8b-9148-e3be6c30e623}">
          <xlrd:rvb i="1224"/>
        </ext>
      </extLst>
    </bk>
    <bk>
      <extLst>
        <ext uri="{3e2802c4-a4d2-4d8b-9148-e3be6c30e623}">
          <xlrd:rvb i="1225"/>
        </ext>
      </extLst>
    </bk>
    <bk>
      <extLst>
        <ext uri="{3e2802c4-a4d2-4d8b-9148-e3be6c30e623}">
          <xlrd:rvb i="1226"/>
        </ext>
      </extLst>
    </bk>
    <bk>
      <extLst>
        <ext uri="{3e2802c4-a4d2-4d8b-9148-e3be6c30e623}">
          <xlrd:rvb i="1227"/>
        </ext>
      </extLst>
    </bk>
    <bk>
      <extLst>
        <ext uri="{3e2802c4-a4d2-4d8b-9148-e3be6c30e623}">
          <xlrd:rvb i="1228"/>
        </ext>
      </extLst>
    </bk>
    <bk>
      <extLst>
        <ext uri="{3e2802c4-a4d2-4d8b-9148-e3be6c30e623}">
          <xlrd:rvb i="1229"/>
        </ext>
      </extLst>
    </bk>
    <bk>
      <extLst>
        <ext uri="{3e2802c4-a4d2-4d8b-9148-e3be6c30e623}">
          <xlrd:rvb i="1230"/>
        </ext>
      </extLst>
    </bk>
    <bk>
      <extLst>
        <ext uri="{3e2802c4-a4d2-4d8b-9148-e3be6c30e623}">
          <xlrd:rvb i="1231"/>
        </ext>
      </extLst>
    </bk>
    <bk>
      <extLst>
        <ext uri="{3e2802c4-a4d2-4d8b-9148-e3be6c30e623}">
          <xlrd:rvb i="1232"/>
        </ext>
      </extLst>
    </bk>
    <bk>
      <extLst>
        <ext uri="{3e2802c4-a4d2-4d8b-9148-e3be6c30e623}">
          <xlrd:rvb i="1233"/>
        </ext>
      </extLst>
    </bk>
    <bk>
      <extLst>
        <ext uri="{3e2802c4-a4d2-4d8b-9148-e3be6c30e623}">
          <xlrd:rvb i="1234"/>
        </ext>
      </extLst>
    </bk>
    <bk>
      <extLst>
        <ext uri="{3e2802c4-a4d2-4d8b-9148-e3be6c30e623}">
          <xlrd:rvb i="1235"/>
        </ext>
      </extLst>
    </bk>
    <bk>
      <extLst>
        <ext uri="{3e2802c4-a4d2-4d8b-9148-e3be6c30e623}">
          <xlrd:rvb i="1236"/>
        </ext>
      </extLst>
    </bk>
    <bk>
      <extLst>
        <ext uri="{3e2802c4-a4d2-4d8b-9148-e3be6c30e623}">
          <xlrd:rvb i="1237"/>
        </ext>
      </extLst>
    </bk>
  </futureMetadata>
  <cellMetadata count="1">
    <bk>
      <rc t="1" v="0"/>
    </bk>
  </cellMetadata>
  <valueMetadata count="123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  <bk>
      <rc t="2" v="742"/>
    </bk>
    <bk>
      <rc t="2" v="743"/>
    </bk>
    <bk>
      <rc t="2" v="744"/>
    </bk>
    <bk>
      <rc t="2" v="745"/>
    </bk>
    <bk>
      <rc t="2" v="746"/>
    </bk>
    <bk>
      <rc t="2" v="747"/>
    </bk>
    <bk>
      <rc t="2" v="748"/>
    </bk>
    <bk>
      <rc t="2" v="749"/>
    </bk>
    <bk>
      <rc t="2" v="750"/>
    </bk>
    <bk>
      <rc t="2" v="751"/>
    </bk>
    <bk>
      <rc t="2" v="752"/>
    </bk>
    <bk>
      <rc t="2" v="753"/>
    </bk>
    <bk>
      <rc t="2" v="754"/>
    </bk>
    <bk>
      <rc t="2" v="755"/>
    </bk>
    <bk>
      <rc t="2" v="756"/>
    </bk>
    <bk>
      <rc t="2" v="757"/>
    </bk>
    <bk>
      <rc t="2" v="758"/>
    </bk>
    <bk>
      <rc t="2" v="759"/>
    </bk>
    <bk>
      <rc t="2" v="760"/>
    </bk>
    <bk>
      <rc t="2" v="761"/>
    </bk>
    <bk>
      <rc t="2" v="762"/>
    </bk>
    <bk>
      <rc t="2" v="763"/>
    </bk>
    <bk>
      <rc t="2" v="764"/>
    </bk>
    <bk>
      <rc t="2" v="765"/>
    </bk>
    <bk>
      <rc t="2" v="766"/>
    </bk>
    <bk>
      <rc t="2" v="767"/>
    </bk>
    <bk>
      <rc t="2" v="768"/>
    </bk>
    <bk>
      <rc t="2" v="769"/>
    </bk>
    <bk>
      <rc t="2" v="770"/>
    </bk>
    <bk>
      <rc t="2" v="771"/>
    </bk>
    <bk>
      <rc t="2" v="772"/>
    </bk>
    <bk>
      <rc t="2" v="773"/>
    </bk>
    <bk>
      <rc t="2" v="774"/>
    </bk>
    <bk>
      <rc t="2" v="775"/>
    </bk>
    <bk>
      <rc t="2" v="776"/>
    </bk>
    <bk>
      <rc t="2" v="777"/>
    </bk>
    <bk>
      <rc t="2" v="778"/>
    </bk>
    <bk>
      <rc t="2" v="779"/>
    </bk>
    <bk>
      <rc t="2" v="780"/>
    </bk>
    <bk>
      <rc t="2" v="781"/>
    </bk>
    <bk>
      <rc t="2" v="782"/>
    </bk>
    <bk>
      <rc t="2" v="783"/>
    </bk>
    <bk>
      <rc t="2" v="784"/>
    </bk>
    <bk>
      <rc t="2" v="785"/>
    </bk>
    <bk>
      <rc t="2" v="786"/>
    </bk>
    <bk>
      <rc t="2" v="787"/>
    </bk>
    <bk>
      <rc t="2" v="788"/>
    </bk>
    <bk>
      <rc t="2" v="789"/>
    </bk>
    <bk>
      <rc t="2" v="790"/>
    </bk>
    <bk>
      <rc t="2" v="791"/>
    </bk>
    <bk>
      <rc t="2" v="792"/>
    </bk>
    <bk>
      <rc t="2" v="793"/>
    </bk>
    <bk>
      <rc t="2" v="794"/>
    </bk>
    <bk>
      <rc t="2" v="795"/>
    </bk>
    <bk>
      <rc t="2" v="796"/>
    </bk>
    <bk>
      <rc t="2" v="797"/>
    </bk>
    <bk>
      <rc t="2" v="798"/>
    </bk>
    <bk>
      <rc t="2" v="799"/>
    </bk>
    <bk>
      <rc t="2" v="800"/>
    </bk>
    <bk>
      <rc t="2" v="801"/>
    </bk>
    <bk>
      <rc t="2" v="802"/>
    </bk>
    <bk>
      <rc t="2" v="803"/>
    </bk>
    <bk>
      <rc t="2" v="804"/>
    </bk>
    <bk>
      <rc t="2" v="805"/>
    </bk>
    <bk>
      <rc t="2" v="806"/>
    </bk>
    <bk>
      <rc t="2" v="807"/>
    </bk>
    <bk>
      <rc t="2" v="808"/>
    </bk>
    <bk>
      <rc t="2" v="809"/>
    </bk>
    <bk>
      <rc t="2" v="810"/>
    </bk>
    <bk>
      <rc t="2" v="811"/>
    </bk>
    <bk>
      <rc t="2" v="812"/>
    </bk>
    <bk>
      <rc t="2" v="813"/>
    </bk>
    <bk>
      <rc t="2" v="814"/>
    </bk>
    <bk>
      <rc t="2" v="815"/>
    </bk>
    <bk>
      <rc t="2" v="816"/>
    </bk>
    <bk>
      <rc t="2" v="817"/>
    </bk>
    <bk>
      <rc t="2" v="818"/>
    </bk>
    <bk>
      <rc t="2" v="819"/>
    </bk>
    <bk>
      <rc t="2" v="820"/>
    </bk>
    <bk>
      <rc t="2" v="821"/>
    </bk>
    <bk>
      <rc t="2" v="822"/>
    </bk>
    <bk>
      <rc t="2" v="823"/>
    </bk>
    <bk>
      <rc t="2" v="824"/>
    </bk>
    <bk>
      <rc t="2" v="825"/>
    </bk>
    <bk>
      <rc t="2" v="826"/>
    </bk>
    <bk>
      <rc t="2" v="827"/>
    </bk>
    <bk>
      <rc t="2" v="828"/>
    </bk>
    <bk>
      <rc t="2" v="829"/>
    </bk>
    <bk>
      <rc t="2" v="830"/>
    </bk>
    <bk>
      <rc t="2" v="831"/>
    </bk>
    <bk>
      <rc t="2" v="832"/>
    </bk>
    <bk>
      <rc t="2" v="833"/>
    </bk>
    <bk>
      <rc t="2" v="834"/>
    </bk>
    <bk>
      <rc t="2" v="835"/>
    </bk>
    <bk>
      <rc t="2" v="836"/>
    </bk>
    <bk>
      <rc t="2" v="837"/>
    </bk>
    <bk>
      <rc t="2" v="838"/>
    </bk>
    <bk>
      <rc t="2" v="839"/>
    </bk>
    <bk>
      <rc t="2" v="840"/>
    </bk>
    <bk>
      <rc t="2" v="841"/>
    </bk>
    <bk>
      <rc t="2" v="842"/>
    </bk>
    <bk>
      <rc t="2" v="843"/>
    </bk>
    <bk>
      <rc t="2" v="844"/>
    </bk>
    <bk>
      <rc t="2" v="845"/>
    </bk>
    <bk>
      <rc t="2" v="846"/>
    </bk>
    <bk>
      <rc t="2" v="847"/>
    </bk>
    <bk>
      <rc t="2" v="848"/>
    </bk>
    <bk>
      <rc t="2" v="849"/>
    </bk>
    <bk>
      <rc t="2" v="850"/>
    </bk>
    <bk>
      <rc t="2" v="851"/>
    </bk>
    <bk>
      <rc t="2" v="852"/>
    </bk>
    <bk>
      <rc t="2" v="853"/>
    </bk>
    <bk>
      <rc t="2" v="854"/>
    </bk>
    <bk>
      <rc t="2" v="855"/>
    </bk>
    <bk>
      <rc t="2" v="856"/>
    </bk>
    <bk>
      <rc t="2" v="857"/>
    </bk>
    <bk>
      <rc t="2" v="858"/>
    </bk>
    <bk>
      <rc t="2" v="859"/>
    </bk>
    <bk>
      <rc t="2" v="860"/>
    </bk>
    <bk>
      <rc t="2" v="861"/>
    </bk>
    <bk>
      <rc t="2" v="862"/>
    </bk>
    <bk>
      <rc t="2" v="863"/>
    </bk>
    <bk>
      <rc t="2" v="864"/>
    </bk>
    <bk>
      <rc t="2" v="865"/>
    </bk>
    <bk>
      <rc t="2" v="866"/>
    </bk>
    <bk>
      <rc t="2" v="867"/>
    </bk>
    <bk>
      <rc t="2" v="868"/>
    </bk>
    <bk>
      <rc t="2" v="869"/>
    </bk>
    <bk>
      <rc t="2" v="870"/>
    </bk>
    <bk>
      <rc t="2" v="871"/>
    </bk>
    <bk>
      <rc t="2" v="872"/>
    </bk>
    <bk>
      <rc t="2" v="873"/>
    </bk>
    <bk>
      <rc t="2" v="874"/>
    </bk>
    <bk>
      <rc t="2" v="875"/>
    </bk>
    <bk>
      <rc t="2" v="876"/>
    </bk>
    <bk>
      <rc t="2" v="877"/>
    </bk>
    <bk>
      <rc t="2" v="878"/>
    </bk>
    <bk>
      <rc t="2" v="879"/>
    </bk>
    <bk>
      <rc t="2" v="880"/>
    </bk>
    <bk>
      <rc t="2" v="881"/>
    </bk>
    <bk>
      <rc t="2" v="882"/>
    </bk>
    <bk>
      <rc t="2" v="883"/>
    </bk>
    <bk>
      <rc t="2" v="884"/>
    </bk>
    <bk>
      <rc t="2" v="885"/>
    </bk>
    <bk>
      <rc t="2" v="886"/>
    </bk>
    <bk>
      <rc t="2" v="887"/>
    </bk>
    <bk>
      <rc t="2" v="888"/>
    </bk>
    <bk>
      <rc t="2" v="889"/>
    </bk>
    <bk>
      <rc t="2" v="890"/>
    </bk>
    <bk>
      <rc t="2" v="891"/>
    </bk>
    <bk>
      <rc t="2" v="892"/>
    </bk>
    <bk>
      <rc t="2" v="893"/>
    </bk>
    <bk>
      <rc t="2" v="894"/>
    </bk>
    <bk>
      <rc t="2" v="895"/>
    </bk>
    <bk>
      <rc t="2" v="896"/>
    </bk>
    <bk>
      <rc t="2" v="897"/>
    </bk>
    <bk>
      <rc t="2" v="898"/>
    </bk>
    <bk>
      <rc t="2" v="899"/>
    </bk>
    <bk>
      <rc t="2" v="900"/>
    </bk>
    <bk>
      <rc t="2" v="901"/>
    </bk>
    <bk>
      <rc t="2" v="902"/>
    </bk>
    <bk>
      <rc t="2" v="903"/>
    </bk>
    <bk>
      <rc t="2" v="904"/>
    </bk>
    <bk>
      <rc t="2" v="905"/>
    </bk>
    <bk>
      <rc t="2" v="906"/>
    </bk>
    <bk>
      <rc t="2" v="907"/>
    </bk>
    <bk>
      <rc t="2" v="908"/>
    </bk>
    <bk>
      <rc t="2" v="909"/>
    </bk>
    <bk>
      <rc t="2" v="910"/>
    </bk>
    <bk>
      <rc t="2" v="911"/>
    </bk>
    <bk>
      <rc t="2" v="912"/>
    </bk>
    <bk>
      <rc t="2" v="913"/>
    </bk>
    <bk>
      <rc t="2" v="914"/>
    </bk>
    <bk>
      <rc t="2" v="915"/>
    </bk>
    <bk>
      <rc t="2" v="916"/>
    </bk>
    <bk>
      <rc t="2" v="917"/>
    </bk>
    <bk>
      <rc t="2" v="918"/>
    </bk>
    <bk>
      <rc t="2" v="919"/>
    </bk>
    <bk>
      <rc t="2" v="920"/>
    </bk>
    <bk>
      <rc t="2" v="921"/>
    </bk>
    <bk>
      <rc t="2" v="922"/>
    </bk>
    <bk>
      <rc t="2" v="923"/>
    </bk>
    <bk>
      <rc t="2" v="924"/>
    </bk>
    <bk>
      <rc t="2" v="925"/>
    </bk>
    <bk>
      <rc t="2" v="926"/>
    </bk>
    <bk>
      <rc t="2" v="927"/>
    </bk>
    <bk>
      <rc t="2" v="928"/>
    </bk>
    <bk>
      <rc t="2" v="929"/>
    </bk>
    <bk>
      <rc t="2" v="930"/>
    </bk>
    <bk>
      <rc t="2" v="931"/>
    </bk>
    <bk>
      <rc t="2" v="932"/>
    </bk>
    <bk>
      <rc t="2" v="933"/>
    </bk>
    <bk>
      <rc t="2" v="934"/>
    </bk>
    <bk>
      <rc t="2" v="935"/>
    </bk>
    <bk>
      <rc t="2" v="936"/>
    </bk>
    <bk>
      <rc t="2" v="937"/>
    </bk>
    <bk>
      <rc t="2" v="938"/>
    </bk>
    <bk>
      <rc t="2" v="939"/>
    </bk>
    <bk>
      <rc t="2" v="940"/>
    </bk>
    <bk>
      <rc t="2" v="941"/>
    </bk>
    <bk>
      <rc t="2" v="942"/>
    </bk>
    <bk>
      <rc t="2" v="943"/>
    </bk>
    <bk>
      <rc t="2" v="944"/>
    </bk>
    <bk>
      <rc t="2" v="945"/>
    </bk>
    <bk>
      <rc t="2" v="946"/>
    </bk>
    <bk>
      <rc t="2" v="947"/>
    </bk>
    <bk>
      <rc t="2" v="948"/>
    </bk>
    <bk>
      <rc t="2" v="949"/>
    </bk>
    <bk>
      <rc t="2" v="950"/>
    </bk>
    <bk>
      <rc t="2" v="951"/>
    </bk>
    <bk>
      <rc t="2" v="952"/>
    </bk>
    <bk>
      <rc t="2" v="953"/>
    </bk>
    <bk>
      <rc t="2" v="954"/>
    </bk>
    <bk>
      <rc t="2" v="955"/>
    </bk>
    <bk>
      <rc t="2" v="956"/>
    </bk>
    <bk>
      <rc t="2" v="957"/>
    </bk>
    <bk>
      <rc t="2" v="958"/>
    </bk>
    <bk>
      <rc t="2" v="959"/>
    </bk>
    <bk>
      <rc t="2" v="960"/>
    </bk>
    <bk>
      <rc t="2" v="961"/>
    </bk>
    <bk>
      <rc t="2" v="962"/>
    </bk>
    <bk>
      <rc t="2" v="963"/>
    </bk>
    <bk>
      <rc t="2" v="964"/>
    </bk>
    <bk>
      <rc t="2" v="965"/>
    </bk>
    <bk>
      <rc t="2" v="966"/>
    </bk>
    <bk>
      <rc t="2" v="967"/>
    </bk>
    <bk>
      <rc t="2" v="968"/>
    </bk>
    <bk>
      <rc t="2" v="969"/>
    </bk>
    <bk>
      <rc t="2" v="970"/>
    </bk>
    <bk>
      <rc t="2" v="971"/>
    </bk>
    <bk>
      <rc t="2" v="972"/>
    </bk>
    <bk>
      <rc t="2" v="973"/>
    </bk>
    <bk>
      <rc t="2" v="974"/>
    </bk>
    <bk>
      <rc t="2" v="975"/>
    </bk>
    <bk>
      <rc t="2" v="976"/>
    </bk>
    <bk>
      <rc t="2" v="977"/>
    </bk>
    <bk>
      <rc t="2" v="978"/>
    </bk>
    <bk>
      <rc t="2" v="979"/>
    </bk>
    <bk>
      <rc t="2" v="980"/>
    </bk>
    <bk>
      <rc t="2" v="981"/>
    </bk>
    <bk>
      <rc t="2" v="982"/>
    </bk>
    <bk>
      <rc t="2" v="983"/>
    </bk>
    <bk>
      <rc t="2" v="984"/>
    </bk>
    <bk>
      <rc t="2" v="985"/>
    </bk>
    <bk>
      <rc t="2" v="986"/>
    </bk>
    <bk>
      <rc t="2" v="987"/>
    </bk>
    <bk>
      <rc t="2" v="988"/>
    </bk>
    <bk>
      <rc t="2" v="989"/>
    </bk>
    <bk>
      <rc t="2" v="990"/>
    </bk>
    <bk>
      <rc t="2" v="991"/>
    </bk>
    <bk>
      <rc t="2" v="992"/>
    </bk>
    <bk>
      <rc t="2" v="993"/>
    </bk>
    <bk>
      <rc t="2" v="994"/>
    </bk>
    <bk>
      <rc t="2" v="995"/>
    </bk>
    <bk>
      <rc t="2" v="996"/>
    </bk>
    <bk>
      <rc t="2" v="997"/>
    </bk>
    <bk>
      <rc t="2" v="998"/>
    </bk>
    <bk>
      <rc t="2" v="999"/>
    </bk>
    <bk>
      <rc t="2" v="1000"/>
    </bk>
    <bk>
      <rc t="2" v="1001"/>
    </bk>
    <bk>
      <rc t="2" v="1002"/>
    </bk>
    <bk>
      <rc t="2" v="1003"/>
    </bk>
    <bk>
      <rc t="2" v="1004"/>
    </bk>
    <bk>
      <rc t="2" v="1005"/>
    </bk>
    <bk>
      <rc t="2" v="1006"/>
    </bk>
    <bk>
      <rc t="2" v="1007"/>
    </bk>
    <bk>
      <rc t="2" v="1008"/>
    </bk>
    <bk>
      <rc t="2" v="1009"/>
    </bk>
    <bk>
      <rc t="2" v="1010"/>
    </bk>
    <bk>
      <rc t="2" v="1011"/>
    </bk>
    <bk>
      <rc t="2" v="1012"/>
    </bk>
    <bk>
      <rc t="2" v="1013"/>
    </bk>
    <bk>
      <rc t="2" v="1014"/>
    </bk>
    <bk>
      <rc t="2" v="1015"/>
    </bk>
    <bk>
      <rc t="2" v="1016"/>
    </bk>
    <bk>
      <rc t="2" v="1017"/>
    </bk>
    <bk>
      <rc t="2" v="1018"/>
    </bk>
    <bk>
      <rc t="2" v="1019"/>
    </bk>
    <bk>
      <rc t="2" v="1020"/>
    </bk>
    <bk>
      <rc t="2" v="1021"/>
    </bk>
    <bk>
      <rc t="2" v="1022"/>
    </bk>
    <bk>
      <rc t="2" v="1023"/>
    </bk>
    <bk>
      <rc t="2" v="1024"/>
    </bk>
    <bk>
      <rc t="2" v="1025"/>
    </bk>
    <bk>
      <rc t="2" v="1026"/>
    </bk>
    <bk>
      <rc t="2" v="1027"/>
    </bk>
    <bk>
      <rc t="2" v="1028"/>
    </bk>
    <bk>
      <rc t="2" v="1029"/>
    </bk>
    <bk>
      <rc t="2" v="1030"/>
    </bk>
    <bk>
      <rc t="2" v="1031"/>
    </bk>
    <bk>
      <rc t="2" v="1032"/>
    </bk>
    <bk>
      <rc t="2" v="1033"/>
    </bk>
    <bk>
      <rc t="2" v="1034"/>
    </bk>
    <bk>
      <rc t="2" v="1035"/>
    </bk>
    <bk>
      <rc t="2" v="1036"/>
    </bk>
    <bk>
      <rc t="2" v="1037"/>
    </bk>
    <bk>
      <rc t="2" v="1038"/>
    </bk>
    <bk>
      <rc t="2" v="1039"/>
    </bk>
    <bk>
      <rc t="2" v="1040"/>
    </bk>
    <bk>
      <rc t="2" v="1041"/>
    </bk>
    <bk>
      <rc t="2" v="1042"/>
    </bk>
    <bk>
      <rc t="2" v="1043"/>
    </bk>
    <bk>
      <rc t="2" v="1044"/>
    </bk>
    <bk>
      <rc t="2" v="1045"/>
    </bk>
    <bk>
      <rc t="2" v="1046"/>
    </bk>
    <bk>
      <rc t="2" v="1047"/>
    </bk>
    <bk>
      <rc t="2" v="1048"/>
    </bk>
    <bk>
      <rc t="2" v="1049"/>
    </bk>
    <bk>
      <rc t="2" v="1050"/>
    </bk>
    <bk>
      <rc t="2" v="1051"/>
    </bk>
    <bk>
      <rc t="2" v="1052"/>
    </bk>
    <bk>
      <rc t="2" v="1053"/>
    </bk>
    <bk>
      <rc t="2" v="1054"/>
    </bk>
    <bk>
      <rc t="2" v="1055"/>
    </bk>
    <bk>
      <rc t="2" v="1056"/>
    </bk>
    <bk>
      <rc t="2" v="1057"/>
    </bk>
    <bk>
      <rc t="2" v="1058"/>
    </bk>
    <bk>
      <rc t="2" v="1059"/>
    </bk>
    <bk>
      <rc t="2" v="1060"/>
    </bk>
    <bk>
      <rc t="2" v="1061"/>
    </bk>
    <bk>
      <rc t="2" v="1062"/>
    </bk>
    <bk>
      <rc t="2" v="1063"/>
    </bk>
    <bk>
      <rc t="2" v="1064"/>
    </bk>
    <bk>
      <rc t="2" v="1065"/>
    </bk>
    <bk>
      <rc t="2" v="1066"/>
    </bk>
    <bk>
      <rc t="2" v="1067"/>
    </bk>
    <bk>
      <rc t="2" v="1068"/>
    </bk>
    <bk>
      <rc t="2" v="1069"/>
    </bk>
    <bk>
      <rc t="2" v="1070"/>
    </bk>
    <bk>
      <rc t="2" v="1071"/>
    </bk>
    <bk>
      <rc t="2" v="1072"/>
    </bk>
    <bk>
      <rc t="2" v="1073"/>
    </bk>
    <bk>
      <rc t="2" v="1074"/>
    </bk>
    <bk>
      <rc t="2" v="1075"/>
    </bk>
    <bk>
      <rc t="2" v="1076"/>
    </bk>
    <bk>
      <rc t="2" v="1077"/>
    </bk>
    <bk>
      <rc t="2" v="1078"/>
    </bk>
    <bk>
      <rc t="2" v="1079"/>
    </bk>
    <bk>
      <rc t="2" v="1080"/>
    </bk>
    <bk>
      <rc t="2" v="1081"/>
    </bk>
    <bk>
      <rc t="2" v="1082"/>
    </bk>
    <bk>
      <rc t="2" v="1083"/>
    </bk>
    <bk>
      <rc t="2" v="1084"/>
    </bk>
    <bk>
      <rc t="2" v="1085"/>
    </bk>
    <bk>
      <rc t="2" v="1086"/>
    </bk>
    <bk>
      <rc t="2" v="1087"/>
    </bk>
    <bk>
      <rc t="2" v="1088"/>
    </bk>
    <bk>
      <rc t="2" v="1089"/>
    </bk>
    <bk>
      <rc t="2" v="1090"/>
    </bk>
    <bk>
      <rc t="2" v="1091"/>
    </bk>
    <bk>
      <rc t="2" v="1092"/>
    </bk>
    <bk>
      <rc t="2" v="1093"/>
    </bk>
    <bk>
      <rc t="2" v="1094"/>
    </bk>
    <bk>
      <rc t="2" v="1095"/>
    </bk>
    <bk>
      <rc t="2" v="1096"/>
    </bk>
    <bk>
      <rc t="2" v="1097"/>
    </bk>
    <bk>
      <rc t="2" v="1098"/>
    </bk>
    <bk>
      <rc t="2" v="1099"/>
    </bk>
    <bk>
      <rc t="2" v="1100"/>
    </bk>
    <bk>
      <rc t="2" v="1101"/>
    </bk>
    <bk>
      <rc t="2" v="1102"/>
    </bk>
    <bk>
      <rc t="2" v="1103"/>
    </bk>
    <bk>
      <rc t="2" v="1104"/>
    </bk>
    <bk>
      <rc t="2" v="1105"/>
    </bk>
    <bk>
      <rc t="2" v="1106"/>
    </bk>
    <bk>
      <rc t="2" v="1107"/>
    </bk>
    <bk>
      <rc t="2" v="1108"/>
    </bk>
    <bk>
      <rc t="2" v="1109"/>
    </bk>
    <bk>
      <rc t="2" v="1110"/>
    </bk>
    <bk>
      <rc t="2" v="1111"/>
    </bk>
    <bk>
      <rc t="2" v="1112"/>
    </bk>
    <bk>
      <rc t="2" v="1113"/>
    </bk>
    <bk>
      <rc t="2" v="1114"/>
    </bk>
    <bk>
      <rc t="2" v="1115"/>
    </bk>
    <bk>
      <rc t="2" v="1116"/>
    </bk>
    <bk>
      <rc t="2" v="1117"/>
    </bk>
    <bk>
      <rc t="2" v="1118"/>
    </bk>
    <bk>
      <rc t="2" v="1119"/>
    </bk>
    <bk>
      <rc t="2" v="1120"/>
    </bk>
    <bk>
      <rc t="2" v="1121"/>
    </bk>
    <bk>
      <rc t="2" v="1122"/>
    </bk>
    <bk>
      <rc t="2" v="1123"/>
    </bk>
    <bk>
      <rc t="2" v="1124"/>
    </bk>
    <bk>
      <rc t="2" v="1125"/>
    </bk>
    <bk>
      <rc t="2" v="1126"/>
    </bk>
    <bk>
      <rc t="2" v="1127"/>
    </bk>
    <bk>
      <rc t="2" v="1128"/>
    </bk>
    <bk>
      <rc t="2" v="1129"/>
    </bk>
    <bk>
      <rc t="2" v="1130"/>
    </bk>
    <bk>
      <rc t="2" v="1131"/>
    </bk>
    <bk>
      <rc t="2" v="1132"/>
    </bk>
    <bk>
      <rc t="2" v="1133"/>
    </bk>
    <bk>
      <rc t="2" v="1134"/>
    </bk>
    <bk>
      <rc t="2" v="1135"/>
    </bk>
    <bk>
      <rc t="2" v="1136"/>
    </bk>
    <bk>
      <rc t="2" v="1137"/>
    </bk>
    <bk>
      <rc t="2" v="1138"/>
    </bk>
    <bk>
      <rc t="2" v="1139"/>
    </bk>
    <bk>
      <rc t="2" v="1140"/>
    </bk>
    <bk>
      <rc t="2" v="1141"/>
    </bk>
    <bk>
      <rc t="2" v="1142"/>
    </bk>
    <bk>
      <rc t="2" v="1143"/>
    </bk>
    <bk>
      <rc t="2" v="1144"/>
    </bk>
    <bk>
      <rc t="2" v="1145"/>
    </bk>
    <bk>
      <rc t="2" v="1146"/>
    </bk>
    <bk>
      <rc t="2" v="1147"/>
    </bk>
    <bk>
      <rc t="2" v="1148"/>
    </bk>
    <bk>
      <rc t="2" v="1149"/>
    </bk>
    <bk>
      <rc t="2" v="1150"/>
    </bk>
    <bk>
      <rc t="2" v="1151"/>
    </bk>
    <bk>
      <rc t="2" v="1152"/>
    </bk>
    <bk>
      <rc t="2" v="1153"/>
    </bk>
    <bk>
      <rc t="2" v="1154"/>
    </bk>
    <bk>
      <rc t="2" v="1155"/>
    </bk>
    <bk>
      <rc t="2" v="1156"/>
    </bk>
    <bk>
      <rc t="2" v="1157"/>
    </bk>
    <bk>
      <rc t="2" v="1158"/>
    </bk>
    <bk>
      <rc t="2" v="1159"/>
    </bk>
    <bk>
      <rc t="2" v="1160"/>
    </bk>
    <bk>
      <rc t="2" v="1161"/>
    </bk>
    <bk>
      <rc t="2" v="1162"/>
    </bk>
    <bk>
      <rc t="2" v="1163"/>
    </bk>
    <bk>
      <rc t="2" v="1164"/>
    </bk>
    <bk>
      <rc t="2" v="1165"/>
    </bk>
    <bk>
      <rc t="2" v="1166"/>
    </bk>
    <bk>
      <rc t="2" v="1167"/>
    </bk>
    <bk>
      <rc t="2" v="1168"/>
    </bk>
    <bk>
      <rc t="2" v="1169"/>
    </bk>
    <bk>
      <rc t="2" v="1170"/>
    </bk>
    <bk>
      <rc t="2" v="1171"/>
    </bk>
    <bk>
      <rc t="2" v="1172"/>
    </bk>
    <bk>
      <rc t="2" v="1173"/>
    </bk>
    <bk>
      <rc t="2" v="1174"/>
    </bk>
    <bk>
      <rc t="2" v="1175"/>
    </bk>
    <bk>
      <rc t="2" v="1176"/>
    </bk>
    <bk>
      <rc t="2" v="1177"/>
    </bk>
    <bk>
      <rc t="2" v="1178"/>
    </bk>
    <bk>
      <rc t="2" v="1179"/>
    </bk>
    <bk>
      <rc t="2" v="1180"/>
    </bk>
    <bk>
      <rc t="2" v="1181"/>
    </bk>
    <bk>
      <rc t="2" v="1182"/>
    </bk>
    <bk>
      <rc t="2" v="1183"/>
    </bk>
    <bk>
      <rc t="2" v="1184"/>
    </bk>
    <bk>
      <rc t="2" v="1185"/>
    </bk>
    <bk>
      <rc t="2" v="1186"/>
    </bk>
    <bk>
      <rc t="2" v="1187"/>
    </bk>
    <bk>
      <rc t="2" v="1188"/>
    </bk>
    <bk>
      <rc t="2" v="1189"/>
    </bk>
    <bk>
      <rc t="2" v="1190"/>
    </bk>
    <bk>
      <rc t="2" v="1191"/>
    </bk>
    <bk>
      <rc t="2" v="1192"/>
    </bk>
    <bk>
      <rc t="2" v="1193"/>
    </bk>
    <bk>
      <rc t="2" v="1194"/>
    </bk>
    <bk>
      <rc t="2" v="1195"/>
    </bk>
    <bk>
      <rc t="2" v="1196"/>
    </bk>
    <bk>
      <rc t="2" v="1197"/>
    </bk>
    <bk>
      <rc t="2" v="1198"/>
    </bk>
    <bk>
      <rc t="2" v="1199"/>
    </bk>
    <bk>
      <rc t="2" v="1200"/>
    </bk>
    <bk>
      <rc t="2" v="1201"/>
    </bk>
    <bk>
      <rc t="2" v="1202"/>
    </bk>
    <bk>
      <rc t="2" v="1203"/>
    </bk>
    <bk>
      <rc t="2" v="1204"/>
    </bk>
    <bk>
      <rc t="2" v="1205"/>
    </bk>
    <bk>
      <rc t="2" v="1206"/>
    </bk>
    <bk>
      <rc t="2" v="1207"/>
    </bk>
    <bk>
      <rc t="2" v="1208"/>
    </bk>
    <bk>
      <rc t="2" v="1209"/>
    </bk>
    <bk>
      <rc t="2" v="1210"/>
    </bk>
    <bk>
      <rc t="2" v="1211"/>
    </bk>
    <bk>
      <rc t="2" v="1212"/>
    </bk>
    <bk>
      <rc t="2" v="1213"/>
    </bk>
    <bk>
      <rc t="2" v="1214"/>
    </bk>
    <bk>
      <rc t="2" v="1215"/>
    </bk>
    <bk>
      <rc t="2" v="1216"/>
    </bk>
    <bk>
      <rc t="2" v="1217"/>
    </bk>
    <bk>
      <rc t="2" v="1218"/>
    </bk>
    <bk>
      <rc t="2" v="1219"/>
    </bk>
    <bk>
      <rc t="2" v="1220"/>
    </bk>
    <bk>
      <rc t="2" v="1221"/>
    </bk>
    <bk>
      <rc t="2" v="1222"/>
    </bk>
    <bk>
      <rc t="2" v="1223"/>
    </bk>
    <bk>
      <rc t="2" v="1224"/>
    </bk>
    <bk>
      <rc t="2" v="1225"/>
    </bk>
    <bk>
      <rc t="2" v="1226"/>
    </bk>
    <bk>
      <rc t="2" v="1227"/>
    </bk>
    <bk>
      <rc t="2" v="1228"/>
    </bk>
    <bk>
      <rc t="2" v="1229"/>
    </bk>
    <bk>
      <rc t="2" v="1230"/>
    </bk>
    <bk>
      <rc t="2" v="1231"/>
    </bk>
    <bk>
      <rc t="2" v="1232"/>
    </bk>
    <bk>
      <rc t="2" v="1233"/>
    </bk>
    <bk>
      <rc t="2" v="1234"/>
    </bk>
    <bk>
      <rc t="2" v="1235"/>
    </bk>
    <bk>
      <rc t="2" v="1236"/>
    </bk>
    <bk>
      <rc t="2" v="1237"/>
    </bk>
  </valueMetadata>
</metadata>
</file>

<file path=xl/sharedStrings.xml><?xml version="1.0" encoding="utf-8"?>
<sst xmlns="http://schemas.openxmlformats.org/spreadsheetml/2006/main" count="22" uniqueCount="20">
  <si>
    <t>Here’s what each part means:</t>
  </si>
  <si>
    <t>0 = Date</t>
  </si>
  <si>
    <t>1 = Close</t>
  </si>
  <si>
    <t>2 = Open</t>
  </si>
  <si>
    <t>3 = High</t>
  </si>
  <si>
    <t>4 = Low</t>
  </si>
  <si>
    <t>5 = Volume</t>
  </si>
  <si>
    <r>
      <rPr>
        <b/>
        <sz val="11"/>
        <color theme="1"/>
        <rFont val="Aptos Narrow"/>
        <family val="2"/>
        <scheme val="minor"/>
      </rPr>
      <t>• stock</t>
    </r>
    <r>
      <rPr>
        <sz val="11"/>
        <color theme="1"/>
        <rFont val="Aptos Narrow"/>
        <family val="2"/>
        <scheme val="minor"/>
      </rPr>
      <t>: The ticker symbol inside quotes</t>
    </r>
  </si>
  <si>
    <r>
      <t xml:space="preserve">• </t>
    </r>
    <r>
      <rPr>
        <b/>
        <sz val="11"/>
        <color theme="1"/>
        <rFont val="Aptos Narrow"/>
        <family val="2"/>
        <scheme val="minor"/>
      </rPr>
      <t>start_date</t>
    </r>
    <r>
      <rPr>
        <sz val="11"/>
        <color theme="1"/>
        <rFont val="Aptos Narrow"/>
        <family val="2"/>
        <scheme val="minor"/>
      </rPr>
      <t>: The first date you want</t>
    </r>
  </si>
  <si>
    <r>
      <t xml:space="preserve">• </t>
    </r>
    <r>
      <rPr>
        <b/>
        <sz val="11"/>
        <color theme="1"/>
        <rFont val="Aptos Narrow"/>
        <family val="2"/>
        <scheme val="minor"/>
      </rPr>
      <t>end_date</t>
    </r>
    <r>
      <rPr>
        <sz val="11"/>
        <color theme="1"/>
        <rFont val="Aptos Narrow"/>
        <family val="2"/>
        <scheme val="minor"/>
      </rPr>
      <t>: The last date you want</t>
    </r>
  </si>
  <si>
    <r>
      <t>•</t>
    </r>
    <r>
      <rPr>
        <b/>
        <sz val="11"/>
        <color theme="1"/>
        <rFont val="Aptos Narrow"/>
        <family val="2"/>
        <scheme val="minor"/>
      </rPr>
      <t xml:space="preserve"> interval</t>
    </r>
    <r>
      <rPr>
        <sz val="11"/>
        <color theme="1"/>
        <rFont val="Aptos Narrow"/>
        <family val="2"/>
        <scheme val="minor"/>
      </rPr>
      <t>: 0 = daily, 1 = weekly, 2 = monthly</t>
    </r>
  </si>
  <si>
    <r>
      <t>•</t>
    </r>
    <r>
      <rPr>
        <b/>
        <sz val="11"/>
        <color theme="1"/>
        <rFont val="Aptos Narrow"/>
        <family val="2"/>
        <scheme val="minor"/>
      </rPr>
      <t xml:space="preserve"> headers</t>
    </r>
    <r>
      <rPr>
        <sz val="11"/>
        <color theme="1"/>
        <rFont val="Aptos Narrow"/>
        <family val="2"/>
        <scheme val="minor"/>
      </rPr>
      <t>: 0 = no headers, 1 = show headers</t>
    </r>
  </si>
  <si>
    <r>
      <t xml:space="preserve">• </t>
    </r>
    <r>
      <rPr>
        <b/>
        <sz val="11"/>
        <color theme="1"/>
        <rFont val="Aptos Narrow"/>
        <family val="2"/>
        <scheme val="minor"/>
      </rPr>
      <t>Column selectors</t>
    </r>
    <r>
      <rPr>
        <sz val="11"/>
        <color theme="1"/>
        <rFont val="Aptos Narrow"/>
        <family val="2"/>
        <scheme val="minor"/>
      </rPr>
      <t>:</t>
    </r>
  </si>
  <si>
    <t>STOCKHISTORY(stock, start_date, end_date, interval, headers,date, open, high, low, close, volume)</t>
  </si>
  <si>
    <t>50 EMA</t>
  </si>
  <si>
    <t>50 SMA</t>
  </si>
  <si>
    <t>Date</t>
  </si>
  <si>
    <t>Close</t>
  </si>
  <si>
    <t>20 EMA</t>
  </si>
  <si>
    <t>20 SMA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</si>
</sst>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4"/>
      <color rgb="FFC00000"/>
      <name val="Aptos Narrow"/>
      <family val="2"/>
      <scheme val="minor"/>
    </font>
    <font>
      <sz val="26"/>
      <color rgb="FFC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2" borderId="0" xfId="0" applyFont="1" applyFill="1"/>
    <xf numFmtId="0" fontId="3" fillId="0" borderId="0" xfId="0" applyFon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" fillId="0" borderId="0" xfId="0" applyFont="1"/>
    <xf numFmtId="0" fontId="4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06/relationships/rdRichValue" Target="richData/rdrichvalue.xml"/><Relationship Id="rId17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6" Type="http://schemas.microsoft.com/office/2017/06/relationships/rdSupportingPropertyBagStructure" Target="richData/rdsupportingpropertybag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ichStyles" Target="richData/richStyles.xml"/><Relationship Id="rId10" Type="http://schemas.openxmlformats.org/officeDocument/2006/relationships/sharedStrings" Target="sharedStrings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Array" Target="richData/rdarray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'SMA EMA'!$B$1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'SMA EMA'!$A$2:$A$228</c:f>
              <c:numCache>
                <c:formatCode>m/d/yyyy</c:formatCode>
                <c:ptCount val="63"/>
                <c:pt idx="0">
                  <c:v>45902</c:v>
                </c:pt>
                <c:pt idx="1">
                  <c:v>45903</c:v>
                </c:pt>
                <c:pt idx="2">
                  <c:v>45904</c:v>
                </c:pt>
                <c:pt idx="3">
                  <c:v>45905</c:v>
                </c:pt>
                <c:pt idx="4">
                  <c:v>45908</c:v>
                </c:pt>
                <c:pt idx="5">
                  <c:v>45909</c:v>
                </c:pt>
                <c:pt idx="6">
                  <c:v>45910</c:v>
                </c:pt>
                <c:pt idx="7">
                  <c:v>45911</c:v>
                </c:pt>
                <c:pt idx="8">
                  <c:v>45912</c:v>
                </c:pt>
                <c:pt idx="9">
                  <c:v>45915</c:v>
                </c:pt>
                <c:pt idx="10">
                  <c:v>45916</c:v>
                </c:pt>
                <c:pt idx="11">
                  <c:v>45917</c:v>
                </c:pt>
                <c:pt idx="12">
                  <c:v>45918</c:v>
                </c:pt>
                <c:pt idx="13">
                  <c:v>45919</c:v>
                </c:pt>
                <c:pt idx="14">
                  <c:v>45922</c:v>
                </c:pt>
                <c:pt idx="15">
                  <c:v>45923</c:v>
                </c:pt>
                <c:pt idx="16">
                  <c:v>45924</c:v>
                </c:pt>
                <c:pt idx="17">
                  <c:v>45925</c:v>
                </c:pt>
                <c:pt idx="18">
                  <c:v>45926</c:v>
                </c:pt>
                <c:pt idx="19">
                  <c:v>45929</c:v>
                </c:pt>
                <c:pt idx="20">
                  <c:v>45930</c:v>
                </c:pt>
                <c:pt idx="21">
                  <c:v>45931</c:v>
                </c:pt>
                <c:pt idx="22">
                  <c:v>45932</c:v>
                </c:pt>
                <c:pt idx="23">
                  <c:v>45933</c:v>
                </c:pt>
                <c:pt idx="24">
                  <c:v>45936</c:v>
                </c:pt>
                <c:pt idx="25">
                  <c:v>45937</c:v>
                </c:pt>
                <c:pt idx="26">
                  <c:v>45938</c:v>
                </c:pt>
                <c:pt idx="27">
                  <c:v>45939</c:v>
                </c:pt>
                <c:pt idx="28">
                  <c:v>45940</c:v>
                </c:pt>
                <c:pt idx="29">
                  <c:v>45943</c:v>
                </c:pt>
                <c:pt idx="30">
                  <c:v>45944</c:v>
                </c:pt>
                <c:pt idx="31">
                  <c:v>45945</c:v>
                </c:pt>
                <c:pt idx="32">
                  <c:v>45946</c:v>
                </c:pt>
                <c:pt idx="33">
                  <c:v>45947</c:v>
                </c:pt>
                <c:pt idx="34">
                  <c:v>45950</c:v>
                </c:pt>
                <c:pt idx="35">
                  <c:v>45951</c:v>
                </c:pt>
                <c:pt idx="36">
                  <c:v>45952</c:v>
                </c:pt>
                <c:pt idx="37">
                  <c:v>45953</c:v>
                </c:pt>
                <c:pt idx="38">
                  <c:v>45954</c:v>
                </c:pt>
                <c:pt idx="39">
                  <c:v>45957</c:v>
                </c:pt>
                <c:pt idx="40">
                  <c:v>45958</c:v>
                </c:pt>
                <c:pt idx="41">
                  <c:v>45959</c:v>
                </c:pt>
                <c:pt idx="42">
                  <c:v>45960</c:v>
                </c:pt>
                <c:pt idx="43">
                  <c:v>45961</c:v>
                </c:pt>
                <c:pt idx="44">
                  <c:v>45964</c:v>
                </c:pt>
                <c:pt idx="45">
                  <c:v>45965</c:v>
                </c:pt>
                <c:pt idx="46">
                  <c:v>45966</c:v>
                </c:pt>
                <c:pt idx="47">
                  <c:v>45967</c:v>
                </c:pt>
                <c:pt idx="48">
                  <c:v>45968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45978</c:v>
                </c:pt>
                <c:pt idx="55">
                  <c:v>45979</c:v>
                </c:pt>
                <c:pt idx="56">
                  <c:v>45980</c:v>
                </c:pt>
                <c:pt idx="57">
                  <c:v>45981</c:v>
                </c:pt>
                <c:pt idx="58">
                  <c:v>45982</c:v>
                </c:pt>
                <c:pt idx="59">
                  <c:v>45985</c:v>
                </c:pt>
                <c:pt idx="60">
                  <c:v>45986</c:v>
                </c:pt>
                <c:pt idx="61">
                  <c:v>45987</c:v>
                </c:pt>
                <c:pt idx="62">
                  <c:v>45989</c:v>
                </c:pt>
              </c:numCache>
            </c:numRef>
          </c:cat>
          <c:val>
            <c:numRef>
              <c:f>'SMA EMA'!$B$2:$B$228</c:f>
              <c:numCache>
                <c:formatCode>_([$$-409]* #,##0.00_);_([$$-409]* \(#,##0.00\);_([$$-409]* "-"??_);_(@_)</c:formatCode>
                <c:ptCount val="63"/>
                <c:pt idx="0">
                  <c:v>11.72</c:v>
                </c:pt>
                <c:pt idx="1">
                  <c:v>11.62</c:v>
                </c:pt>
                <c:pt idx="2">
                  <c:v>11.68</c:v>
                </c:pt>
                <c:pt idx="3">
                  <c:v>11.74</c:v>
                </c:pt>
                <c:pt idx="4">
                  <c:v>11.69</c:v>
                </c:pt>
                <c:pt idx="5">
                  <c:v>11.49</c:v>
                </c:pt>
                <c:pt idx="6">
                  <c:v>11.42</c:v>
                </c:pt>
                <c:pt idx="7">
                  <c:v>11.76</c:v>
                </c:pt>
                <c:pt idx="8">
                  <c:v>11.68</c:v>
                </c:pt>
                <c:pt idx="9">
                  <c:v>11.68</c:v>
                </c:pt>
                <c:pt idx="10">
                  <c:v>11.61</c:v>
                </c:pt>
                <c:pt idx="11">
                  <c:v>11.66</c:v>
                </c:pt>
                <c:pt idx="12">
                  <c:v>11.74</c:v>
                </c:pt>
                <c:pt idx="13">
                  <c:v>11.62</c:v>
                </c:pt>
                <c:pt idx="14">
                  <c:v>11.66</c:v>
                </c:pt>
                <c:pt idx="15">
                  <c:v>11.73</c:v>
                </c:pt>
                <c:pt idx="16">
                  <c:v>11.63</c:v>
                </c:pt>
                <c:pt idx="17">
                  <c:v>11.62</c:v>
                </c:pt>
                <c:pt idx="18">
                  <c:v>12.01</c:v>
                </c:pt>
                <c:pt idx="19">
                  <c:v>12.09</c:v>
                </c:pt>
                <c:pt idx="20">
                  <c:v>11.96</c:v>
                </c:pt>
                <c:pt idx="21">
                  <c:v>12.27</c:v>
                </c:pt>
                <c:pt idx="22">
                  <c:v>12.22</c:v>
                </c:pt>
                <c:pt idx="23">
                  <c:v>12.67</c:v>
                </c:pt>
                <c:pt idx="24">
                  <c:v>12.7</c:v>
                </c:pt>
                <c:pt idx="25">
                  <c:v>11.92</c:v>
                </c:pt>
                <c:pt idx="26">
                  <c:v>11.74</c:v>
                </c:pt>
                <c:pt idx="27">
                  <c:v>11.5</c:v>
                </c:pt>
                <c:pt idx="28">
                  <c:v>11.41</c:v>
                </c:pt>
                <c:pt idx="29">
                  <c:v>11.54</c:v>
                </c:pt>
                <c:pt idx="30">
                  <c:v>11.65</c:v>
                </c:pt>
                <c:pt idx="31">
                  <c:v>11.76</c:v>
                </c:pt>
                <c:pt idx="32">
                  <c:v>11.74</c:v>
                </c:pt>
                <c:pt idx="33">
                  <c:v>11.92</c:v>
                </c:pt>
                <c:pt idx="34">
                  <c:v>11.99</c:v>
                </c:pt>
                <c:pt idx="35">
                  <c:v>12.56</c:v>
                </c:pt>
                <c:pt idx="36">
                  <c:v>12.43</c:v>
                </c:pt>
                <c:pt idx="37">
                  <c:v>12.34</c:v>
                </c:pt>
                <c:pt idx="38">
                  <c:v>13.84</c:v>
                </c:pt>
                <c:pt idx="39">
                  <c:v>13.26</c:v>
                </c:pt>
                <c:pt idx="40">
                  <c:v>13.13</c:v>
                </c:pt>
                <c:pt idx="41">
                  <c:v>13.24</c:v>
                </c:pt>
                <c:pt idx="42">
                  <c:v>13.06</c:v>
                </c:pt>
                <c:pt idx="43">
                  <c:v>13.13</c:v>
                </c:pt>
                <c:pt idx="44">
                  <c:v>13.01</c:v>
                </c:pt>
                <c:pt idx="45">
                  <c:v>12.79</c:v>
                </c:pt>
                <c:pt idx="46">
                  <c:v>13.11</c:v>
                </c:pt>
                <c:pt idx="47">
                  <c:v>13.12</c:v>
                </c:pt>
                <c:pt idx="48">
                  <c:v>13.21</c:v>
                </c:pt>
                <c:pt idx="49">
                  <c:v>13.16</c:v>
                </c:pt>
                <c:pt idx="50">
                  <c:v>13.3</c:v>
                </c:pt>
                <c:pt idx="51">
                  <c:v>13.45</c:v>
                </c:pt>
                <c:pt idx="52">
                  <c:v>13.28</c:v>
                </c:pt>
                <c:pt idx="53">
                  <c:v>13.19</c:v>
                </c:pt>
                <c:pt idx="54">
                  <c:v>12.88</c:v>
                </c:pt>
                <c:pt idx="55">
                  <c:v>13.02</c:v>
                </c:pt>
                <c:pt idx="56">
                  <c:v>12.9</c:v>
                </c:pt>
                <c:pt idx="57">
                  <c:v>12.41</c:v>
                </c:pt>
                <c:pt idx="58">
                  <c:v>12.83</c:v>
                </c:pt>
                <c:pt idx="59">
                  <c:v>12.96</c:v>
                </c:pt>
                <c:pt idx="60">
                  <c:v>13.17</c:v>
                </c:pt>
                <c:pt idx="61">
                  <c:v>13.19</c:v>
                </c:pt>
                <c:pt idx="62">
                  <c:v>13.28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A-4C5B-8CAE-449A3B5E6E24}"/>
            </c:ext>
          </c:extLst>
        </c:ser>
        <c:ser>
          <c:idx val="1"/>
          <c:order val="1"/>
          <c:tx>
            <c:strRef>
              <c:f>'SMA EMA'!$D$1</c:f>
              <c:strCache>
                <c:ptCount val="1"/>
                <c:pt idx="0">
                  <c:v>50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'SMA EMA'!$A$2:$A$228</c:f>
              <c:numCache>
                <c:formatCode>m/d/yyyy</c:formatCode>
                <c:ptCount val="63"/>
                <c:pt idx="0">
                  <c:v>45902</c:v>
                </c:pt>
                <c:pt idx="1">
                  <c:v>45903</c:v>
                </c:pt>
                <c:pt idx="2">
                  <c:v>45904</c:v>
                </c:pt>
                <c:pt idx="3">
                  <c:v>45905</c:v>
                </c:pt>
                <c:pt idx="4">
                  <c:v>45908</c:v>
                </c:pt>
                <c:pt idx="5">
                  <c:v>45909</c:v>
                </c:pt>
                <c:pt idx="6">
                  <c:v>45910</c:v>
                </c:pt>
                <c:pt idx="7">
                  <c:v>45911</c:v>
                </c:pt>
                <c:pt idx="8">
                  <c:v>45912</c:v>
                </c:pt>
                <c:pt idx="9">
                  <c:v>45915</c:v>
                </c:pt>
                <c:pt idx="10">
                  <c:v>45916</c:v>
                </c:pt>
                <c:pt idx="11">
                  <c:v>45917</c:v>
                </c:pt>
                <c:pt idx="12">
                  <c:v>45918</c:v>
                </c:pt>
                <c:pt idx="13">
                  <c:v>45919</c:v>
                </c:pt>
                <c:pt idx="14">
                  <c:v>45922</c:v>
                </c:pt>
                <c:pt idx="15">
                  <c:v>45923</c:v>
                </c:pt>
                <c:pt idx="16">
                  <c:v>45924</c:v>
                </c:pt>
                <c:pt idx="17">
                  <c:v>45925</c:v>
                </c:pt>
                <c:pt idx="18">
                  <c:v>45926</c:v>
                </c:pt>
                <c:pt idx="19">
                  <c:v>45929</c:v>
                </c:pt>
                <c:pt idx="20">
                  <c:v>45930</c:v>
                </c:pt>
                <c:pt idx="21">
                  <c:v>45931</c:v>
                </c:pt>
                <c:pt idx="22">
                  <c:v>45932</c:v>
                </c:pt>
                <c:pt idx="23">
                  <c:v>45933</c:v>
                </c:pt>
                <c:pt idx="24">
                  <c:v>45936</c:v>
                </c:pt>
                <c:pt idx="25">
                  <c:v>45937</c:v>
                </c:pt>
                <c:pt idx="26">
                  <c:v>45938</c:v>
                </c:pt>
                <c:pt idx="27">
                  <c:v>45939</c:v>
                </c:pt>
                <c:pt idx="28">
                  <c:v>45940</c:v>
                </c:pt>
                <c:pt idx="29">
                  <c:v>45943</c:v>
                </c:pt>
                <c:pt idx="30">
                  <c:v>45944</c:v>
                </c:pt>
                <c:pt idx="31">
                  <c:v>45945</c:v>
                </c:pt>
                <c:pt idx="32">
                  <c:v>45946</c:v>
                </c:pt>
                <c:pt idx="33">
                  <c:v>45947</c:v>
                </c:pt>
                <c:pt idx="34">
                  <c:v>45950</c:v>
                </c:pt>
                <c:pt idx="35">
                  <c:v>45951</c:v>
                </c:pt>
                <c:pt idx="36">
                  <c:v>45952</c:v>
                </c:pt>
                <c:pt idx="37">
                  <c:v>45953</c:v>
                </c:pt>
                <c:pt idx="38">
                  <c:v>45954</c:v>
                </c:pt>
                <c:pt idx="39">
                  <c:v>45957</c:v>
                </c:pt>
                <c:pt idx="40">
                  <c:v>45958</c:v>
                </c:pt>
                <c:pt idx="41">
                  <c:v>45959</c:v>
                </c:pt>
                <c:pt idx="42">
                  <c:v>45960</c:v>
                </c:pt>
                <c:pt idx="43">
                  <c:v>45961</c:v>
                </c:pt>
                <c:pt idx="44">
                  <c:v>45964</c:v>
                </c:pt>
                <c:pt idx="45">
                  <c:v>45965</c:v>
                </c:pt>
                <c:pt idx="46">
                  <c:v>45966</c:v>
                </c:pt>
                <c:pt idx="47">
                  <c:v>45967</c:v>
                </c:pt>
                <c:pt idx="48">
                  <c:v>45968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45978</c:v>
                </c:pt>
                <c:pt idx="55">
                  <c:v>45979</c:v>
                </c:pt>
                <c:pt idx="56">
                  <c:v>45980</c:v>
                </c:pt>
                <c:pt idx="57">
                  <c:v>45981</c:v>
                </c:pt>
                <c:pt idx="58">
                  <c:v>45982</c:v>
                </c:pt>
                <c:pt idx="59">
                  <c:v>45985</c:v>
                </c:pt>
                <c:pt idx="60">
                  <c:v>45986</c:v>
                </c:pt>
                <c:pt idx="61">
                  <c:v>45987</c:v>
                </c:pt>
                <c:pt idx="62">
                  <c:v>45989</c:v>
                </c:pt>
              </c:numCache>
            </c:numRef>
          </c:cat>
          <c:val>
            <c:numRef>
              <c:f>'SMA EMA'!$D$2:$D$228</c:f>
              <c:numCache>
                <c:formatCode>General</c:formatCode>
                <c:ptCount val="63"/>
                <c:pt idx="0">
                  <c:v>11.351799999999999</c:v>
                </c:pt>
                <c:pt idx="1">
                  <c:v>11.369199999999996</c:v>
                </c:pt>
                <c:pt idx="2">
                  <c:v>11.388199999999994</c:v>
                </c:pt>
                <c:pt idx="3">
                  <c:v>11.413399999999998</c:v>
                </c:pt>
                <c:pt idx="4">
                  <c:v>11.434599999999998</c:v>
                </c:pt>
                <c:pt idx="5">
                  <c:v>11.448399999999998</c:v>
                </c:pt>
                <c:pt idx="6">
                  <c:v>11.459799999999996</c:v>
                </c:pt>
                <c:pt idx="7">
                  <c:v>11.467999999999996</c:v>
                </c:pt>
                <c:pt idx="8">
                  <c:v>11.466199999999994</c:v>
                </c:pt>
                <c:pt idx="9">
                  <c:v>11.463599999999996</c:v>
                </c:pt>
                <c:pt idx="10">
                  <c:v>11.463999999999997</c:v>
                </c:pt>
                <c:pt idx="11">
                  <c:v>11.463599999999996</c:v>
                </c:pt>
                <c:pt idx="12">
                  <c:v>11.461799999999998</c:v>
                </c:pt>
                <c:pt idx="13">
                  <c:v>11.455999999999996</c:v>
                </c:pt>
                <c:pt idx="14">
                  <c:v>11.4536</c:v>
                </c:pt>
                <c:pt idx="15">
                  <c:v>11.4506</c:v>
                </c:pt>
                <c:pt idx="16">
                  <c:v>11.4518</c:v>
                </c:pt>
                <c:pt idx="17">
                  <c:v>11.4594</c:v>
                </c:pt>
                <c:pt idx="18">
                  <c:v>11.476600000000001</c:v>
                </c:pt>
                <c:pt idx="19">
                  <c:v>11.495200000000002</c:v>
                </c:pt>
                <c:pt idx="20">
                  <c:v>11.508200000000004</c:v>
                </c:pt>
                <c:pt idx="21">
                  <c:v>11.529800000000005</c:v>
                </c:pt>
                <c:pt idx="22">
                  <c:v>11.546600000000005</c:v>
                </c:pt>
                <c:pt idx="23">
                  <c:v>11.574800000000005</c:v>
                </c:pt>
                <c:pt idx="24">
                  <c:v>11.599400000000005</c:v>
                </c:pt>
                <c:pt idx="25">
                  <c:v>11.612200000000003</c:v>
                </c:pt>
                <c:pt idx="26">
                  <c:v>11.625400000000004</c:v>
                </c:pt>
                <c:pt idx="27">
                  <c:v>11.638000000000002</c:v>
                </c:pt>
                <c:pt idx="28">
                  <c:v>11.644800000000002</c:v>
                </c:pt>
                <c:pt idx="29">
                  <c:v>11.6592</c:v>
                </c:pt>
                <c:pt idx="30">
                  <c:v>11.6732</c:v>
                </c:pt>
                <c:pt idx="31">
                  <c:v>11.687200000000001</c:v>
                </c:pt>
                <c:pt idx="32">
                  <c:v>11.697799999999999</c:v>
                </c:pt>
                <c:pt idx="33">
                  <c:v>11.710599999999999</c:v>
                </c:pt>
                <c:pt idx="34">
                  <c:v>11.724</c:v>
                </c:pt>
                <c:pt idx="35">
                  <c:v>11.7524</c:v>
                </c:pt>
                <c:pt idx="36">
                  <c:v>11.776</c:v>
                </c:pt>
                <c:pt idx="37">
                  <c:v>11.794</c:v>
                </c:pt>
                <c:pt idx="38">
                  <c:v>11.842000000000001</c:v>
                </c:pt>
                <c:pt idx="39">
                  <c:v>11.878400000000001</c:v>
                </c:pt>
                <c:pt idx="40">
                  <c:v>11.911799999999998</c:v>
                </c:pt>
                <c:pt idx="41">
                  <c:v>11.945</c:v>
                </c:pt>
                <c:pt idx="42">
                  <c:v>11.976400000000002</c:v>
                </c:pt>
                <c:pt idx="43">
                  <c:v>12.0124</c:v>
                </c:pt>
                <c:pt idx="44">
                  <c:v>12.037799999999999</c:v>
                </c:pt>
                <c:pt idx="45">
                  <c:v>12.057199999999998</c:v>
                </c:pt>
                <c:pt idx="46">
                  <c:v>12.082599999999999</c:v>
                </c:pt>
                <c:pt idx="47">
                  <c:v>12.106799999999998</c:v>
                </c:pt>
                <c:pt idx="48">
                  <c:v>12.136799999999999</c:v>
                </c:pt>
                <c:pt idx="49">
                  <c:v>12.1646</c:v>
                </c:pt>
                <c:pt idx="50">
                  <c:v>12.196200000000001</c:v>
                </c:pt>
                <c:pt idx="51">
                  <c:v>12.232799999999999</c:v>
                </c:pt>
                <c:pt idx="52">
                  <c:v>12.264800000000001</c:v>
                </c:pt>
                <c:pt idx="53">
                  <c:v>12.293800000000001</c:v>
                </c:pt>
                <c:pt idx="54">
                  <c:v>12.317600000000001</c:v>
                </c:pt>
                <c:pt idx="55">
                  <c:v>12.348199999999999</c:v>
                </c:pt>
                <c:pt idx="56">
                  <c:v>12.377800000000001</c:v>
                </c:pt>
                <c:pt idx="57">
                  <c:v>12.390799999999997</c:v>
                </c:pt>
                <c:pt idx="58">
                  <c:v>12.413800000000002</c:v>
                </c:pt>
                <c:pt idx="59">
                  <c:v>12.439400000000001</c:v>
                </c:pt>
                <c:pt idx="60">
                  <c:v>12.470599999999999</c:v>
                </c:pt>
                <c:pt idx="61">
                  <c:v>12.501199999999999</c:v>
                </c:pt>
                <c:pt idx="62">
                  <c:v>12.531999999999998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1A-4C5B-8CAE-449A3B5E6E24}"/>
            </c:ext>
          </c:extLst>
        </c:ser>
        <c:ser>
          <c:idx val="2"/>
          <c:order val="2"/>
          <c:tx>
            <c:strRef>
              <c:f>'SMA EMA'!$E$1</c:f>
              <c:strCache>
                <c:ptCount val="1"/>
                <c:pt idx="0">
                  <c:v>20 EMA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'SMA EMA'!$A$2:$A$228</c:f>
              <c:numCache>
                <c:formatCode>m/d/yyyy</c:formatCode>
                <c:ptCount val="63"/>
                <c:pt idx="0">
                  <c:v>45902</c:v>
                </c:pt>
                <c:pt idx="1">
                  <c:v>45903</c:v>
                </c:pt>
                <c:pt idx="2">
                  <c:v>45904</c:v>
                </c:pt>
                <c:pt idx="3">
                  <c:v>45905</c:v>
                </c:pt>
                <c:pt idx="4">
                  <c:v>45908</c:v>
                </c:pt>
                <c:pt idx="5">
                  <c:v>45909</c:v>
                </c:pt>
                <c:pt idx="6">
                  <c:v>45910</c:v>
                </c:pt>
                <c:pt idx="7">
                  <c:v>45911</c:v>
                </c:pt>
                <c:pt idx="8">
                  <c:v>45912</c:v>
                </c:pt>
                <c:pt idx="9">
                  <c:v>45915</c:v>
                </c:pt>
                <c:pt idx="10">
                  <c:v>45916</c:v>
                </c:pt>
                <c:pt idx="11">
                  <c:v>45917</c:v>
                </c:pt>
                <c:pt idx="12">
                  <c:v>45918</c:v>
                </c:pt>
                <c:pt idx="13">
                  <c:v>45919</c:v>
                </c:pt>
                <c:pt idx="14">
                  <c:v>45922</c:v>
                </c:pt>
                <c:pt idx="15">
                  <c:v>45923</c:v>
                </c:pt>
                <c:pt idx="16">
                  <c:v>45924</c:v>
                </c:pt>
                <c:pt idx="17">
                  <c:v>45925</c:v>
                </c:pt>
                <c:pt idx="18">
                  <c:v>45926</c:v>
                </c:pt>
                <c:pt idx="19">
                  <c:v>45929</c:v>
                </c:pt>
                <c:pt idx="20">
                  <c:v>45930</c:v>
                </c:pt>
                <c:pt idx="21">
                  <c:v>45931</c:v>
                </c:pt>
                <c:pt idx="22">
                  <c:v>45932</c:v>
                </c:pt>
                <c:pt idx="23">
                  <c:v>45933</c:v>
                </c:pt>
                <c:pt idx="24">
                  <c:v>45936</c:v>
                </c:pt>
                <c:pt idx="25">
                  <c:v>45937</c:v>
                </c:pt>
                <c:pt idx="26">
                  <c:v>45938</c:v>
                </c:pt>
                <c:pt idx="27">
                  <c:v>45939</c:v>
                </c:pt>
                <c:pt idx="28">
                  <c:v>45940</c:v>
                </c:pt>
                <c:pt idx="29">
                  <c:v>45943</c:v>
                </c:pt>
                <c:pt idx="30">
                  <c:v>45944</c:v>
                </c:pt>
                <c:pt idx="31">
                  <c:v>45945</c:v>
                </c:pt>
                <c:pt idx="32">
                  <c:v>45946</c:v>
                </c:pt>
                <c:pt idx="33">
                  <c:v>45947</c:v>
                </c:pt>
                <c:pt idx="34">
                  <c:v>45950</c:v>
                </c:pt>
                <c:pt idx="35">
                  <c:v>45951</c:v>
                </c:pt>
                <c:pt idx="36">
                  <c:v>45952</c:v>
                </c:pt>
                <c:pt idx="37">
                  <c:v>45953</c:v>
                </c:pt>
                <c:pt idx="38">
                  <c:v>45954</c:v>
                </c:pt>
                <c:pt idx="39">
                  <c:v>45957</c:v>
                </c:pt>
                <c:pt idx="40">
                  <c:v>45958</c:v>
                </c:pt>
                <c:pt idx="41">
                  <c:v>45959</c:v>
                </c:pt>
                <c:pt idx="42">
                  <c:v>45960</c:v>
                </c:pt>
                <c:pt idx="43">
                  <c:v>45961</c:v>
                </c:pt>
                <c:pt idx="44">
                  <c:v>45964</c:v>
                </c:pt>
                <c:pt idx="45">
                  <c:v>45965</c:v>
                </c:pt>
                <c:pt idx="46">
                  <c:v>45966</c:v>
                </c:pt>
                <c:pt idx="47">
                  <c:v>45967</c:v>
                </c:pt>
                <c:pt idx="48">
                  <c:v>45968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45978</c:v>
                </c:pt>
                <c:pt idx="55">
                  <c:v>45979</c:v>
                </c:pt>
                <c:pt idx="56">
                  <c:v>45980</c:v>
                </c:pt>
                <c:pt idx="57">
                  <c:v>45981</c:v>
                </c:pt>
                <c:pt idx="58">
                  <c:v>45982</c:v>
                </c:pt>
                <c:pt idx="59">
                  <c:v>45985</c:v>
                </c:pt>
                <c:pt idx="60">
                  <c:v>45986</c:v>
                </c:pt>
                <c:pt idx="61">
                  <c:v>45987</c:v>
                </c:pt>
                <c:pt idx="62">
                  <c:v>45989</c:v>
                </c:pt>
              </c:numCache>
            </c:numRef>
          </c:cat>
          <c:val>
            <c:numRef>
              <c:f>'SMA EMA'!$E$2:$E$228</c:f>
              <c:numCache>
                <c:formatCode>General</c:formatCode>
                <c:ptCount val="63"/>
                <c:pt idx="0">
                  <c:v>11.765238095238095</c:v>
                </c:pt>
                <c:pt idx="1">
                  <c:v>11.710476190476189</c:v>
                </c:pt>
                <c:pt idx="2">
                  <c:v>11.625714285714285</c:v>
                </c:pt>
                <c:pt idx="3">
                  <c:v>11.685714285714285</c:v>
                </c:pt>
                <c:pt idx="4">
                  <c:v>11.735238095238095</c:v>
                </c:pt>
                <c:pt idx="5">
                  <c:v>11.670952380952381</c:v>
                </c:pt>
                <c:pt idx="6">
                  <c:v>11.483333333333334</c:v>
                </c:pt>
                <c:pt idx="7">
                  <c:v>11.452380952380951</c:v>
                </c:pt>
                <c:pt idx="8">
                  <c:v>11.752380952380953</c:v>
                </c:pt>
                <c:pt idx="9">
                  <c:v>11.68</c:v>
                </c:pt>
                <c:pt idx="10">
                  <c:v>11.673333333333332</c:v>
                </c:pt>
                <c:pt idx="11">
                  <c:v>11.614761904761904</c:v>
                </c:pt>
                <c:pt idx="12">
                  <c:v>11.667619047619048</c:v>
                </c:pt>
                <c:pt idx="13">
                  <c:v>11.728571428571428</c:v>
                </c:pt>
                <c:pt idx="14">
                  <c:v>11.623809523809522</c:v>
                </c:pt>
                <c:pt idx="15">
                  <c:v>11.666666666666668</c:v>
                </c:pt>
                <c:pt idx="16">
                  <c:v>11.720476190476191</c:v>
                </c:pt>
                <c:pt idx="17">
                  <c:v>11.629047619047618</c:v>
                </c:pt>
                <c:pt idx="18">
                  <c:v>11.657142857142855</c:v>
                </c:pt>
                <c:pt idx="19">
                  <c:v>12.017619047619048</c:v>
                </c:pt>
                <c:pt idx="20">
                  <c:v>12.077619047619049</c:v>
                </c:pt>
                <c:pt idx="21">
                  <c:v>11.989523809523812</c:v>
                </c:pt>
                <c:pt idx="22">
                  <c:v>12.265238095238095</c:v>
                </c:pt>
                <c:pt idx="23">
                  <c:v>12.262857142857143</c:v>
                </c:pt>
                <c:pt idx="24">
                  <c:v>12.672857142857142</c:v>
                </c:pt>
                <c:pt idx="25">
                  <c:v>12.625714285714286</c:v>
                </c:pt>
                <c:pt idx="26">
                  <c:v>11.902857142857142</c:v>
                </c:pt>
                <c:pt idx="27">
                  <c:v>11.717142857142857</c:v>
                </c:pt>
                <c:pt idx="28">
                  <c:v>11.491428571428571</c:v>
                </c:pt>
                <c:pt idx="29">
                  <c:v>11.422380952380953</c:v>
                </c:pt>
                <c:pt idx="30">
                  <c:v>11.550476190476189</c:v>
                </c:pt>
                <c:pt idx="31">
                  <c:v>11.66047619047619</c:v>
                </c:pt>
                <c:pt idx="32">
                  <c:v>11.758095238095239</c:v>
                </c:pt>
                <c:pt idx="33">
                  <c:v>11.757142857142858</c:v>
                </c:pt>
                <c:pt idx="34">
                  <c:v>11.926666666666666</c:v>
                </c:pt>
                <c:pt idx="35">
                  <c:v>12.044285714285715</c:v>
                </c:pt>
                <c:pt idx="36">
                  <c:v>12.547619047619047</c:v>
                </c:pt>
                <c:pt idx="37">
                  <c:v>12.421428571428571</c:v>
                </c:pt>
                <c:pt idx="38">
                  <c:v>12.482857142857142</c:v>
                </c:pt>
                <c:pt idx="39">
                  <c:v>13.784761904761906</c:v>
                </c:pt>
                <c:pt idx="40">
                  <c:v>13.247619047619047</c:v>
                </c:pt>
                <c:pt idx="41">
                  <c:v>13.140476190476191</c:v>
                </c:pt>
                <c:pt idx="42">
                  <c:v>13.222857142857144</c:v>
                </c:pt>
                <c:pt idx="43">
                  <c:v>13.066666666666666</c:v>
                </c:pt>
                <c:pt idx="44">
                  <c:v>13.11857142857143</c:v>
                </c:pt>
                <c:pt idx="45">
                  <c:v>12.989047619047618</c:v>
                </c:pt>
                <c:pt idx="46">
                  <c:v>12.820476190476191</c:v>
                </c:pt>
                <c:pt idx="47">
                  <c:v>13.11095238095238</c:v>
                </c:pt>
                <c:pt idx="48">
                  <c:v>13.128571428571428</c:v>
                </c:pt>
                <c:pt idx="49">
                  <c:v>13.205238095238096</c:v>
                </c:pt>
                <c:pt idx="50">
                  <c:v>13.173333333333332</c:v>
                </c:pt>
                <c:pt idx="51">
                  <c:v>13.314285714285713</c:v>
                </c:pt>
                <c:pt idx="52">
                  <c:v>13.433809523809524</c:v>
                </c:pt>
                <c:pt idx="53">
                  <c:v>13.27142857142857</c:v>
                </c:pt>
                <c:pt idx="54">
                  <c:v>13.16047619047619</c:v>
                </c:pt>
                <c:pt idx="55">
                  <c:v>12.893333333333334</c:v>
                </c:pt>
                <c:pt idx="56">
                  <c:v>13.008571428571429</c:v>
                </c:pt>
                <c:pt idx="57">
                  <c:v>12.853333333333335</c:v>
                </c:pt>
                <c:pt idx="58">
                  <c:v>12.45</c:v>
                </c:pt>
                <c:pt idx="59">
                  <c:v>12.842380952380953</c:v>
                </c:pt>
                <c:pt idx="60">
                  <c:v>12.98</c:v>
                </c:pt>
                <c:pt idx="61">
                  <c:v>13.171904761904761</c:v>
                </c:pt>
                <c:pt idx="62">
                  <c:v>13.198571428571428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1A-4C5B-8CAE-449A3B5E6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34592"/>
        <c:axId val="61935072"/>
      </c:lineChart>
      <c:dateAx>
        <c:axId val="619345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35072"/>
        <c:crosses val="autoZero"/>
        <c:auto val="1"/>
        <c:lblOffset val="100"/>
        <c:baseTimeUnit val="days"/>
      </c:dateAx>
      <c:valAx>
        <c:axId val="61935072"/>
        <c:scaling>
          <c:orientation val="minMax"/>
          <c:min val="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3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Ford</a:t>
            </a:r>
            <a:r>
              <a:rPr lang="en-US" baseline="0"/>
              <a:t> Motor Volume + Close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1"/>
          <c:order val="1"/>
          <c:tx>
            <c:strRef>
              <c:f>Week!$C$1</c:f>
              <c:strCache>
                <c:ptCount val="1"/>
                <c:pt idx="0">
                  <c:v>Volume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Week!$A$2:$A$54</c:f>
              <c:numCache>
                <c:formatCode>m/d/yyyy</c:formatCode>
                <c:ptCount val="53"/>
                <c:pt idx="0">
                  <c:v>45621</c:v>
                </c:pt>
                <c:pt idx="1">
                  <c:v>45628</c:v>
                </c:pt>
                <c:pt idx="2">
                  <c:v>45635</c:v>
                </c:pt>
                <c:pt idx="3">
                  <c:v>45642</c:v>
                </c:pt>
                <c:pt idx="4">
                  <c:v>45649</c:v>
                </c:pt>
                <c:pt idx="5">
                  <c:v>45656</c:v>
                </c:pt>
                <c:pt idx="6">
                  <c:v>45663</c:v>
                </c:pt>
                <c:pt idx="7">
                  <c:v>45670</c:v>
                </c:pt>
                <c:pt idx="8">
                  <c:v>45678</c:v>
                </c:pt>
                <c:pt idx="9">
                  <c:v>45684</c:v>
                </c:pt>
                <c:pt idx="10">
                  <c:v>45691</c:v>
                </c:pt>
                <c:pt idx="11">
                  <c:v>45698</c:v>
                </c:pt>
                <c:pt idx="12">
                  <c:v>45706</c:v>
                </c:pt>
                <c:pt idx="13">
                  <c:v>45712</c:v>
                </c:pt>
                <c:pt idx="14">
                  <c:v>45719</c:v>
                </c:pt>
                <c:pt idx="15">
                  <c:v>45726</c:v>
                </c:pt>
                <c:pt idx="16">
                  <c:v>45733</c:v>
                </c:pt>
                <c:pt idx="17">
                  <c:v>45740</c:v>
                </c:pt>
                <c:pt idx="18">
                  <c:v>45747</c:v>
                </c:pt>
                <c:pt idx="19">
                  <c:v>45754</c:v>
                </c:pt>
                <c:pt idx="20">
                  <c:v>45761</c:v>
                </c:pt>
                <c:pt idx="21">
                  <c:v>45768</c:v>
                </c:pt>
                <c:pt idx="22">
                  <c:v>45775</c:v>
                </c:pt>
                <c:pt idx="23">
                  <c:v>45782</c:v>
                </c:pt>
                <c:pt idx="24">
                  <c:v>45789</c:v>
                </c:pt>
                <c:pt idx="25">
                  <c:v>45796</c:v>
                </c:pt>
                <c:pt idx="26">
                  <c:v>45804</c:v>
                </c:pt>
                <c:pt idx="27">
                  <c:v>45810</c:v>
                </c:pt>
                <c:pt idx="28">
                  <c:v>45817</c:v>
                </c:pt>
                <c:pt idx="29">
                  <c:v>45824</c:v>
                </c:pt>
                <c:pt idx="30">
                  <c:v>45831</c:v>
                </c:pt>
                <c:pt idx="31">
                  <c:v>45838</c:v>
                </c:pt>
                <c:pt idx="32">
                  <c:v>45845</c:v>
                </c:pt>
                <c:pt idx="33">
                  <c:v>45852</c:v>
                </c:pt>
                <c:pt idx="34">
                  <c:v>45859</c:v>
                </c:pt>
                <c:pt idx="35">
                  <c:v>45866</c:v>
                </c:pt>
                <c:pt idx="36">
                  <c:v>45873</c:v>
                </c:pt>
                <c:pt idx="37">
                  <c:v>45880</c:v>
                </c:pt>
                <c:pt idx="38">
                  <c:v>45887</c:v>
                </c:pt>
                <c:pt idx="39">
                  <c:v>45894</c:v>
                </c:pt>
                <c:pt idx="40">
                  <c:v>45902</c:v>
                </c:pt>
                <c:pt idx="41">
                  <c:v>45908</c:v>
                </c:pt>
                <c:pt idx="42">
                  <c:v>45915</c:v>
                </c:pt>
                <c:pt idx="43">
                  <c:v>45922</c:v>
                </c:pt>
                <c:pt idx="44">
                  <c:v>45929</c:v>
                </c:pt>
                <c:pt idx="45">
                  <c:v>45936</c:v>
                </c:pt>
                <c:pt idx="46">
                  <c:v>45943</c:v>
                </c:pt>
                <c:pt idx="47">
                  <c:v>45950</c:v>
                </c:pt>
                <c:pt idx="48">
                  <c:v>45957</c:v>
                </c:pt>
                <c:pt idx="49">
                  <c:v>45964</c:v>
                </c:pt>
                <c:pt idx="50">
                  <c:v>45971</c:v>
                </c:pt>
                <c:pt idx="51">
                  <c:v>45978</c:v>
                </c:pt>
                <c:pt idx="52">
                  <c:v>45985</c:v>
                </c:pt>
              </c:numCache>
            </c:numRef>
          </c:cat>
          <c:val>
            <c:numRef>
              <c:f>Week!$C$2:$C$54</c:f>
              <c:numCache>
                <c:formatCode>#,##0</c:formatCode>
                <c:ptCount val="53"/>
                <c:pt idx="0">
                  <c:v>171043339</c:v>
                </c:pt>
                <c:pt idx="1">
                  <c:v>289691308</c:v>
                </c:pt>
                <c:pt idx="2">
                  <c:v>241617133</c:v>
                </c:pt>
                <c:pt idx="3">
                  <c:v>432885292</c:v>
                </c:pt>
                <c:pt idx="4">
                  <c:v>171295692</c:v>
                </c:pt>
                <c:pt idx="5">
                  <c:v>249571203</c:v>
                </c:pt>
                <c:pt idx="6">
                  <c:v>265497295</c:v>
                </c:pt>
                <c:pt idx="7">
                  <c:v>291298482</c:v>
                </c:pt>
                <c:pt idx="8">
                  <c:v>233463537</c:v>
                </c:pt>
                <c:pt idx="9">
                  <c:v>415204963</c:v>
                </c:pt>
                <c:pt idx="10">
                  <c:v>699003888</c:v>
                </c:pt>
                <c:pt idx="11">
                  <c:v>325337135</c:v>
                </c:pt>
                <c:pt idx="12">
                  <c:v>210592944</c:v>
                </c:pt>
                <c:pt idx="13">
                  <c:v>457898876</c:v>
                </c:pt>
                <c:pt idx="14">
                  <c:v>767036393</c:v>
                </c:pt>
                <c:pt idx="15">
                  <c:v>736366766</c:v>
                </c:pt>
                <c:pt idx="16">
                  <c:v>675753741</c:v>
                </c:pt>
                <c:pt idx="17">
                  <c:v>693398425</c:v>
                </c:pt>
                <c:pt idx="18">
                  <c:v>809986245</c:v>
                </c:pt>
                <c:pt idx="19">
                  <c:v>983497398</c:v>
                </c:pt>
                <c:pt idx="20">
                  <c:v>578433532</c:v>
                </c:pt>
                <c:pt idx="21">
                  <c:v>549930964</c:v>
                </c:pt>
                <c:pt idx="22">
                  <c:v>564199213</c:v>
                </c:pt>
                <c:pt idx="23">
                  <c:v>538041055</c:v>
                </c:pt>
                <c:pt idx="24">
                  <c:v>406169398</c:v>
                </c:pt>
                <c:pt idx="25">
                  <c:v>384950227</c:v>
                </c:pt>
                <c:pt idx="26">
                  <c:v>445282935</c:v>
                </c:pt>
                <c:pt idx="27">
                  <c:v>654302478</c:v>
                </c:pt>
                <c:pt idx="28">
                  <c:v>411188768</c:v>
                </c:pt>
                <c:pt idx="29">
                  <c:v>375678124</c:v>
                </c:pt>
                <c:pt idx="30">
                  <c:v>517172850</c:v>
                </c:pt>
                <c:pt idx="31">
                  <c:v>411266020</c:v>
                </c:pt>
                <c:pt idx="32">
                  <c:v>344522957</c:v>
                </c:pt>
                <c:pt idx="33">
                  <c:v>374335931</c:v>
                </c:pt>
                <c:pt idx="34">
                  <c:v>336952645</c:v>
                </c:pt>
                <c:pt idx="35">
                  <c:v>367044361</c:v>
                </c:pt>
                <c:pt idx="36">
                  <c:v>295321212</c:v>
                </c:pt>
                <c:pt idx="37">
                  <c:v>310787949</c:v>
                </c:pt>
                <c:pt idx="38">
                  <c:v>251921840</c:v>
                </c:pt>
                <c:pt idx="39">
                  <c:v>225826906</c:v>
                </c:pt>
                <c:pt idx="40">
                  <c:v>186117323</c:v>
                </c:pt>
                <c:pt idx="41">
                  <c:v>242315520</c:v>
                </c:pt>
                <c:pt idx="42">
                  <c:v>301309750</c:v>
                </c:pt>
                <c:pt idx="43">
                  <c:v>359632227</c:v>
                </c:pt>
                <c:pt idx="44">
                  <c:v>402977577</c:v>
                </c:pt>
                <c:pt idx="45">
                  <c:v>478320629</c:v>
                </c:pt>
                <c:pt idx="46">
                  <c:v>468352780</c:v>
                </c:pt>
                <c:pt idx="47">
                  <c:v>1568301441</c:v>
                </c:pt>
                <c:pt idx="48">
                  <c:v>514737984</c:v>
                </c:pt>
                <c:pt idx="49">
                  <c:v>392216688</c:v>
                </c:pt>
                <c:pt idx="50">
                  <c:v>343048058</c:v>
                </c:pt>
                <c:pt idx="51">
                  <c:v>363149764</c:v>
                </c:pt>
                <c:pt idx="52">
                  <c:v>180299593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49-4D37-9EA7-FDFEDECF4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838112"/>
        <c:axId val="61850592"/>
      </c:areaChart>
      <c:lineChart>
        <c:grouping val="standard"/>
        <c:varyColors val="0"/>
        <c:ser>
          <c:idx val="0"/>
          <c:order val="0"/>
          <c:tx>
            <c:strRef>
              <c:f>Week!$B$1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Week!$A$2:$A$54</c:f>
              <c:numCache>
                <c:formatCode>m/d/yyyy</c:formatCode>
                <c:ptCount val="53"/>
                <c:pt idx="0">
                  <c:v>45621</c:v>
                </c:pt>
                <c:pt idx="1">
                  <c:v>45628</c:v>
                </c:pt>
                <c:pt idx="2">
                  <c:v>45635</c:v>
                </c:pt>
                <c:pt idx="3">
                  <c:v>45642</c:v>
                </c:pt>
                <c:pt idx="4">
                  <c:v>45649</c:v>
                </c:pt>
                <c:pt idx="5">
                  <c:v>45656</c:v>
                </c:pt>
                <c:pt idx="6">
                  <c:v>45663</c:v>
                </c:pt>
                <c:pt idx="7">
                  <c:v>45670</c:v>
                </c:pt>
                <c:pt idx="8">
                  <c:v>45678</c:v>
                </c:pt>
                <c:pt idx="9">
                  <c:v>45684</c:v>
                </c:pt>
                <c:pt idx="10">
                  <c:v>45691</c:v>
                </c:pt>
                <c:pt idx="11">
                  <c:v>45698</c:v>
                </c:pt>
                <c:pt idx="12">
                  <c:v>45706</c:v>
                </c:pt>
                <c:pt idx="13">
                  <c:v>45712</c:v>
                </c:pt>
                <c:pt idx="14">
                  <c:v>45719</c:v>
                </c:pt>
                <c:pt idx="15">
                  <c:v>45726</c:v>
                </c:pt>
                <c:pt idx="16">
                  <c:v>45733</c:v>
                </c:pt>
                <c:pt idx="17">
                  <c:v>45740</c:v>
                </c:pt>
                <c:pt idx="18">
                  <c:v>45747</c:v>
                </c:pt>
                <c:pt idx="19">
                  <c:v>45754</c:v>
                </c:pt>
                <c:pt idx="20">
                  <c:v>45761</c:v>
                </c:pt>
                <c:pt idx="21">
                  <c:v>45768</c:v>
                </c:pt>
                <c:pt idx="22">
                  <c:v>45775</c:v>
                </c:pt>
                <c:pt idx="23">
                  <c:v>45782</c:v>
                </c:pt>
                <c:pt idx="24">
                  <c:v>45789</c:v>
                </c:pt>
                <c:pt idx="25">
                  <c:v>45796</c:v>
                </c:pt>
                <c:pt idx="26">
                  <c:v>45804</c:v>
                </c:pt>
                <c:pt idx="27">
                  <c:v>45810</c:v>
                </c:pt>
                <c:pt idx="28">
                  <c:v>45817</c:v>
                </c:pt>
                <c:pt idx="29">
                  <c:v>45824</c:v>
                </c:pt>
                <c:pt idx="30">
                  <c:v>45831</c:v>
                </c:pt>
                <c:pt idx="31">
                  <c:v>45838</c:v>
                </c:pt>
                <c:pt idx="32">
                  <c:v>45845</c:v>
                </c:pt>
                <c:pt idx="33">
                  <c:v>45852</c:v>
                </c:pt>
                <c:pt idx="34">
                  <c:v>45859</c:v>
                </c:pt>
                <c:pt idx="35">
                  <c:v>45866</c:v>
                </c:pt>
                <c:pt idx="36">
                  <c:v>45873</c:v>
                </c:pt>
                <c:pt idx="37">
                  <c:v>45880</c:v>
                </c:pt>
                <c:pt idx="38">
                  <c:v>45887</c:v>
                </c:pt>
                <c:pt idx="39">
                  <c:v>45894</c:v>
                </c:pt>
                <c:pt idx="40">
                  <c:v>45902</c:v>
                </c:pt>
                <c:pt idx="41">
                  <c:v>45908</c:v>
                </c:pt>
                <c:pt idx="42">
                  <c:v>45915</c:v>
                </c:pt>
                <c:pt idx="43">
                  <c:v>45922</c:v>
                </c:pt>
                <c:pt idx="44">
                  <c:v>45929</c:v>
                </c:pt>
                <c:pt idx="45">
                  <c:v>45936</c:v>
                </c:pt>
                <c:pt idx="46">
                  <c:v>45943</c:v>
                </c:pt>
                <c:pt idx="47">
                  <c:v>45950</c:v>
                </c:pt>
                <c:pt idx="48">
                  <c:v>45957</c:v>
                </c:pt>
                <c:pt idx="49">
                  <c:v>45964</c:v>
                </c:pt>
                <c:pt idx="50">
                  <c:v>45971</c:v>
                </c:pt>
                <c:pt idx="51">
                  <c:v>45978</c:v>
                </c:pt>
                <c:pt idx="52">
                  <c:v>45985</c:v>
                </c:pt>
              </c:numCache>
            </c:numRef>
          </c:cat>
          <c:val>
            <c:numRef>
              <c:f>Week!$B$2:$B$54</c:f>
              <c:numCache>
                <c:formatCode>_([$$-409]* #,##0.00_);_([$$-409]* \(#,##0.00\);_([$$-409]* "-"??_);_(@_)</c:formatCode>
                <c:ptCount val="53"/>
                <c:pt idx="0">
                  <c:v>10.953900000000001</c:v>
                </c:pt>
                <c:pt idx="1">
                  <c:v>10.3437</c:v>
                </c:pt>
                <c:pt idx="2">
                  <c:v>10.2256</c:v>
                </c:pt>
                <c:pt idx="3">
                  <c:v>9.7236999999999991</c:v>
                </c:pt>
                <c:pt idx="4">
                  <c:v>9.8712999999999997</c:v>
                </c:pt>
                <c:pt idx="5">
                  <c:v>9.7236999999999991</c:v>
                </c:pt>
                <c:pt idx="6">
                  <c:v>9.4972999999999992</c:v>
                </c:pt>
                <c:pt idx="7">
                  <c:v>10.019</c:v>
                </c:pt>
                <c:pt idx="8">
                  <c:v>9.9598999999999993</c:v>
                </c:pt>
                <c:pt idx="9">
                  <c:v>9.9205000000000005</c:v>
                </c:pt>
                <c:pt idx="10">
                  <c:v>9.0937999999999999</c:v>
                </c:pt>
                <c:pt idx="11">
                  <c:v>9.33</c:v>
                </c:pt>
                <c:pt idx="12">
                  <c:v>9.2799999999999994</c:v>
                </c:pt>
                <c:pt idx="13">
                  <c:v>9.5500000000000007</c:v>
                </c:pt>
                <c:pt idx="14">
                  <c:v>9.9</c:v>
                </c:pt>
                <c:pt idx="15">
                  <c:v>9.73</c:v>
                </c:pt>
                <c:pt idx="16">
                  <c:v>10</c:v>
                </c:pt>
                <c:pt idx="17">
                  <c:v>9.7200000000000006</c:v>
                </c:pt>
                <c:pt idx="18">
                  <c:v>9.58</c:v>
                </c:pt>
                <c:pt idx="19">
                  <c:v>9.33</c:v>
                </c:pt>
                <c:pt idx="20">
                  <c:v>9.6300000000000008</c:v>
                </c:pt>
                <c:pt idx="21">
                  <c:v>10.039999999999999</c:v>
                </c:pt>
                <c:pt idx="22">
                  <c:v>10.28</c:v>
                </c:pt>
                <c:pt idx="23">
                  <c:v>10.43</c:v>
                </c:pt>
                <c:pt idx="24">
                  <c:v>10.8</c:v>
                </c:pt>
                <c:pt idx="25">
                  <c:v>10.36</c:v>
                </c:pt>
                <c:pt idx="26">
                  <c:v>10.38</c:v>
                </c:pt>
                <c:pt idx="27">
                  <c:v>10.26</c:v>
                </c:pt>
                <c:pt idx="28">
                  <c:v>10.43</c:v>
                </c:pt>
                <c:pt idx="29">
                  <c:v>10.59</c:v>
                </c:pt>
                <c:pt idx="30">
                  <c:v>10.8</c:v>
                </c:pt>
                <c:pt idx="31">
                  <c:v>11.81</c:v>
                </c:pt>
                <c:pt idx="32">
                  <c:v>11.78</c:v>
                </c:pt>
                <c:pt idx="33">
                  <c:v>11.16</c:v>
                </c:pt>
                <c:pt idx="34">
                  <c:v>11.47</c:v>
                </c:pt>
                <c:pt idx="35">
                  <c:v>10.82</c:v>
                </c:pt>
                <c:pt idx="36">
                  <c:v>11.32</c:v>
                </c:pt>
                <c:pt idx="37">
                  <c:v>11.44</c:v>
                </c:pt>
                <c:pt idx="38">
                  <c:v>11.74</c:v>
                </c:pt>
                <c:pt idx="39">
                  <c:v>11.77</c:v>
                </c:pt>
                <c:pt idx="40">
                  <c:v>11.74</c:v>
                </c:pt>
                <c:pt idx="41">
                  <c:v>11.68</c:v>
                </c:pt>
                <c:pt idx="42">
                  <c:v>11.62</c:v>
                </c:pt>
                <c:pt idx="43">
                  <c:v>12.01</c:v>
                </c:pt>
                <c:pt idx="44">
                  <c:v>12.67</c:v>
                </c:pt>
                <c:pt idx="45">
                  <c:v>11.41</c:v>
                </c:pt>
                <c:pt idx="46">
                  <c:v>11.92</c:v>
                </c:pt>
                <c:pt idx="47">
                  <c:v>13.84</c:v>
                </c:pt>
                <c:pt idx="48">
                  <c:v>13.13</c:v>
                </c:pt>
                <c:pt idx="49">
                  <c:v>13.21</c:v>
                </c:pt>
                <c:pt idx="50">
                  <c:v>13.19</c:v>
                </c:pt>
                <c:pt idx="51">
                  <c:v>12.83</c:v>
                </c:pt>
                <c:pt idx="52">
                  <c:v>13.28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49-4D37-9EA7-FDFEDECF4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846752"/>
        <c:axId val="61847712"/>
      </c:lineChart>
      <c:dateAx>
        <c:axId val="618467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47712"/>
        <c:crosses val="autoZero"/>
        <c:auto val="1"/>
        <c:lblOffset val="100"/>
        <c:baseTimeUnit val="days"/>
      </c:dateAx>
      <c:valAx>
        <c:axId val="61847712"/>
        <c:scaling>
          <c:orientation val="minMax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46752"/>
        <c:crosses val="autoZero"/>
        <c:crossBetween val="between"/>
      </c:valAx>
      <c:valAx>
        <c:axId val="61850592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38112"/>
        <c:crosses val="max"/>
        <c:crossBetween val="between"/>
      </c:valAx>
      <c:dateAx>
        <c:axId val="6183811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1850592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1"/>
          <c:order val="1"/>
          <c:tx>
            <c:strRef>
              <c:f>stockhistory!$F$1</c:f>
              <c:strCache>
                <c:ptCount val="1"/>
                <c:pt idx="0">
                  <c:v>Volume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stockhistory!$A$2:$A$101</c:f>
              <c:numCache>
                <c:formatCode>m/d/yyyy</c:formatCode>
                <c:ptCount val="100"/>
                <c:pt idx="0">
                  <c:v>45293</c:v>
                </c:pt>
                <c:pt idx="1">
                  <c:v>45299</c:v>
                </c:pt>
                <c:pt idx="2">
                  <c:v>45307</c:v>
                </c:pt>
                <c:pt idx="3">
                  <c:v>45313</c:v>
                </c:pt>
                <c:pt idx="4">
                  <c:v>45320</c:v>
                </c:pt>
                <c:pt idx="5">
                  <c:v>45327</c:v>
                </c:pt>
                <c:pt idx="6">
                  <c:v>45334</c:v>
                </c:pt>
                <c:pt idx="7">
                  <c:v>45342</c:v>
                </c:pt>
                <c:pt idx="8">
                  <c:v>45348</c:v>
                </c:pt>
                <c:pt idx="9">
                  <c:v>45355</c:v>
                </c:pt>
                <c:pt idx="10">
                  <c:v>45362</c:v>
                </c:pt>
                <c:pt idx="11">
                  <c:v>45369</c:v>
                </c:pt>
                <c:pt idx="12">
                  <c:v>45376</c:v>
                </c:pt>
                <c:pt idx="13">
                  <c:v>45383</c:v>
                </c:pt>
                <c:pt idx="14">
                  <c:v>45390</c:v>
                </c:pt>
                <c:pt idx="15">
                  <c:v>45397</c:v>
                </c:pt>
                <c:pt idx="16">
                  <c:v>45404</c:v>
                </c:pt>
                <c:pt idx="17">
                  <c:v>45411</c:v>
                </c:pt>
                <c:pt idx="18">
                  <c:v>45418</c:v>
                </c:pt>
                <c:pt idx="19">
                  <c:v>45425</c:v>
                </c:pt>
                <c:pt idx="20">
                  <c:v>45432</c:v>
                </c:pt>
                <c:pt idx="21">
                  <c:v>45440</c:v>
                </c:pt>
                <c:pt idx="22">
                  <c:v>45446</c:v>
                </c:pt>
                <c:pt idx="23">
                  <c:v>45453</c:v>
                </c:pt>
                <c:pt idx="24">
                  <c:v>45460</c:v>
                </c:pt>
                <c:pt idx="25">
                  <c:v>45467</c:v>
                </c:pt>
                <c:pt idx="26">
                  <c:v>45474</c:v>
                </c:pt>
                <c:pt idx="27">
                  <c:v>45481</c:v>
                </c:pt>
                <c:pt idx="28">
                  <c:v>45488</c:v>
                </c:pt>
                <c:pt idx="29">
                  <c:v>45495</c:v>
                </c:pt>
                <c:pt idx="30">
                  <c:v>45502</c:v>
                </c:pt>
                <c:pt idx="31">
                  <c:v>45509</c:v>
                </c:pt>
                <c:pt idx="32">
                  <c:v>45516</c:v>
                </c:pt>
                <c:pt idx="33">
                  <c:v>45523</c:v>
                </c:pt>
                <c:pt idx="34">
                  <c:v>45530</c:v>
                </c:pt>
                <c:pt idx="35">
                  <c:v>45538</c:v>
                </c:pt>
                <c:pt idx="36">
                  <c:v>45544</c:v>
                </c:pt>
                <c:pt idx="37">
                  <c:v>45551</c:v>
                </c:pt>
                <c:pt idx="38">
                  <c:v>45558</c:v>
                </c:pt>
                <c:pt idx="39">
                  <c:v>45565</c:v>
                </c:pt>
                <c:pt idx="40">
                  <c:v>45572</c:v>
                </c:pt>
                <c:pt idx="41">
                  <c:v>45579</c:v>
                </c:pt>
                <c:pt idx="42">
                  <c:v>45586</c:v>
                </c:pt>
                <c:pt idx="43">
                  <c:v>45593</c:v>
                </c:pt>
                <c:pt idx="44">
                  <c:v>45600</c:v>
                </c:pt>
                <c:pt idx="45">
                  <c:v>45607</c:v>
                </c:pt>
                <c:pt idx="46">
                  <c:v>45614</c:v>
                </c:pt>
                <c:pt idx="47">
                  <c:v>45621</c:v>
                </c:pt>
                <c:pt idx="48">
                  <c:v>45628</c:v>
                </c:pt>
                <c:pt idx="49">
                  <c:v>45635</c:v>
                </c:pt>
                <c:pt idx="50">
                  <c:v>45642</c:v>
                </c:pt>
                <c:pt idx="51">
                  <c:v>45649</c:v>
                </c:pt>
                <c:pt idx="52">
                  <c:v>45656</c:v>
                </c:pt>
                <c:pt idx="53">
                  <c:v>45663</c:v>
                </c:pt>
                <c:pt idx="54">
                  <c:v>45670</c:v>
                </c:pt>
                <c:pt idx="55">
                  <c:v>45678</c:v>
                </c:pt>
                <c:pt idx="56">
                  <c:v>45684</c:v>
                </c:pt>
                <c:pt idx="57">
                  <c:v>45691</c:v>
                </c:pt>
                <c:pt idx="58">
                  <c:v>45698</c:v>
                </c:pt>
                <c:pt idx="59">
                  <c:v>45706</c:v>
                </c:pt>
                <c:pt idx="60">
                  <c:v>45712</c:v>
                </c:pt>
                <c:pt idx="61">
                  <c:v>45719</c:v>
                </c:pt>
                <c:pt idx="62">
                  <c:v>45726</c:v>
                </c:pt>
                <c:pt idx="63">
                  <c:v>45733</c:v>
                </c:pt>
                <c:pt idx="64">
                  <c:v>45740</c:v>
                </c:pt>
                <c:pt idx="65">
                  <c:v>45747</c:v>
                </c:pt>
                <c:pt idx="66">
                  <c:v>45754</c:v>
                </c:pt>
                <c:pt idx="67">
                  <c:v>45761</c:v>
                </c:pt>
                <c:pt idx="68">
                  <c:v>45768</c:v>
                </c:pt>
                <c:pt idx="69">
                  <c:v>45775</c:v>
                </c:pt>
                <c:pt idx="70">
                  <c:v>45782</c:v>
                </c:pt>
                <c:pt idx="71">
                  <c:v>45789</c:v>
                </c:pt>
                <c:pt idx="72">
                  <c:v>45796</c:v>
                </c:pt>
                <c:pt idx="73">
                  <c:v>45804</c:v>
                </c:pt>
                <c:pt idx="74">
                  <c:v>45810</c:v>
                </c:pt>
                <c:pt idx="75">
                  <c:v>45817</c:v>
                </c:pt>
                <c:pt idx="76">
                  <c:v>45824</c:v>
                </c:pt>
                <c:pt idx="77">
                  <c:v>45831</c:v>
                </c:pt>
                <c:pt idx="78">
                  <c:v>45838</c:v>
                </c:pt>
                <c:pt idx="79">
                  <c:v>45845</c:v>
                </c:pt>
                <c:pt idx="80">
                  <c:v>45852</c:v>
                </c:pt>
                <c:pt idx="81">
                  <c:v>45859</c:v>
                </c:pt>
                <c:pt idx="82">
                  <c:v>45866</c:v>
                </c:pt>
                <c:pt idx="83">
                  <c:v>45873</c:v>
                </c:pt>
                <c:pt idx="84">
                  <c:v>45880</c:v>
                </c:pt>
                <c:pt idx="85">
                  <c:v>45887</c:v>
                </c:pt>
                <c:pt idx="86">
                  <c:v>45894</c:v>
                </c:pt>
                <c:pt idx="87">
                  <c:v>45902</c:v>
                </c:pt>
                <c:pt idx="88">
                  <c:v>45908</c:v>
                </c:pt>
                <c:pt idx="89">
                  <c:v>45915</c:v>
                </c:pt>
                <c:pt idx="90">
                  <c:v>45922</c:v>
                </c:pt>
                <c:pt idx="91">
                  <c:v>45929</c:v>
                </c:pt>
                <c:pt idx="92">
                  <c:v>45936</c:v>
                </c:pt>
                <c:pt idx="93">
                  <c:v>45943</c:v>
                </c:pt>
                <c:pt idx="94">
                  <c:v>45950</c:v>
                </c:pt>
                <c:pt idx="95">
                  <c:v>45957</c:v>
                </c:pt>
                <c:pt idx="96">
                  <c:v>45964</c:v>
                </c:pt>
                <c:pt idx="97">
                  <c:v>45971</c:v>
                </c:pt>
                <c:pt idx="98">
                  <c:v>45978</c:v>
                </c:pt>
                <c:pt idx="99">
                  <c:v>45985</c:v>
                </c:pt>
              </c:numCache>
            </c:numRef>
          </c:cat>
          <c:val>
            <c:numRef>
              <c:f>stockhistory!$F$2:$F$101</c:f>
              <c:numCache>
                <c:formatCode>#,##0</c:formatCode>
                <c:ptCount val="100"/>
                <c:pt idx="0">
                  <c:v>220466869</c:v>
                </c:pt>
                <c:pt idx="1">
                  <c:v>236046571</c:v>
                </c:pt>
                <c:pt idx="2">
                  <c:v>234397718</c:v>
                </c:pt>
                <c:pt idx="3">
                  <c:v>238983894</c:v>
                </c:pt>
                <c:pt idx="4">
                  <c:v>362960548</c:v>
                </c:pt>
                <c:pt idx="5">
                  <c:v>440791593</c:v>
                </c:pt>
                <c:pt idx="6">
                  <c:v>280399214</c:v>
                </c:pt>
                <c:pt idx="7">
                  <c:v>158135547</c:v>
                </c:pt>
                <c:pt idx="8">
                  <c:v>223595206</c:v>
                </c:pt>
                <c:pt idx="9">
                  <c:v>276674180</c:v>
                </c:pt>
                <c:pt idx="10">
                  <c:v>261994532</c:v>
                </c:pt>
                <c:pt idx="11">
                  <c:v>229581350</c:v>
                </c:pt>
                <c:pt idx="12">
                  <c:v>225168058</c:v>
                </c:pt>
                <c:pt idx="13">
                  <c:v>254831786</c:v>
                </c:pt>
                <c:pt idx="14">
                  <c:v>210914337</c:v>
                </c:pt>
                <c:pt idx="15">
                  <c:v>242891616</c:v>
                </c:pt>
                <c:pt idx="16">
                  <c:v>373897138</c:v>
                </c:pt>
                <c:pt idx="17">
                  <c:v>273723195</c:v>
                </c:pt>
                <c:pt idx="18">
                  <c:v>199772430</c:v>
                </c:pt>
                <c:pt idx="19">
                  <c:v>220687341</c:v>
                </c:pt>
                <c:pt idx="20">
                  <c:v>182592170</c:v>
                </c:pt>
                <c:pt idx="21">
                  <c:v>205932651</c:v>
                </c:pt>
                <c:pt idx="22">
                  <c:v>204282584</c:v>
                </c:pt>
                <c:pt idx="23">
                  <c:v>268720704</c:v>
                </c:pt>
                <c:pt idx="24">
                  <c:v>167310231</c:v>
                </c:pt>
                <c:pt idx="25">
                  <c:v>257252113</c:v>
                </c:pt>
                <c:pt idx="26">
                  <c:v>164224667</c:v>
                </c:pt>
                <c:pt idx="27">
                  <c:v>262593926</c:v>
                </c:pt>
                <c:pt idx="28">
                  <c:v>314735186</c:v>
                </c:pt>
                <c:pt idx="29">
                  <c:v>574962896</c:v>
                </c:pt>
                <c:pt idx="30">
                  <c:v>414255529</c:v>
                </c:pt>
                <c:pt idx="31">
                  <c:v>425494048</c:v>
                </c:pt>
                <c:pt idx="32">
                  <c:v>217086067</c:v>
                </c:pt>
                <c:pt idx="33">
                  <c:v>241801554</c:v>
                </c:pt>
                <c:pt idx="34">
                  <c:v>226909417</c:v>
                </c:pt>
                <c:pt idx="35">
                  <c:v>198718751</c:v>
                </c:pt>
                <c:pt idx="36">
                  <c:v>240885760</c:v>
                </c:pt>
                <c:pt idx="37">
                  <c:v>267363556</c:v>
                </c:pt>
                <c:pt idx="38">
                  <c:v>253160255</c:v>
                </c:pt>
                <c:pt idx="39">
                  <c:v>269824867</c:v>
                </c:pt>
                <c:pt idx="40">
                  <c:v>199298793</c:v>
                </c:pt>
                <c:pt idx="41">
                  <c:v>209032596</c:v>
                </c:pt>
                <c:pt idx="42">
                  <c:v>217235431</c:v>
                </c:pt>
                <c:pt idx="43">
                  <c:v>425348730</c:v>
                </c:pt>
                <c:pt idx="44">
                  <c:v>311209296</c:v>
                </c:pt>
                <c:pt idx="45">
                  <c:v>276757329</c:v>
                </c:pt>
                <c:pt idx="46">
                  <c:v>310547701</c:v>
                </c:pt>
                <c:pt idx="47">
                  <c:v>171043339</c:v>
                </c:pt>
                <c:pt idx="48">
                  <c:v>289691308</c:v>
                </c:pt>
                <c:pt idx="49">
                  <c:v>241617133</c:v>
                </c:pt>
                <c:pt idx="50">
                  <c:v>432885292</c:v>
                </c:pt>
                <c:pt idx="51">
                  <c:v>171295692</c:v>
                </c:pt>
                <c:pt idx="52">
                  <c:v>249571203</c:v>
                </c:pt>
                <c:pt idx="53">
                  <c:v>265497295</c:v>
                </c:pt>
                <c:pt idx="54">
                  <c:v>291298482</c:v>
                </c:pt>
                <c:pt idx="55">
                  <c:v>233463537</c:v>
                </c:pt>
                <c:pt idx="56">
                  <c:v>415204963</c:v>
                </c:pt>
                <c:pt idx="57">
                  <c:v>699003888</c:v>
                </c:pt>
                <c:pt idx="58">
                  <c:v>325337135</c:v>
                </c:pt>
                <c:pt idx="59">
                  <c:v>210592944</c:v>
                </c:pt>
                <c:pt idx="60">
                  <c:v>457898876</c:v>
                </c:pt>
                <c:pt idx="61">
                  <c:v>767036393</c:v>
                </c:pt>
                <c:pt idx="62">
                  <c:v>736366766</c:v>
                </c:pt>
                <c:pt idx="63">
                  <c:v>675753741</c:v>
                </c:pt>
                <c:pt idx="64">
                  <c:v>693398425</c:v>
                </c:pt>
                <c:pt idx="65">
                  <c:v>809986245</c:v>
                </c:pt>
                <c:pt idx="66">
                  <c:v>983497398</c:v>
                </c:pt>
                <c:pt idx="67">
                  <c:v>578433532</c:v>
                </c:pt>
                <c:pt idx="68">
                  <c:v>549930964</c:v>
                </c:pt>
                <c:pt idx="69">
                  <c:v>564199213</c:v>
                </c:pt>
                <c:pt idx="70">
                  <c:v>538041055</c:v>
                </c:pt>
                <c:pt idx="71">
                  <c:v>406169398</c:v>
                </c:pt>
                <c:pt idx="72">
                  <c:v>384950227</c:v>
                </c:pt>
                <c:pt idx="73">
                  <c:v>445282935</c:v>
                </c:pt>
                <c:pt idx="74">
                  <c:v>654302478</c:v>
                </c:pt>
                <c:pt idx="75">
                  <c:v>411188768</c:v>
                </c:pt>
                <c:pt idx="76">
                  <c:v>375678124</c:v>
                </c:pt>
                <c:pt idx="77">
                  <c:v>517172850</c:v>
                </c:pt>
                <c:pt idx="78">
                  <c:v>411266020</c:v>
                </c:pt>
                <c:pt idx="79">
                  <c:v>344522957</c:v>
                </c:pt>
                <c:pt idx="80">
                  <c:v>374335931</c:v>
                </c:pt>
                <c:pt idx="81">
                  <c:v>336952645</c:v>
                </c:pt>
                <c:pt idx="82">
                  <c:v>367044361</c:v>
                </c:pt>
                <c:pt idx="83">
                  <c:v>295321212</c:v>
                </c:pt>
                <c:pt idx="84">
                  <c:v>310787949</c:v>
                </c:pt>
                <c:pt idx="85">
                  <c:v>251921840</c:v>
                </c:pt>
                <c:pt idx="86">
                  <c:v>225826906</c:v>
                </c:pt>
                <c:pt idx="87">
                  <c:v>186117323</c:v>
                </c:pt>
                <c:pt idx="88">
                  <c:v>242315520</c:v>
                </c:pt>
                <c:pt idx="89">
                  <c:v>301309750</c:v>
                </c:pt>
                <c:pt idx="90">
                  <c:v>359632227</c:v>
                </c:pt>
                <c:pt idx="91">
                  <c:v>402977577</c:v>
                </c:pt>
                <c:pt idx="92">
                  <c:v>478320629</c:v>
                </c:pt>
                <c:pt idx="93">
                  <c:v>468352780</c:v>
                </c:pt>
                <c:pt idx="94">
                  <c:v>1568301441</c:v>
                </c:pt>
                <c:pt idx="95">
                  <c:v>514737984</c:v>
                </c:pt>
                <c:pt idx="96">
                  <c:v>392216688</c:v>
                </c:pt>
                <c:pt idx="97">
                  <c:v>343048058</c:v>
                </c:pt>
                <c:pt idx="98">
                  <c:v>363149764</c:v>
                </c:pt>
                <c:pt idx="99">
                  <c:v>180299593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E1-45AF-99C4-02E0CD743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039776"/>
        <c:axId val="779032096"/>
      </c:areaChart>
      <c:lineChart>
        <c:grouping val="standard"/>
        <c:varyColors val="0"/>
        <c:ser>
          <c:idx val="0"/>
          <c:order val="0"/>
          <c:tx>
            <c:strRef>
              <c:f>stockhistory!$B$1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stockhistory!$A$2:$A$101</c:f>
              <c:numCache>
                <c:formatCode>m/d/yyyy</c:formatCode>
                <c:ptCount val="100"/>
                <c:pt idx="0">
                  <c:v>45293</c:v>
                </c:pt>
                <c:pt idx="1">
                  <c:v>45299</c:v>
                </c:pt>
                <c:pt idx="2">
                  <c:v>45307</c:v>
                </c:pt>
                <c:pt idx="3">
                  <c:v>45313</c:v>
                </c:pt>
                <c:pt idx="4">
                  <c:v>45320</c:v>
                </c:pt>
                <c:pt idx="5">
                  <c:v>45327</c:v>
                </c:pt>
                <c:pt idx="6">
                  <c:v>45334</c:v>
                </c:pt>
                <c:pt idx="7">
                  <c:v>45342</c:v>
                </c:pt>
                <c:pt idx="8">
                  <c:v>45348</c:v>
                </c:pt>
                <c:pt idx="9">
                  <c:v>45355</c:v>
                </c:pt>
                <c:pt idx="10">
                  <c:v>45362</c:v>
                </c:pt>
                <c:pt idx="11">
                  <c:v>45369</c:v>
                </c:pt>
                <c:pt idx="12">
                  <c:v>45376</c:v>
                </c:pt>
                <c:pt idx="13">
                  <c:v>45383</c:v>
                </c:pt>
                <c:pt idx="14">
                  <c:v>45390</c:v>
                </c:pt>
                <c:pt idx="15">
                  <c:v>45397</c:v>
                </c:pt>
                <c:pt idx="16">
                  <c:v>45404</c:v>
                </c:pt>
                <c:pt idx="17">
                  <c:v>45411</c:v>
                </c:pt>
                <c:pt idx="18">
                  <c:v>45418</c:v>
                </c:pt>
                <c:pt idx="19">
                  <c:v>45425</c:v>
                </c:pt>
                <c:pt idx="20">
                  <c:v>45432</c:v>
                </c:pt>
                <c:pt idx="21">
                  <c:v>45440</c:v>
                </c:pt>
                <c:pt idx="22">
                  <c:v>45446</c:v>
                </c:pt>
                <c:pt idx="23">
                  <c:v>45453</c:v>
                </c:pt>
                <c:pt idx="24">
                  <c:v>45460</c:v>
                </c:pt>
                <c:pt idx="25">
                  <c:v>45467</c:v>
                </c:pt>
                <c:pt idx="26">
                  <c:v>45474</c:v>
                </c:pt>
                <c:pt idx="27">
                  <c:v>45481</c:v>
                </c:pt>
                <c:pt idx="28">
                  <c:v>45488</c:v>
                </c:pt>
                <c:pt idx="29">
                  <c:v>45495</c:v>
                </c:pt>
                <c:pt idx="30">
                  <c:v>45502</c:v>
                </c:pt>
                <c:pt idx="31">
                  <c:v>45509</c:v>
                </c:pt>
                <c:pt idx="32">
                  <c:v>45516</c:v>
                </c:pt>
                <c:pt idx="33">
                  <c:v>45523</c:v>
                </c:pt>
                <c:pt idx="34">
                  <c:v>45530</c:v>
                </c:pt>
                <c:pt idx="35">
                  <c:v>45538</c:v>
                </c:pt>
                <c:pt idx="36">
                  <c:v>45544</c:v>
                </c:pt>
                <c:pt idx="37">
                  <c:v>45551</c:v>
                </c:pt>
                <c:pt idx="38">
                  <c:v>45558</c:v>
                </c:pt>
                <c:pt idx="39">
                  <c:v>45565</c:v>
                </c:pt>
                <c:pt idx="40">
                  <c:v>45572</c:v>
                </c:pt>
                <c:pt idx="41">
                  <c:v>45579</c:v>
                </c:pt>
                <c:pt idx="42">
                  <c:v>45586</c:v>
                </c:pt>
                <c:pt idx="43">
                  <c:v>45593</c:v>
                </c:pt>
                <c:pt idx="44">
                  <c:v>45600</c:v>
                </c:pt>
                <c:pt idx="45">
                  <c:v>45607</c:v>
                </c:pt>
                <c:pt idx="46">
                  <c:v>45614</c:v>
                </c:pt>
                <c:pt idx="47">
                  <c:v>45621</c:v>
                </c:pt>
                <c:pt idx="48">
                  <c:v>45628</c:v>
                </c:pt>
                <c:pt idx="49">
                  <c:v>45635</c:v>
                </c:pt>
                <c:pt idx="50">
                  <c:v>45642</c:v>
                </c:pt>
                <c:pt idx="51">
                  <c:v>45649</c:v>
                </c:pt>
                <c:pt idx="52">
                  <c:v>45656</c:v>
                </c:pt>
                <c:pt idx="53">
                  <c:v>45663</c:v>
                </c:pt>
                <c:pt idx="54">
                  <c:v>45670</c:v>
                </c:pt>
                <c:pt idx="55">
                  <c:v>45678</c:v>
                </c:pt>
                <c:pt idx="56">
                  <c:v>45684</c:v>
                </c:pt>
                <c:pt idx="57">
                  <c:v>45691</c:v>
                </c:pt>
                <c:pt idx="58">
                  <c:v>45698</c:v>
                </c:pt>
                <c:pt idx="59">
                  <c:v>45706</c:v>
                </c:pt>
                <c:pt idx="60">
                  <c:v>45712</c:v>
                </c:pt>
                <c:pt idx="61">
                  <c:v>45719</c:v>
                </c:pt>
                <c:pt idx="62">
                  <c:v>45726</c:v>
                </c:pt>
                <c:pt idx="63">
                  <c:v>45733</c:v>
                </c:pt>
                <c:pt idx="64">
                  <c:v>45740</c:v>
                </c:pt>
                <c:pt idx="65">
                  <c:v>45747</c:v>
                </c:pt>
                <c:pt idx="66">
                  <c:v>45754</c:v>
                </c:pt>
                <c:pt idx="67">
                  <c:v>45761</c:v>
                </c:pt>
                <c:pt idx="68">
                  <c:v>45768</c:v>
                </c:pt>
                <c:pt idx="69">
                  <c:v>45775</c:v>
                </c:pt>
                <c:pt idx="70">
                  <c:v>45782</c:v>
                </c:pt>
                <c:pt idx="71">
                  <c:v>45789</c:v>
                </c:pt>
                <c:pt idx="72">
                  <c:v>45796</c:v>
                </c:pt>
                <c:pt idx="73">
                  <c:v>45804</c:v>
                </c:pt>
                <c:pt idx="74">
                  <c:v>45810</c:v>
                </c:pt>
                <c:pt idx="75">
                  <c:v>45817</c:v>
                </c:pt>
                <c:pt idx="76">
                  <c:v>45824</c:v>
                </c:pt>
                <c:pt idx="77">
                  <c:v>45831</c:v>
                </c:pt>
                <c:pt idx="78">
                  <c:v>45838</c:v>
                </c:pt>
                <c:pt idx="79">
                  <c:v>45845</c:v>
                </c:pt>
                <c:pt idx="80">
                  <c:v>45852</c:v>
                </c:pt>
                <c:pt idx="81">
                  <c:v>45859</c:v>
                </c:pt>
                <c:pt idx="82">
                  <c:v>45866</c:v>
                </c:pt>
                <c:pt idx="83">
                  <c:v>45873</c:v>
                </c:pt>
                <c:pt idx="84">
                  <c:v>45880</c:v>
                </c:pt>
                <c:pt idx="85">
                  <c:v>45887</c:v>
                </c:pt>
                <c:pt idx="86">
                  <c:v>45894</c:v>
                </c:pt>
                <c:pt idx="87">
                  <c:v>45902</c:v>
                </c:pt>
                <c:pt idx="88">
                  <c:v>45908</c:v>
                </c:pt>
                <c:pt idx="89">
                  <c:v>45915</c:v>
                </c:pt>
                <c:pt idx="90">
                  <c:v>45922</c:v>
                </c:pt>
                <c:pt idx="91">
                  <c:v>45929</c:v>
                </c:pt>
                <c:pt idx="92">
                  <c:v>45936</c:v>
                </c:pt>
                <c:pt idx="93">
                  <c:v>45943</c:v>
                </c:pt>
                <c:pt idx="94">
                  <c:v>45950</c:v>
                </c:pt>
                <c:pt idx="95">
                  <c:v>45957</c:v>
                </c:pt>
                <c:pt idx="96">
                  <c:v>45964</c:v>
                </c:pt>
                <c:pt idx="97">
                  <c:v>45971</c:v>
                </c:pt>
                <c:pt idx="98">
                  <c:v>45978</c:v>
                </c:pt>
                <c:pt idx="99">
                  <c:v>45985</c:v>
                </c:pt>
              </c:numCache>
            </c:numRef>
          </c:cat>
          <c:val>
            <c:numRef>
              <c:f>stockhistory!$B$2:$B$101</c:f>
              <c:numCache>
                <c:formatCode>_([$$-409]* #,##0.00_);_([$$-409]* \(#,##0.00\);_([$$-409]* "-"??_);_(@_)</c:formatCode>
                <c:ptCount val="100"/>
                <c:pt idx="0">
                  <c:v>11.6625</c:v>
                </c:pt>
                <c:pt idx="1">
                  <c:v>11.278700000000001</c:v>
                </c:pt>
                <c:pt idx="2">
                  <c:v>11.0228</c:v>
                </c:pt>
                <c:pt idx="3">
                  <c:v>11.2098</c:v>
                </c:pt>
                <c:pt idx="4">
                  <c:v>11.947900000000001</c:v>
                </c:pt>
                <c:pt idx="5">
                  <c:v>12.4794</c:v>
                </c:pt>
                <c:pt idx="6">
                  <c:v>12.105399999999999</c:v>
                </c:pt>
                <c:pt idx="7">
                  <c:v>11.947900000000001</c:v>
                </c:pt>
                <c:pt idx="8">
                  <c:v>12.253</c:v>
                </c:pt>
                <c:pt idx="9">
                  <c:v>11.987299999999999</c:v>
                </c:pt>
                <c:pt idx="10">
                  <c:v>11.869199999999999</c:v>
                </c:pt>
                <c:pt idx="11">
                  <c:v>12.7058</c:v>
                </c:pt>
                <c:pt idx="12">
                  <c:v>13.069900000000001</c:v>
                </c:pt>
                <c:pt idx="13">
                  <c:v>13.069900000000001</c:v>
                </c:pt>
                <c:pt idx="14">
                  <c:v>12.410500000000001</c:v>
                </c:pt>
                <c:pt idx="15">
                  <c:v>11.947900000000001</c:v>
                </c:pt>
                <c:pt idx="16">
                  <c:v>12.5877</c:v>
                </c:pt>
                <c:pt idx="17">
                  <c:v>12.2334</c:v>
                </c:pt>
                <c:pt idx="18">
                  <c:v>11.8003</c:v>
                </c:pt>
                <c:pt idx="19">
                  <c:v>12.085699999999999</c:v>
                </c:pt>
                <c:pt idx="20">
                  <c:v>11.967599999999999</c:v>
                </c:pt>
                <c:pt idx="21">
                  <c:v>11.9381</c:v>
                </c:pt>
                <c:pt idx="22">
                  <c:v>11.957800000000001</c:v>
                </c:pt>
                <c:pt idx="23">
                  <c:v>11.524699999999999</c:v>
                </c:pt>
                <c:pt idx="24">
                  <c:v>11.652699999999999</c:v>
                </c:pt>
                <c:pt idx="25">
                  <c:v>12.3416</c:v>
                </c:pt>
                <c:pt idx="26">
                  <c:v>12.636900000000001</c:v>
                </c:pt>
                <c:pt idx="27">
                  <c:v>13.808</c:v>
                </c:pt>
                <c:pt idx="28">
                  <c:v>13.758800000000001</c:v>
                </c:pt>
                <c:pt idx="29">
                  <c:v>11.013</c:v>
                </c:pt>
                <c:pt idx="30">
                  <c:v>9.8712999999999997</c:v>
                </c:pt>
                <c:pt idx="31">
                  <c:v>9.9402000000000008</c:v>
                </c:pt>
                <c:pt idx="32">
                  <c:v>10.3437</c:v>
                </c:pt>
                <c:pt idx="33">
                  <c:v>11.091699999999999</c:v>
                </c:pt>
                <c:pt idx="34">
                  <c:v>11.013</c:v>
                </c:pt>
                <c:pt idx="35">
                  <c:v>10.412599999999999</c:v>
                </c:pt>
                <c:pt idx="36">
                  <c:v>10.520899999999999</c:v>
                </c:pt>
                <c:pt idx="37">
                  <c:v>10.7079</c:v>
                </c:pt>
                <c:pt idx="38">
                  <c:v>10.609500000000001</c:v>
                </c:pt>
                <c:pt idx="39">
                  <c:v>10.402799999999999</c:v>
                </c:pt>
                <c:pt idx="40">
                  <c:v>10.5504</c:v>
                </c:pt>
                <c:pt idx="41">
                  <c:v>10.9244</c:v>
                </c:pt>
                <c:pt idx="42">
                  <c:v>10.8949</c:v>
                </c:pt>
                <c:pt idx="43">
                  <c:v>10.058299999999999</c:v>
                </c:pt>
                <c:pt idx="44">
                  <c:v>10.7965</c:v>
                </c:pt>
                <c:pt idx="45">
                  <c:v>10.835800000000001</c:v>
                </c:pt>
                <c:pt idx="46">
                  <c:v>11.0031</c:v>
                </c:pt>
                <c:pt idx="47">
                  <c:v>10.953900000000001</c:v>
                </c:pt>
                <c:pt idx="48">
                  <c:v>10.3437</c:v>
                </c:pt>
                <c:pt idx="49">
                  <c:v>10.2256</c:v>
                </c:pt>
                <c:pt idx="50">
                  <c:v>9.7236999999999991</c:v>
                </c:pt>
                <c:pt idx="51">
                  <c:v>9.8712999999999997</c:v>
                </c:pt>
                <c:pt idx="52">
                  <c:v>9.7236999999999991</c:v>
                </c:pt>
                <c:pt idx="53">
                  <c:v>9.4972999999999992</c:v>
                </c:pt>
                <c:pt idx="54">
                  <c:v>10.019</c:v>
                </c:pt>
                <c:pt idx="55">
                  <c:v>9.9598999999999993</c:v>
                </c:pt>
                <c:pt idx="56">
                  <c:v>9.9205000000000005</c:v>
                </c:pt>
                <c:pt idx="57">
                  <c:v>9.0937999999999999</c:v>
                </c:pt>
                <c:pt idx="58">
                  <c:v>9.33</c:v>
                </c:pt>
                <c:pt idx="59">
                  <c:v>9.2799999999999994</c:v>
                </c:pt>
                <c:pt idx="60">
                  <c:v>9.5500000000000007</c:v>
                </c:pt>
                <c:pt idx="61">
                  <c:v>9.9</c:v>
                </c:pt>
                <c:pt idx="62">
                  <c:v>9.73</c:v>
                </c:pt>
                <c:pt idx="63">
                  <c:v>10</c:v>
                </c:pt>
                <c:pt idx="64">
                  <c:v>9.7200000000000006</c:v>
                </c:pt>
                <c:pt idx="65">
                  <c:v>9.58</c:v>
                </c:pt>
                <c:pt idx="66">
                  <c:v>9.33</c:v>
                </c:pt>
                <c:pt idx="67">
                  <c:v>9.6300000000000008</c:v>
                </c:pt>
                <c:pt idx="68">
                  <c:v>10.039999999999999</c:v>
                </c:pt>
                <c:pt idx="69">
                  <c:v>10.28</c:v>
                </c:pt>
                <c:pt idx="70">
                  <c:v>10.43</c:v>
                </c:pt>
                <c:pt idx="71">
                  <c:v>10.8</c:v>
                </c:pt>
                <c:pt idx="72">
                  <c:v>10.36</c:v>
                </c:pt>
                <c:pt idx="73">
                  <c:v>10.38</c:v>
                </c:pt>
                <c:pt idx="74">
                  <c:v>10.26</c:v>
                </c:pt>
                <c:pt idx="75">
                  <c:v>10.43</c:v>
                </c:pt>
                <c:pt idx="76">
                  <c:v>10.59</c:v>
                </c:pt>
                <c:pt idx="77">
                  <c:v>10.8</c:v>
                </c:pt>
                <c:pt idx="78">
                  <c:v>11.81</c:v>
                </c:pt>
                <c:pt idx="79">
                  <c:v>11.78</c:v>
                </c:pt>
                <c:pt idx="80">
                  <c:v>11.16</c:v>
                </c:pt>
                <c:pt idx="81">
                  <c:v>11.47</c:v>
                </c:pt>
                <c:pt idx="82">
                  <c:v>10.82</c:v>
                </c:pt>
                <c:pt idx="83">
                  <c:v>11.32</c:v>
                </c:pt>
                <c:pt idx="84">
                  <c:v>11.44</c:v>
                </c:pt>
                <c:pt idx="85">
                  <c:v>11.74</c:v>
                </c:pt>
                <c:pt idx="86">
                  <c:v>11.77</c:v>
                </c:pt>
                <c:pt idx="87">
                  <c:v>11.74</c:v>
                </c:pt>
                <c:pt idx="88">
                  <c:v>11.68</c:v>
                </c:pt>
                <c:pt idx="89">
                  <c:v>11.62</c:v>
                </c:pt>
                <c:pt idx="90">
                  <c:v>12.01</c:v>
                </c:pt>
                <c:pt idx="91">
                  <c:v>12.67</c:v>
                </c:pt>
                <c:pt idx="92">
                  <c:v>11.41</c:v>
                </c:pt>
                <c:pt idx="93">
                  <c:v>11.92</c:v>
                </c:pt>
                <c:pt idx="94">
                  <c:v>13.84</c:v>
                </c:pt>
                <c:pt idx="95">
                  <c:v>13.13</c:v>
                </c:pt>
                <c:pt idx="96">
                  <c:v>13.21</c:v>
                </c:pt>
                <c:pt idx="97">
                  <c:v>13.19</c:v>
                </c:pt>
                <c:pt idx="98">
                  <c:v>12.83</c:v>
                </c:pt>
                <c:pt idx="99">
                  <c:v>13.28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E1-45AF-99C4-02E0CD743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9037376"/>
        <c:axId val="779037856"/>
      </c:lineChart>
      <c:dateAx>
        <c:axId val="77903737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037856"/>
        <c:crosses val="autoZero"/>
        <c:auto val="1"/>
        <c:lblOffset val="100"/>
        <c:baseTimeUnit val="days"/>
      </c:dateAx>
      <c:valAx>
        <c:axId val="779037856"/>
        <c:scaling>
          <c:orientation val="minMax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037376"/>
        <c:crosses val="autoZero"/>
        <c:crossBetween val="between"/>
      </c:valAx>
      <c:valAx>
        <c:axId val="779032096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039776"/>
        <c:crosses val="max"/>
        <c:crossBetween val="between"/>
      </c:valAx>
      <c:dateAx>
        <c:axId val="77903977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779032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176893</xdr:colOff>
      <xdr:row>2</xdr:row>
      <xdr:rowOff>81642</xdr:rowOff>
    </xdr:from>
    <xdr:to>
      <xdr:col>11</xdr:col>
      <xdr:colOff>503465</xdr:colOff>
      <xdr:row>23</xdr:row>
      <xdr:rowOff>58535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65447B-A844-E4AF-8709-BCE8FFAFF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1536" y="462642"/>
          <a:ext cx="6844393" cy="49571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304799</xdr:colOff>
      <xdr:row>165</xdr:row>
      <xdr:rowOff>166686</xdr:rowOff>
    </xdr:from>
    <xdr:to>
      <xdr:col>10</xdr:col>
      <xdr:colOff>371474</xdr:colOff>
      <xdr:row>182</xdr:row>
      <xdr:rowOff>38099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6C47F32C-E1E5-143C-AF6B-264A47DAB9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371474</xdr:colOff>
      <xdr:row>1</xdr:row>
      <xdr:rowOff>166686</xdr:rowOff>
    </xdr:from>
    <xdr:to>
      <xdr:col>9</xdr:col>
      <xdr:colOff>247649</xdr:colOff>
      <xdr:row>17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FBA725-E2C3-198A-73FD-6211A77EE3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212912</xdr:colOff>
      <xdr:row>1</xdr:row>
      <xdr:rowOff>6721</xdr:rowOff>
    </xdr:from>
    <xdr:to>
      <xdr:col>11</xdr:col>
      <xdr:colOff>481853</xdr:colOff>
      <xdr:row>20</xdr:row>
      <xdr:rowOff>78440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085737-B633-1007-AFC8-B0888BE1F2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5">
  <a r="1" c="100">
    <v t="i">2</v>
    <v t="i">8</v>
    <v t="i">16</v>
    <v t="i">22</v>
    <v t="i">29</v>
    <v t="i">36</v>
    <v t="i">43</v>
    <v t="i">51</v>
    <v t="i">57</v>
    <v t="i">64</v>
    <v t="i">71</v>
    <v t="i">78</v>
    <v t="i">85</v>
    <v t="i">92</v>
    <v t="i">99</v>
    <v t="i">106</v>
    <v t="i">113</v>
    <v t="i">120</v>
    <v t="i">127</v>
    <v t="i">134</v>
    <v t="i">141</v>
    <v t="i">149</v>
    <v t="i">155</v>
    <v t="i">162</v>
    <v t="i">169</v>
    <v t="i">176</v>
    <v t="i">183</v>
    <v t="i">190</v>
    <v t="i">197</v>
    <v t="i">204</v>
    <v t="i">211</v>
    <v t="i">218</v>
    <v t="i">225</v>
    <v t="i">232</v>
    <v t="i">239</v>
    <v t="i">247</v>
    <v t="i">253</v>
    <v t="i">260</v>
    <v t="i">267</v>
    <v t="i">274</v>
    <v t="i">281</v>
    <v t="i">288</v>
    <v t="i">295</v>
    <v t="i">302</v>
    <v t="i">309</v>
    <v t="i">316</v>
    <v t="i">323</v>
    <v t="i">330</v>
    <v t="i">337</v>
    <v t="i">344</v>
    <v t="i">351</v>
    <v t="i">358</v>
    <v t="i">365</v>
    <v t="i">372</v>
    <v t="i">379</v>
    <v t="i">387</v>
    <v t="i">393</v>
    <v t="i">400</v>
    <v t="i">407</v>
    <v t="i">415</v>
    <v t="i">421</v>
    <v t="i">428</v>
    <v t="i">435</v>
    <v t="i">442</v>
    <v t="i">449</v>
    <v t="i">456</v>
    <v t="i">463</v>
    <v t="i">470</v>
    <v t="i">477</v>
    <v t="i">484</v>
    <v t="i">491</v>
    <v t="i">498</v>
    <v t="i">505</v>
    <v t="i">513</v>
    <v t="i">519</v>
    <v t="i">526</v>
    <v t="i">533</v>
    <v t="i">540</v>
    <v t="i">547</v>
    <v t="i">554</v>
    <v t="i">561</v>
    <v t="i">568</v>
    <v t="i">575</v>
    <v t="i">582</v>
    <v t="i">589</v>
    <v t="i">596</v>
    <v t="i">603</v>
    <v t="i">611</v>
    <v t="i">617</v>
    <v t="i">624</v>
    <v t="i">631</v>
    <v t="i">638</v>
    <v t="i">645</v>
    <v t="i">652</v>
    <v t="i">659</v>
    <v t="i">666</v>
    <v t="i">673</v>
    <v t="i">680</v>
    <v t="i">687</v>
    <v t="i">694</v>
  </a>
  <a r="1" c="100">
    <v>11.6625</v>
    <v>11.278700000000001</v>
    <v>11.0228</v>
    <v>11.2098</v>
    <v>11.947900000000001</v>
    <v>12.4794</v>
    <v>12.105399999999999</v>
    <v>11.947900000000001</v>
    <v>12.253</v>
    <v>11.987299999999999</v>
    <v>11.869199999999999</v>
    <v>12.7058</v>
    <v>13.069900000000001</v>
    <v>13.069900000000001</v>
    <v>12.410500000000001</v>
    <v>11.947900000000001</v>
    <v>12.5877</v>
    <v>12.2334</v>
    <v>11.8003</v>
    <v>12.085699999999999</v>
    <v>11.967599999999999</v>
    <v>11.9381</v>
    <v>11.957800000000001</v>
    <v>11.524699999999999</v>
    <v>11.652699999999999</v>
    <v>12.3416</v>
    <v>12.636900000000001</v>
    <v>13.808</v>
    <v>13.758800000000001</v>
    <v>11.013</v>
    <v>9.8712999999999997</v>
    <v>9.9402000000000008</v>
    <v>10.3437</v>
    <v>11.091699999999999</v>
    <v>11.013</v>
    <v>10.412599999999999</v>
    <v>10.520899999999999</v>
    <v>10.7079</v>
    <v>10.609500000000001</v>
    <v>10.402799999999999</v>
    <v>10.5504</v>
    <v>10.9244</v>
    <v>10.8949</v>
    <v>10.058299999999999</v>
    <v>10.7965</v>
    <v>10.835800000000001</v>
    <v>11.0031</v>
    <v>10.953900000000001</v>
    <v>10.3437</v>
    <v>10.2256</v>
    <v>9.7236999999999991</v>
    <v>9.8712999999999997</v>
    <v>9.7236999999999991</v>
    <v>9.4972999999999992</v>
    <v>10.019</v>
    <v>9.9598999999999993</v>
    <v>9.9205000000000005</v>
    <v>9.0937999999999999</v>
    <v>9.33</v>
    <v>9.2799999999999994</v>
    <v>9.5500000000000007</v>
    <v>9.9</v>
    <v>9.73</v>
    <v>10</v>
    <v>9.7200000000000006</v>
    <v>9.58</v>
    <v>9.33</v>
    <v>9.6300000000000008</v>
    <v>10.039999999999999</v>
    <v>10.28</v>
    <v>10.43</v>
    <v>10.8</v>
    <v>10.36</v>
    <v>10.38</v>
    <v>10.26</v>
    <v>10.43</v>
    <v>10.59</v>
    <v>10.8</v>
    <v>11.81</v>
    <v>11.78</v>
    <v>11.16</v>
    <v>11.47</v>
    <v>10.82</v>
    <v>11.32</v>
    <v>11.44</v>
    <v>11.74</v>
    <v>11.77</v>
    <v>11.74</v>
    <v>11.68</v>
    <v>11.62</v>
    <v>12.01</v>
    <v>12.67</v>
    <v>11.41</v>
    <v>11.92</v>
    <v>13.84</v>
    <v>13.13</v>
    <v>13.21</v>
    <v>13.19</v>
    <v>12.83</v>
    <v>13.28</v>
  </a>
  <a r="1" c="100">
    <v>11.849500000000001</v>
    <v>11.6625</v>
    <v>11.1212</v>
    <v>11.052300000000001</v>
    <v>11.2</v>
    <v>11.82</v>
    <v>12.4794</v>
    <v>11.9922</v>
    <v>11.9381</v>
    <v>12.3711</v>
    <v>11.9381</v>
    <v>11.947900000000001</v>
    <v>12.7156</v>
    <v>13.1191</v>
    <v>13.133900000000001</v>
    <v>12.538500000000001</v>
    <v>12.1153</v>
    <v>12.6073</v>
    <v>12.3416</v>
    <v>11.859400000000001</v>
    <v>12.075900000000001</v>
    <v>11.9184</v>
    <v>12.0562</v>
    <v>11.9381</v>
    <v>11.4755</v>
    <v>11.741300000000001</v>
    <v>12.3613</v>
    <v>12.764799999999999</v>
    <v>13.985200000000001</v>
    <v>13.798299999999999</v>
    <v>11.0031</v>
    <v>9.4087999999999994</v>
    <v>9.9402000000000008</v>
    <v>10.392899999999999</v>
    <v>11.1409</v>
    <v>10.9047</v>
    <v>10.4421</v>
    <v>10.5701</v>
    <v>10.6685</v>
    <v>10.3142</v>
    <v>10.383100000000001</v>
    <v>10.5406</v>
    <v>10.9047</v>
    <v>10.9884</v>
    <v>10.068199999999999</v>
    <v>10.8949</v>
    <v>10.8752</v>
    <v>11.1212</v>
    <v>11.0425</v>
    <v>10.388</v>
    <v>9.9107000000000003</v>
    <v>9.7139000000000006</v>
    <v>9.7926000000000002</v>
    <v>9.9009</v>
    <v>9.5070999999999994</v>
    <v>10.1371</v>
    <v>9.9501000000000008</v>
    <v>9.5662000000000003</v>
    <v>9.1036999999999999</v>
    <v>9.32</v>
    <v>9.3049999999999997</v>
    <v>9.7100000000000009</v>
    <v>9.77</v>
    <v>9.74</v>
    <v>10.039999999999999</v>
    <v>9.5749999999999993</v>
    <v>9.27</v>
    <v>9.3800000000000008</v>
    <v>9.58</v>
    <v>10.06</v>
    <v>10.23</v>
    <v>10.56</v>
    <v>10.69</v>
    <v>10.45</v>
    <v>10.27</v>
    <v>10.29</v>
    <v>10.5</v>
    <v>10.55</v>
    <v>10.72</v>
    <v>11.6</v>
    <v>11.76</v>
    <v>11.26</v>
    <v>11.48</v>
    <v>10.89</v>
    <v>11.3</v>
    <v>11.4</v>
    <v>11.72</v>
    <v>11.755000000000001</v>
    <v>11.75</v>
    <v>11.74</v>
    <v>11.6</v>
    <v>12.1</v>
    <v>12.63</v>
    <v>11.49</v>
    <v>11.93</v>
    <v>13.8</v>
    <v>13.1</v>
    <v>13.23</v>
    <v>13.1751</v>
    <v>12.84</v>
  </a>
  <a r="1" c="100">
    <v>12.184100000000001</v>
    <v>11.859400000000001</v>
    <v>11.318099999999999</v>
    <v>11.318099999999999</v>
    <v>11.997199999999999</v>
    <v>12.774699999999999</v>
    <v>12.863200000000001</v>
    <v>12.1349</v>
    <v>12.44</v>
    <v>12.8239</v>
    <v>12.2826</v>
    <v>12.853400000000001</v>
    <v>13.089600000000001</v>
    <v>13.7293</v>
    <v>13.375</v>
    <v>12.612299999999999</v>
    <v>12.971500000000001</v>
    <v>12.636900000000001</v>
    <v>12.420400000000001</v>
    <v>12.44</v>
    <v>12.1349</v>
    <v>11.957800000000001</v>
    <v>12.1251</v>
    <v>12.321899999999999</v>
    <v>11.7806</v>
    <v>12.420400000000001</v>
    <v>12.755000000000001</v>
    <v>13.985200000000001</v>
    <v>14.6151</v>
    <v>13.9557</v>
    <v>11.0031</v>
    <v>10.0878</v>
    <v>10.348699999999999</v>
    <v>11.101599999999999</v>
    <v>11.190099999999999</v>
    <v>10.9785</v>
    <v>10.619300000000001</v>
    <v>11.1311</v>
    <v>10.826000000000001</v>
    <v>10.6439</v>
    <v>10.629099999999999</v>
    <v>11.0031</v>
    <v>11.1508</v>
    <v>11.2098</v>
    <v>11.052300000000001</v>
    <v>11.1409</v>
    <v>11.2</v>
    <v>11.3378</v>
    <v>11.0671</v>
    <v>10.629099999999999</v>
    <v>9.9598999999999993</v>
    <v>10.038600000000001</v>
    <v>9.8515999999999995</v>
    <v>10.0288</v>
    <v>10.048500000000001</v>
    <v>10.284700000000001</v>
    <v>10.2552</v>
    <v>10.1518</v>
    <v>9.3596000000000004</v>
    <v>9.41</v>
    <v>9.69</v>
    <v>9.9600000000000009</v>
    <v>10.14</v>
    <v>10.28</v>
    <v>10.4</v>
    <v>10.27</v>
    <v>9.64</v>
    <v>9.81</v>
    <v>10.1</v>
    <v>10.39</v>
    <v>10.62</v>
    <v>10.81</v>
    <v>10.84</v>
    <v>10.489699999999999</v>
    <v>10.365</v>
    <v>10.77</v>
    <v>10.67</v>
    <v>10.92</v>
    <v>11.96</v>
    <v>11.97</v>
    <v>11.93</v>
    <v>11.49</v>
    <v>11.49</v>
    <v>11.385</v>
    <v>11.57</v>
    <v>11.77</v>
    <v>11.99</v>
    <v>11.91</v>
    <v>11.81</v>
    <v>11.88</v>
    <v>12.315</v>
    <v>12.67</v>
    <v>12.8</v>
    <v>12.01</v>
    <v>13.97</v>
    <v>13.8</v>
    <v>13.305</v>
    <v>13.5</v>
    <v>13.1751</v>
    <v>13.34</v>
  </a>
  <a r="1" c="100">
    <v>11.446</v>
    <v>11.2295</v>
    <v>10.653700000000001</v>
    <v>10.826000000000001</v>
    <v>11.1212</v>
    <v>11.3574</v>
    <v>12.066000000000001</v>
    <v>11.859400000000001</v>
    <v>11.760999999999999</v>
    <v>11.947900000000001</v>
    <v>11.82</v>
    <v>11.7905</v>
    <v>12.2334</v>
    <v>12.882899999999999</v>
    <v>12.302300000000001</v>
    <v>11.7523</v>
    <v>12.0562</v>
    <v>11.9381</v>
    <v>11.723699999999999</v>
    <v>11.859400000000001</v>
    <v>11.7806</v>
    <v>11.298400000000001</v>
    <v>11.632999999999999</v>
    <v>11.3673</v>
    <v>11.4657</v>
    <v>11.731400000000001</v>
    <v>12.331799999999999</v>
    <v>12.6762</v>
    <v>13.7392</v>
    <v>10.8752</v>
    <v>9.8417999999999992</v>
    <v>9.3399000000000001</v>
    <v>9.6153999999999993</v>
    <v>10.3733</v>
    <v>10.8063</v>
    <v>10.3634</v>
    <v>9.9696999999999996</v>
    <v>10.520899999999999</v>
    <v>10.156700000000001</v>
    <v>10.166600000000001</v>
    <v>10.2158</v>
    <v>10.4864</v>
    <v>10.6882</v>
    <v>10.019</v>
    <v>10.068199999999999</v>
    <v>10.7768</v>
    <v>10.4421</v>
    <v>10.8653</v>
    <v>10.2256</v>
    <v>10.1174</v>
    <v>9.5071999999999992</v>
    <v>9.5958000000000006</v>
    <v>9.3792000000000009</v>
    <v>9.4283999999999999</v>
    <v>9.4185999999999996</v>
    <v>9.8123000000000005</v>
    <v>9.7630999999999997</v>
    <v>9.0348000000000006</v>
    <v>8.9559999999999995</v>
    <v>9.2100000000000009</v>
    <v>9.2100000000000009</v>
    <v>9.06</v>
    <v>9.4600000000000009</v>
    <v>9.74</v>
    <v>9.6199999999999992</v>
    <v>9.1999999999999993</v>
    <v>8.4405999999999999</v>
    <v>9.1999999999999993</v>
    <v>9.35</v>
    <v>9.86</v>
    <v>10.055</v>
    <v>10.42</v>
    <v>10.29</v>
    <v>10.11</v>
    <v>9.8800000000000008</v>
    <v>10.29</v>
    <v>10.38</v>
    <v>10.42</v>
    <v>10.685</v>
    <v>11.48</v>
    <v>11.05</v>
    <v>11.08</v>
    <v>10.68</v>
    <v>10.86</v>
    <v>11.06</v>
    <v>11.195</v>
    <v>11.63</v>
    <v>11.57</v>
    <v>11.31</v>
    <v>11.51</v>
    <v>11.37</v>
    <v>11.89</v>
    <v>11.35</v>
    <v>11.34</v>
    <v>11.91</v>
    <v>12.99</v>
    <v>12.75</v>
    <v>13</v>
    <v>12.38</v>
    <v>12.824999999999999</v>
  </a>
  <a r="1" c="100">
    <v>220466869</v>
    <v>236046571</v>
    <v>234397718</v>
    <v>238983894</v>
    <v>362960548</v>
    <v>440791593</v>
    <v>280399214</v>
    <v>158135547</v>
    <v>223595206</v>
    <v>276674180</v>
    <v>261994532</v>
    <v>229581350</v>
    <v>225168058</v>
    <v>254831786</v>
    <v>210914337</v>
    <v>242891616</v>
    <v>373897138</v>
    <v>273723195</v>
    <v>199772430</v>
    <v>220687341</v>
    <v>182592170</v>
    <v>205932651</v>
    <v>204282584</v>
    <v>268720704</v>
    <v>167310231</v>
    <v>257252113</v>
    <v>164224667</v>
    <v>262593926</v>
    <v>314735186</v>
    <v>574962896</v>
    <v>414255529</v>
    <v>425494048</v>
    <v>217086067</v>
    <v>241801554</v>
    <v>226909417</v>
    <v>198718751</v>
    <v>240885760</v>
    <v>267363556</v>
    <v>253160255</v>
    <v>269824867</v>
    <v>199298793</v>
    <v>209032596</v>
    <v>217235431</v>
    <v>425348730</v>
    <v>311209296</v>
    <v>276757329</v>
    <v>310547701</v>
    <v>171043339</v>
    <v>289691308</v>
    <v>241617133</v>
    <v>432885292</v>
    <v>171295692</v>
    <v>249571203</v>
    <v>265497295</v>
    <v>291298482</v>
    <v>233463537</v>
    <v>415204963</v>
    <v>699003888</v>
    <v>325337135</v>
    <v>210592944</v>
    <v>457898876</v>
    <v>767036393</v>
    <v>736366766</v>
    <v>675753741</v>
    <v>693398425</v>
    <v>809986245</v>
    <v>983497398</v>
    <v>578433532</v>
    <v>549930964</v>
    <v>564199213</v>
    <v>538041055</v>
    <v>406169398</v>
    <v>384950227</v>
    <v>445282935</v>
    <v>654302478</v>
    <v>411188768</v>
    <v>375678124</v>
    <v>517172850</v>
    <v>411266020</v>
    <v>344522957</v>
    <v>374335931</v>
    <v>336952645</v>
    <v>367044361</v>
    <v>295321212</v>
    <v>310787949</v>
    <v>251921840</v>
    <v>225826906</v>
    <v>186117323</v>
    <v>242315520</v>
    <v>301309750</v>
    <v>359632227</v>
    <v>402977577</v>
    <v>478320629</v>
    <v>468352780</v>
    <v>1568301441</v>
    <v>514737984</v>
    <v>392216688</v>
    <v>343048058</v>
    <v>363149764</v>
    <v>180299593</v>
  </a>
  <a r="1" c="53">
    <v t="i">1</v>
    <v t="i">8</v>
    <v t="i">15</v>
    <v t="i">22</v>
    <v t="i">29</v>
    <v t="i">36</v>
    <v t="i">43</v>
    <v t="i">50</v>
    <v t="i">58</v>
    <v t="i">64</v>
    <v t="i">71</v>
    <v t="i">78</v>
    <v t="i">86</v>
    <v t="i">92</v>
    <v t="i">99</v>
    <v t="i">106</v>
    <v t="i">113</v>
    <v t="i">120</v>
    <v t="i">127</v>
    <v t="i">134</v>
    <v t="i">141</v>
    <v t="i">148</v>
    <v t="i">155</v>
    <v t="i">162</v>
    <v t="i">169</v>
    <v t="i">176</v>
    <v t="i">184</v>
    <v t="i">190</v>
    <v t="i">197</v>
    <v t="i">204</v>
    <v t="i">211</v>
    <v t="i">218</v>
    <v t="i">225</v>
    <v t="i">232</v>
    <v t="i">239</v>
    <v t="i">246</v>
    <v t="i">253</v>
    <v t="i">260</v>
    <v t="i">267</v>
    <v t="i">274</v>
    <v t="i">282</v>
    <v t="i">288</v>
    <v t="i">295</v>
    <v t="i">302</v>
    <v t="i">309</v>
    <v t="i">316</v>
    <v t="i">323</v>
    <v t="i">330</v>
    <v t="i">337</v>
    <v t="i">344</v>
    <v t="i">351</v>
    <v t="i">358</v>
    <v t="i">365</v>
  </a>
  <a r="1" c="53">
    <v>10.953900000000001</v>
    <v>10.3437</v>
    <v>10.2256</v>
    <v>9.7236999999999991</v>
    <v>9.8712999999999997</v>
    <v>9.7236999999999991</v>
    <v>9.4972999999999992</v>
    <v>10.019</v>
    <v>9.9598999999999993</v>
    <v>9.9205000000000005</v>
    <v>9.0937999999999999</v>
    <v>9.33</v>
    <v>9.2799999999999994</v>
    <v>9.5500000000000007</v>
    <v>9.9</v>
    <v>9.73</v>
    <v>10</v>
    <v>9.7200000000000006</v>
    <v>9.58</v>
    <v>9.33</v>
    <v>9.6300000000000008</v>
    <v>10.039999999999999</v>
    <v>10.28</v>
    <v>10.43</v>
    <v>10.8</v>
    <v>10.36</v>
    <v>10.38</v>
    <v>10.26</v>
    <v>10.43</v>
    <v>10.59</v>
    <v>10.8</v>
    <v>11.81</v>
    <v>11.78</v>
    <v>11.16</v>
    <v>11.47</v>
    <v>10.82</v>
    <v>11.32</v>
    <v>11.44</v>
    <v>11.74</v>
    <v>11.77</v>
    <v>11.74</v>
    <v>11.68</v>
    <v>11.62</v>
    <v>12.01</v>
    <v>12.67</v>
    <v>11.41</v>
    <v>11.92</v>
    <v>13.84</v>
    <v>13.13</v>
    <v>13.21</v>
    <v>13.19</v>
    <v>12.83</v>
    <v>13.28</v>
  </a>
  <a r="1" c="53">
    <v>171043339</v>
    <v>289691308</v>
    <v>241617133</v>
    <v>432885292</v>
    <v>171295692</v>
    <v>249571203</v>
    <v>265497295</v>
    <v>291298482</v>
    <v>233463537</v>
    <v>415204963</v>
    <v>699003888</v>
    <v>325337135</v>
    <v>210592944</v>
    <v>457898876</v>
    <v>767036393</v>
    <v>736366766</v>
    <v>675753741</v>
    <v>693398425</v>
    <v>809986245</v>
    <v>983497398</v>
    <v>578433532</v>
    <v>549930964</v>
    <v>564199213</v>
    <v>538041055</v>
    <v>406169398</v>
    <v>384950227</v>
    <v>445282935</v>
    <v>654302478</v>
    <v>411188768</v>
    <v>375678124</v>
    <v>517172850</v>
    <v>411266020</v>
    <v>344522957</v>
    <v>374335931</v>
    <v>336952645</v>
    <v>367044361</v>
    <v>295321212</v>
    <v>310787949</v>
    <v>251921840</v>
    <v>225826906</v>
    <v>186117323</v>
    <v>242315520</v>
    <v>301309750</v>
    <v>359632227</v>
    <v>402977577</v>
    <v>478320629</v>
    <v>468352780</v>
    <v>1568301441</v>
    <v>514737984</v>
    <v>392216688</v>
    <v>343048058</v>
    <v>363149764</v>
    <v>180299593</v>
  </a>
  <a r="1" c="228">
    <v t="i">1</v>
    <v t="i">2</v>
    <v t="i">5</v>
    <v t="i">6</v>
    <v t="i">7</v>
    <v t="i">9</v>
    <v t="i">12</v>
    <v t="i">13</v>
    <v t="i">14</v>
    <v t="i">15</v>
    <v t="i">16</v>
    <v t="i">20</v>
    <v t="i">21</v>
    <v t="i">22</v>
    <v t="i">23</v>
    <v t="i">26</v>
    <v t="i">27</v>
    <v t="i">28</v>
    <v t="i">29</v>
    <v t="i">30</v>
    <v t="i">33</v>
    <v t="i">34</v>
    <v t="i">35</v>
    <v t="i">36</v>
    <v t="i">37</v>
    <v t="i">40</v>
    <v t="i">41</v>
    <v t="i">42</v>
    <v t="i">43</v>
    <v t="i">44</v>
    <v t="i">48</v>
    <v t="i">49</v>
    <v t="i">50</v>
    <v t="i">51</v>
    <v t="i">54</v>
    <v t="i">55</v>
    <v t="i">56</v>
    <v t="i">57</v>
    <v t="i">58</v>
    <v t="i">61</v>
    <v t="i">62</v>
    <v t="i">63</v>
    <v t="i">64</v>
    <v t="i">65</v>
    <v t="i">68</v>
    <v t="i">69</v>
    <v t="i">70</v>
    <v t="i">71</v>
    <v t="i">72</v>
    <v t="i">75</v>
    <v t="i">76</v>
    <v t="i">77</v>
    <v t="i">78</v>
    <v t="i">79</v>
    <v t="i">82</v>
    <v t="i">83</v>
    <v t="i">84</v>
    <v t="i">85</v>
    <v t="i">86</v>
    <v t="i">89</v>
    <v t="i">90</v>
    <v t="i">91</v>
    <v t="i">92</v>
    <v t="i">93</v>
    <v t="i">96</v>
    <v t="i">97</v>
    <v t="i">98</v>
    <v t="i">99</v>
    <v t="i">100</v>
    <v t="i">103</v>
    <v t="i">104</v>
    <v t="i">105</v>
    <v t="i">106</v>
    <v t="i">110</v>
    <v t="i">111</v>
    <v t="i">112</v>
    <v t="i">113</v>
    <v t="i">114</v>
    <v t="i">117</v>
    <v t="i">118</v>
    <v t="i">119</v>
    <v t="i">120</v>
    <v t="i">121</v>
    <v t="i">124</v>
    <v t="i">125</v>
    <v t="i">126</v>
    <v t="i">127</v>
    <v t="i">128</v>
    <v t="i">131</v>
    <v t="i">132</v>
    <v t="i">133</v>
    <v t="i">134</v>
    <v t="i">135</v>
    <v t="i">138</v>
    <v t="i">139</v>
    <v t="i">140</v>
    <v t="i">141</v>
    <v t="i">142</v>
    <v t="i">146</v>
    <v t="i">147</v>
    <v t="i">148</v>
    <v t="i">149</v>
    <v t="i">152</v>
    <v t="i">153</v>
    <v t="i">154</v>
    <v t="i">155</v>
    <v t="i">156</v>
    <v t="i">159</v>
    <v t="i">160</v>
    <v t="i">161</v>
    <v t="i">162</v>
    <v t="i">163</v>
    <v t="i">166</v>
    <v t="i">167</v>
    <v t="i">168</v>
    <v t="i">170</v>
    <v t="i">173</v>
    <v t="i">174</v>
    <v t="i">175</v>
    <v t="i">176</v>
    <v t="i">177</v>
    <v t="i">180</v>
    <v t="i">181</v>
    <v t="i">182</v>
    <v t="i">183</v>
    <v t="i">187</v>
    <v t="i">188</v>
    <v t="i">189</v>
    <v t="i">190</v>
    <v t="i">191</v>
    <v t="i">194</v>
    <v t="i">195</v>
    <v t="i">196</v>
    <v t="i">197</v>
    <v t="i">198</v>
    <v t="i">201</v>
    <v t="i">202</v>
    <v t="i">203</v>
    <v t="i">204</v>
    <v t="i">205</v>
    <v t="i">208</v>
    <v t="i">209</v>
    <v t="i">210</v>
    <v t="i">211</v>
    <v t="i">212</v>
    <v t="i">215</v>
    <v t="i">216</v>
    <v t="i">217</v>
    <v t="i">218</v>
    <v t="i">219</v>
    <v t="i">222</v>
    <v t="i">223</v>
    <v t="i">224</v>
    <v t="i">225</v>
    <v t="i">226</v>
    <v t="i">229</v>
    <v t="i">230</v>
    <v t="i">231</v>
    <v t="i">232</v>
    <v t="i">233</v>
    <v t="i">236</v>
    <v t="i">237</v>
    <v t="i">238</v>
    <v t="i">239</v>
    <v t="i">240</v>
    <v t="i">244</v>
    <v t="i">245</v>
    <v t="i">246</v>
    <v t="i">247</v>
    <v t="i">250</v>
    <v t="i">251</v>
    <v t="i">252</v>
    <v t="i">253</v>
    <v t="i">254</v>
    <v t="i">257</v>
    <v t="i">258</v>
    <v t="i">259</v>
    <v t="i">260</v>
    <v t="i">261</v>
    <v t="i">264</v>
    <v t="i">265</v>
    <v t="i">266</v>
    <v t="i">267</v>
    <v t="i">268</v>
    <v t="i">271</v>
    <v t="i">272</v>
    <v t="i">273</v>
    <v t="i">274</v>
    <v t="i">275</v>
    <v t="i">278</v>
    <v t="i">279</v>
    <v t="i">280</v>
    <v t="i">281</v>
    <v t="i">282</v>
    <v t="i">285</v>
    <v t="i">286</v>
    <v t="i">287</v>
    <v t="i">288</v>
    <v t="i">289</v>
    <v t="i">292</v>
    <v t="i">293</v>
    <v t="i">294</v>
    <v t="i">295</v>
    <v t="i">296</v>
    <v t="i">299</v>
    <v t="i">300</v>
    <v t="i">301</v>
    <v t="i">302</v>
    <v t="i">303</v>
    <v t="i">306</v>
    <v t="i">307</v>
    <v t="i">308</v>
    <v t="i">309</v>
    <v t="i">310</v>
    <v t="i">313</v>
    <v t="i">314</v>
    <v t="i">315</v>
    <v t="i">316</v>
    <v t="i">317</v>
    <v t="i">320</v>
    <v t="i">321</v>
    <v t="i">322</v>
    <v t="i">323</v>
    <v t="i">324</v>
    <v t="i">327</v>
    <v t="i">328</v>
    <v t="i">329</v>
    <v t="i">331</v>
  </a>
  <a r="1" c="228">
    <v>9.4972999999999992</v>
    <v>9.7236999999999991</v>
    <v>9.7630999999999997</v>
    <v>9.6056000000000008</v>
    <v>9.5859000000000005</v>
    <v>9.4972999999999992</v>
    <v>9.5564</v>
    <v>9.6252999999999993</v>
    <v>9.7926000000000002</v>
    <v>9.8515999999999995</v>
    <v>10.019</v>
    <v>10.265000000000001</v>
    <v>9.8712999999999997</v>
    <v>9.9992999999999999</v>
    <v>9.9598999999999993</v>
    <v>10.2158</v>
    <v>9.9205000000000005</v>
    <v>10.048500000000001</v>
    <v>9.9992999999999999</v>
    <v>9.9205000000000005</v>
    <v>9.7334999999999994</v>
    <v>9.9992999999999999</v>
    <v>9.8515999999999995</v>
    <v>9.1135000000000002</v>
    <v>9.0937999999999999</v>
    <v>9.0937999999999999</v>
    <v>9.0642999999999994</v>
    <v>9.0839999999999996</v>
    <v>9.2020999999999997</v>
    <v>9.33</v>
    <v>9.2899999999999991</v>
    <v>9.34</v>
    <v>9.39</v>
    <v>9.2799999999999994</v>
    <v>9.35</v>
    <v>9.42</v>
    <v>9.4700000000000006</v>
    <v>9.2899999999999991</v>
    <v>9.5500000000000007</v>
    <v>9.39</v>
    <v>9.1199999999999992</v>
    <v>9.65</v>
    <v>9.61</v>
    <v>9.9</v>
    <v>9.9600000000000009</v>
    <v>9.69</v>
    <v>9.59</v>
    <v>9.5299999999999994</v>
    <v>9.73</v>
    <v>9.92</v>
    <v>9.9499999999999993</v>
    <v>10.17</v>
    <v>10.01</v>
    <v>10</v>
    <v>10.25</v>
    <v>10.29</v>
    <v>10.3</v>
    <v>9.9</v>
    <v>9.7200000000000006</v>
    <v>10.029999999999999</v>
    <v>9.94</v>
    <v>10.15</v>
    <v>9.5399999999999991</v>
    <v>9.58</v>
    <v>9.24</v>
    <v>8.69</v>
    <v>9.5</v>
    <v>9.14</v>
    <v>9.33</v>
    <v>9.7100000000000009</v>
    <v>9.4499999999999993</v>
    <v>9.4</v>
    <v>9.6300000000000008</v>
    <v>9.4700000000000006</v>
    <v>9.65</v>
    <v>9.7799999999999994</v>
    <v>10.06</v>
    <v>10.039999999999999</v>
    <v>10.02</v>
    <v>10.15</v>
    <v>10.01</v>
    <v>10.18</v>
    <v>10.28</v>
    <v>10.17</v>
    <v>10.44</v>
    <v>10.28</v>
    <v>10.28</v>
    <v>10.43</v>
    <v>10.55</v>
    <v>10.6</v>
    <v>10.65</v>
    <v>10.75</v>
    <v>10.8</v>
    <v>10.75</v>
    <v>10.72</v>
    <v>10.48</v>
    <v>10.44</v>
    <v>10.36</v>
    <v>10.31</v>
    <v>10.17</v>
    <v>10.220000000000001</v>
    <v>10.38</v>
    <v>9.98</v>
    <v>10.19</v>
    <v>10.24</v>
    <v>10.1</v>
    <v>10.26</v>
    <v>10.34</v>
    <v>10.6</v>
    <v>10.66</v>
    <v>10.53</v>
    <v>10.43</v>
    <v>10.62</v>
    <v>10.42</v>
    <v>10.43</v>
    <v>10.59</v>
    <v>10.75</v>
    <v>10.73</v>
    <v>10.48</v>
    <v>10.63</v>
    <v>10.8</v>
    <v>10.85</v>
    <v>11.35</v>
    <v>11.77</v>
    <v>11.81</v>
    <v>11.59</v>
    <v>11.68</v>
    <v>11.83</v>
    <v>11.91</v>
    <v>11.78</v>
    <v>11.88</v>
    <v>11.57</v>
    <v>11.24</v>
    <v>11.15</v>
    <v>11.16</v>
    <v>11.31</v>
    <v>11.19</v>
    <v>11.38</v>
    <v>11.26</v>
    <v>11.47</v>
    <v>11.28</v>
    <v>11.08</v>
    <v>10.87</v>
    <v>11.07</v>
    <v>10.82</v>
    <v>10.95</v>
    <v>11.06</v>
    <v>11.21</v>
    <v>11.28</v>
    <v>11.32</v>
    <v>11.14</v>
    <v>11.25</v>
    <v>11.44</v>
    <v>11.44</v>
    <v>11.44</v>
    <v>11.46</v>
    <v>11.58</v>
    <v>11.49</v>
    <v>11.33</v>
    <v>11.74</v>
    <v>11.82</v>
    <v>11.84</v>
    <v>11.91</v>
    <v>11.71</v>
    <v>11.77</v>
    <v>11.72</v>
    <v>11.62</v>
    <v>11.68</v>
    <v>11.74</v>
    <v>11.69</v>
    <v>11.49</v>
    <v>11.42</v>
    <v>11.76</v>
    <v>11.68</v>
    <v>11.68</v>
    <v>11.61</v>
    <v>11.66</v>
    <v>11.74</v>
    <v>11.62</v>
    <v>11.66</v>
    <v>11.73</v>
    <v>11.63</v>
    <v>11.62</v>
    <v>12.01</v>
    <v>12.09</v>
    <v>11.96</v>
    <v>12.27</v>
    <v>12.22</v>
    <v>12.67</v>
    <v>12.7</v>
    <v>11.92</v>
    <v>11.74</v>
    <v>11.5</v>
    <v>11.41</v>
    <v>11.54</v>
    <v>11.65</v>
    <v>11.76</v>
    <v>11.74</v>
    <v>11.92</v>
    <v>11.99</v>
    <v>12.56</v>
    <v>12.43</v>
    <v>12.34</v>
    <v>13.84</v>
    <v>13.26</v>
    <v>13.13</v>
    <v>13.24</v>
    <v>13.06</v>
    <v>13.13</v>
    <v>13.01</v>
    <v>12.79</v>
    <v>13.11</v>
    <v>13.12</v>
    <v>13.21</v>
    <v>13.16</v>
    <v>13.3</v>
    <v>13.45</v>
    <v>13.28</v>
    <v>13.19</v>
    <v>12.88</v>
    <v>13.02</v>
    <v>12.9</v>
    <v>12.41</v>
    <v>12.83</v>
    <v>12.96</v>
    <v>13.17</v>
    <v>13.19</v>
    <v>13.28</v>
  </a>
  <a r="1" c="228">
    <v>9.7531999999999996</v>
    <v>9.5366999999999997</v>
    <v>9.9009</v>
    <v>9.7926000000000002</v>
    <v>9.5859000000000005</v>
    <v>9.5169999999999995</v>
    <v>9.5070999999999994</v>
    <v>9.6204000000000001</v>
    <v>9.8123000000000005</v>
    <v>9.7531999999999996</v>
    <v>9.9205000000000005</v>
    <v>10.1371</v>
    <v>10.0878</v>
    <v>9.891</v>
    <v>9.9992999999999999</v>
    <v>9.9501000000000008</v>
    <v>10.068199999999999</v>
    <v>9.9402000000000008</v>
    <v>10.0977</v>
    <v>10.0091</v>
    <v>9.5662000000000003</v>
    <v>9.7827000000000002</v>
    <v>9.9992999999999999</v>
    <v>9.3399000000000001</v>
    <v>9.1823999999999995</v>
    <v>9.1036999999999999</v>
    <v>9.0642999999999994</v>
    <v>9.0249000000000006</v>
    <v>9.1430000000000007</v>
    <v>9.2807999999999993</v>
    <v>9.32</v>
    <v>9.27</v>
    <v>9.33</v>
    <v>9.3800000000000008</v>
    <v>9.3049999999999997</v>
    <v>9.3650000000000002</v>
    <v>9.4600000000000009</v>
    <v>9.44</v>
    <v>9.3149999999999995</v>
    <v>9.7100000000000009</v>
    <v>9.23</v>
    <v>9.26</v>
    <v>9.5150000000000006</v>
    <v>9.5399999999999991</v>
    <v>9.77</v>
    <v>9.92</v>
    <v>9.6999999999999993</v>
    <v>9.57</v>
    <v>9.66</v>
    <v>9.74</v>
    <v>9.9499999999999993</v>
    <v>9.9600000000000009</v>
    <v>10.07</v>
    <v>9.9149999999999991</v>
    <v>10.039999999999999</v>
    <v>10.3</v>
    <v>10.27</v>
    <v>10.26</v>
    <v>9.84</v>
    <v>9.5749999999999993</v>
    <v>10.1</v>
    <v>9.8350000000000009</v>
    <v>9.9949999999999992</v>
    <v>9.3149999999999995</v>
    <v>9.27</v>
    <v>9.52</v>
    <v>8.5</v>
    <v>9.1</v>
    <v>9.11</v>
    <v>9.3800000000000008</v>
    <v>9.6150000000000002</v>
    <v>9.4700000000000006</v>
    <v>9.41</v>
    <v>9.58</v>
    <v>9.5500000000000007</v>
    <v>9.8350000000000009</v>
    <v>9.8699999999999992</v>
    <v>10.045</v>
    <v>10.06</v>
    <v>10.07</v>
    <v>10.11</v>
    <v>10.14</v>
    <v>10.3</v>
    <v>10.23</v>
    <v>10.09</v>
    <v>10.46</v>
    <v>10.34</v>
    <v>10.355</v>
    <v>10.56</v>
    <v>10.595000000000001</v>
    <v>10.57</v>
    <v>10.59</v>
    <v>10.77</v>
    <v>10.69</v>
    <v>10.79</v>
    <v>10.66</v>
    <v>10.48</v>
    <v>10.3</v>
    <v>10.45</v>
    <v>10.32</v>
    <v>10.210000000000001</v>
    <v>10.18</v>
    <v>10.27</v>
    <v>9.9700000000000006</v>
    <v>10.19</v>
    <v>10.199999999999999</v>
    <v>10.16</v>
    <v>10.29</v>
    <v>10.38</v>
    <v>10.64</v>
    <v>10.58</v>
    <v>10.47</v>
    <v>10.5</v>
    <v>10.59</v>
    <v>10.43</v>
    <v>10.49</v>
    <v>10.55</v>
    <v>10.79</v>
    <v>10.76</v>
    <v>10.4999</v>
    <v>10.7</v>
    <v>10.72</v>
    <v>10.81</v>
    <v>11.38</v>
    <v>11.75</v>
    <v>11.6</v>
    <v>11.65</v>
    <v>11.78</v>
    <v>11.86</v>
    <v>11.85</v>
    <v>11.76</v>
    <v>11.9</v>
    <v>11.35</v>
    <v>11.19</v>
    <v>11.17</v>
    <v>11.26</v>
    <v>11.24</v>
    <v>11.28</v>
    <v>11.31</v>
    <v>11.335000000000001</v>
    <v>11.48</v>
    <v>11.29</v>
    <v>11.125</v>
    <v>10.773</v>
    <v>10.92</v>
    <v>10.89</v>
    <v>10.98</v>
    <v>11.11</v>
    <v>11.3</v>
    <v>11.305</v>
    <v>11.3</v>
    <v>11.2</v>
    <v>11.27</v>
    <v>11.3</v>
    <v>11.43</v>
    <v>11.4</v>
    <v>11.52</v>
    <v>11.52</v>
    <v>11.42</v>
    <v>11.39</v>
    <v>11.72</v>
    <v>11.81</v>
    <v>11.82</v>
    <v>11.984999999999999</v>
    <v>11.74</v>
    <v>11.755000000000001</v>
    <v>11.67</v>
    <v>11.65</v>
    <v>11.71</v>
    <v>11.75</v>
    <v>11.67</v>
    <v>11.49</v>
    <v>11.46</v>
    <v>11.754</v>
    <v>11.74</v>
    <v>11.685</v>
    <v>11.63</v>
    <v>11.69</v>
    <v>11.77</v>
    <v>11.6</v>
    <v>11.7</v>
    <v>11.73</v>
    <v>11.54</v>
    <v>11.65</v>
    <v>12.1</v>
    <v>12.11</v>
    <v>12.12</v>
    <v>12.28</v>
    <v>12.244999999999999</v>
    <v>12.63</v>
    <v>12.5</v>
    <v>11.98</v>
    <v>11.744999999999999</v>
    <v>11.55</v>
    <v>11.49</v>
    <v>11.38</v>
    <v>11.675000000000001</v>
    <v>11.74</v>
    <v>11.74</v>
    <v>11.93</v>
    <v>12.255000000000001</v>
    <v>12.53</v>
    <v>12.47</v>
    <v>12.73</v>
    <v>13.8</v>
    <v>13.24</v>
    <v>13.1</v>
    <v>13.14</v>
    <v>13.04</v>
    <v>13.1</v>
    <v>12.91</v>
    <v>12.92</v>
    <v>13.14</v>
    <v>12.96</v>
    <v>13.23</v>
    <v>13.19</v>
    <v>13.3</v>
    <v>13.4</v>
    <v>13.18</v>
    <v>13.1751</v>
    <v>12.87</v>
    <v>13.03</v>
    <v>12.91</v>
    <v>12.51</v>
    <v>12.84</v>
    <v>12.99</v>
    <v>13.17</v>
    <v>13.205</v>
  </a>
  <a r="1" c="228">
    <v>9.7974999999999994</v>
    <v>9.7926000000000002</v>
    <v>10.0288</v>
    <v>9.8515999999999995</v>
    <v>9.5958000000000006</v>
    <v>9.6843000000000004</v>
    <v>9.5662000000000003</v>
    <v>9.6646000000000001</v>
    <v>9.9009</v>
    <v>9.9009</v>
    <v>10.048500000000001</v>
    <v>10.284700000000001</v>
    <v>10.0878</v>
    <v>10.0091</v>
    <v>10.1469</v>
    <v>10.2552</v>
    <v>10.068199999999999</v>
    <v>10.1272</v>
    <v>10.2256</v>
    <v>10.186299999999999</v>
    <v>9.9009</v>
    <v>9.9992999999999999</v>
    <v>10.1518</v>
    <v>9.4875000000000007</v>
    <v>9.2020999999999997</v>
    <v>9.1529000000000007</v>
    <v>9.1135000000000002</v>
    <v>9.1430000000000007</v>
    <v>9.2611000000000008</v>
    <v>9.3596000000000004</v>
    <v>9.35</v>
    <v>9.39</v>
    <v>9.3949999999999996</v>
    <v>9.41</v>
    <v>9.4</v>
    <v>9.49</v>
    <v>9.6199999999999992</v>
    <v>9.5299999999999994</v>
    <v>9.69</v>
    <v>9.82</v>
    <v>9.27</v>
    <v>9.67</v>
    <v>9.7200000000000006</v>
    <v>9.9600000000000009</v>
    <v>10.14</v>
    <v>9.9600000000000009</v>
    <v>9.7100000000000009</v>
    <v>9.9499999999999993</v>
    <v>9.7899999999999991</v>
    <v>9.98</v>
    <v>10.039999999999999</v>
    <v>10.28</v>
    <v>10.15</v>
    <v>10.119999999999999</v>
    <v>10.25</v>
    <v>10.35</v>
    <v>10.35</v>
    <v>10.4</v>
    <v>9.89</v>
    <v>10.11</v>
    <v>10.17</v>
    <v>10.27</v>
    <v>10.199999999999999</v>
    <v>9.73</v>
    <v>9.64</v>
    <v>9.52</v>
    <v>9.5399999999999991</v>
    <v>9.2799999999999994</v>
    <v>9.35</v>
    <v>9.81</v>
    <v>9.6300000000000008</v>
    <v>9.6199999999999992</v>
    <v>9.69</v>
    <v>9.6300000000000008</v>
    <v>9.7200000000000006</v>
    <v>10.0054</v>
    <v>10.09</v>
    <v>10.1</v>
    <v>10.18</v>
    <v>10.19</v>
    <v>10.130000000000001</v>
    <v>10.32</v>
    <v>10.39</v>
    <v>10.24</v>
    <v>10.62</v>
    <v>10.505000000000001</v>
    <v>10.464</v>
    <v>10.49</v>
    <v>10.73</v>
    <v>10.63</v>
    <v>10.7</v>
    <v>10.78</v>
    <v>10.81</v>
    <v>10.785</v>
    <v>10.84</v>
    <v>10.69</v>
    <v>10.5</v>
    <v>10.41</v>
    <v>10.489699999999999</v>
    <v>10.335000000000001</v>
    <v>10.28</v>
    <v>10.46</v>
    <v>10.28</v>
    <v>10.225</v>
    <v>10.365</v>
    <v>10.25</v>
    <v>10.35</v>
    <v>10.45</v>
    <v>10.65</v>
    <v>10.77</v>
    <v>10.59</v>
    <v>10.51</v>
    <v>10.67</v>
    <v>10.63</v>
    <v>10.53</v>
    <v>10.6</v>
    <v>10.75</v>
    <v>10.87</v>
    <v>10.765000000000001</v>
    <v>10.65</v>
    <v>10.92</v>
    <v>10.86</v>
    <v>11.38</v>
    <v>11.78</v>
    <v>11.96</v>
    <v>11.79</v>
    <v>11.85</v>
    <v>11.9</v>
    <v>11.97</v>
    <v>11.86</v>
    <v>11.895</v>
    <v>11.93</v>
    <v>11.45</v>
    <v>11.346500000000001</v>
    <v>11.24</v>
    <v>11.45</v>
    <v>11.29</v>
    <v>11.46</v>
    <v>11.429</v>
    <v>11.49</v>
    <v>11.49</v>
    <v>11.29</v>
    <v>11.125</v>
    <v>11.15</v>
    <v>10.92</v>
    <v>11.02</v>
    <v>11.1</v>
    <v>11.26</v>
    <v>11.385</v>
    <v>11.37</v>
    <v>11.57</v>
    <v>11.32</v>
    <v>11.49</v>
    <v>11.45</v>
    <v>11.52</v>
    <v>11.48</v>
    <v>11.73</v>
    <v>11.6</v>
    <v>11.43</v>
    <v>11.77</v>
    <v>11.85</v>
    <v>11.87</v>
    <v>11.98</v>
    <v>11.99</v>
    <v>11.83</v>
    <v>11.89</v>
    <v>11.725</v>
    <v>11.7</v>
    <v>11.91</v>
    <v>11.75</v>
    <v>11.68</v>
    <v>11.52</v>
    <v>11.79</v>
    <v>11.81</v>
    <v>11.755000000000001</v>
    <v>11.78</v>
    <v>11.88</v>
    <v>11.78</v>
    <v>11.8</v>
    <v>11.7</v>
    <v>11.93</v>
    <v>11.83</v>
    <v>11.65</v>
    <v>12.315</v>
    <v>12.12</v>
    <v>12.2</v>
    <v>12.28</v>
    <v>12.43</v>
    <v>12.67</v>
    <v>12.8</v>
    <v>12.53</v>
    <v>12.013999999999999</v>
    <v>11.77</v>
    <v>11.59</v>
    <v>11.63</v>
    <v>11.76</v>
    <v>11.78</v>
    <v>11.79</v>
    <v>12.01</v>
    <v>12.08</v>
    <v>12.63</v>
    <v>12.595000000000001</v>
    <v>12.49</v>
    <v>13.97</v>
    <v>13.8</v>
    <v>13.28</v>
    <v>13.39</v>
    <v>13.29</v>
    <v>13.17</v>
    <v>13.1</v>
    <v>12.93</v>
    <v>13.305</v>
    <v>13.26</v>
    <v>13.24</v>
    <v>13.234999999999999</v>
    <v>13.44</v>
    <v>13.5</v>
    <v>13.5</v>
    <v>13.31</v>
    <v>13.1751</v>
    <v>13.09</v>
    <v>13.15</v>
    <v>13.01</v>
    <v>12.94</v>
    <v>12.98</v>
    <v>13.26</v>
    <v>13.26</v>
    <v>13.34</v>
  </a>
  <a r="1" c="228">
    <v>9.4825999999999997</v>
    <v>9.3792000000000009</v>
    <v>9.7433999999999994</v>
    <v>9.5662000000000003</v>
    <v>9.4283999999999999</v>
    <v>9.4382999999999999</v>
    <v>9.4185999999999996</v>
    <v>9.5268999999999995</v>
    <v>9.7334999999999994</v>
    <v>9.7334999999999994</v>
    <v>9.8811999999999998</v>
    <v>10.077999999999999</v>
    <v>9.8614999999999995</v>
    <v>9.8123000000000005</v>
    <v>9.9304000000000006</v>
    <v>9.9402000000000008</v>
    <v>9.7630999999999997</v>
    <v>9.8712999999999997</v>
    <v>9.9009</v>
    <v>9.8320000000000007</v>
    <v>9.4481000000000002</v>
    <v>9.7483000000000004</v>
    <v>9.8024000000000004</v>
    <v>9.1135000000000002</v>
    <v>9.0348000000000006</v>
    <v>8.9756999999999998</v>
    <v>9.0249000000000006</v>
    <v>8.9559999999999995</v>
    <v>9.0937999999999999</v>
    <v>9.2415000000000003</v>
    <v>9.23</v>
    <v>9.2100000000000009</v>
    <v>9.2799999999999994</v>
    <v>9.23</v>
    <v>9.2100000000000009</v>
    <v>9.31</v>
    <v>9.44</v>
    <v>9.2899999999999991</v>
    <v>9.31</v>
    <v>9.32</v>
    <v>9.06</v>
    <v>9.1999999999999993</v>
    <v>9.42</v>
    <v>9.51</v>
    <v>9.77</v>
    <v>9.49</v>
    <v>9.4600000000000009</v>
    <v>9.5</v>
    <v>9.64</v>
    <v>9.74</v>
    <v>9.8800000000000008</v>
    <v>9.9450000000000003</v>
    <v>9.99</v>
    <v>9.83</v>
    <v>10.01</v>
    <v>10.17</v>
    <v>10.09</v>
    <v>9.82</v>
    <v>9.6199999999999992</v>
    <v>9.5449999999999999</v>
    <v>9.81</v>
    <v>9.82</v>
    <v>9.5299999999999994</v>
    <v>9.1999999999999993</v>
    <v>9</v>
    <v>8.5500000000000007</v>
    <v>8.4405999999999999</v>
    <v>8.8800000000000008</v>
    <v>9.0399999999999991</v>
    <v>9.1999999999999993</v>
    <v>9.3800000000000008</v>
    <v>9.2899999999999991</v>
    <v>9.4049999999999994</v>
    <v>9.35</v>
    <v>9.5299999999999994</v>
    <v>9.7100000000000009</v>
    <v>9.8149999999999995</v>
    <v>9.9700000000000006</v>
    <v>9.9701000000000004</v>
    <v>9.9250000000000007</v>
    <v>9.86</v>
    <v>10.02</v>
    <v>10.215</v>
    <v>10.095000000000001</v>
    <v>10.055</v>
    <v>10.119999999999999</v>
    <v>10.26</v>
    <v>10.35</v>
    <v>10.48</v>
    <v>10.42</v>
    <v>10.48</v>
    <v>10.55</v>
    <v>10.64</v>
    <v>10.63</v>
    <v>10.66</v>
    <v>10.45</v>
    <v>10.34</v>
    <v>10.29</v>
    <v>10.210000000000001</v>
    <v>10.15</v>
    <v>10.11</v>
    <v>10.119999999999999</v>
    <v>9.8800000000000008</v>
    <v>9.89</v>
    <v>10.18</v>
    <v>10.029999999999999</v>
    <v>10.1501</v>
    <v>10.29</v>
    <v>10.36</v>
    <v>10.610099999999999</v>
    <v>10.43</v>
    <v>10.38</v>
    <v>10.5</v>
    <v>10.38</v>
    <v>10.395</v>
    <v>10.46</v>
    <v>10.535</v>
    <v>10.72</v>
    <v>10.42</v>
    <v>10.47</v>
    <v>10.68</v>
    <v>10.685</v>
    <v>10.790100000000001</v>
    <v>11.37</v>
    <v>11.75</v>
    <v>11.48</v>
    <v>11.64</v>
    <v>11.76</v>
    <v>11.78</v>
    <v>11.71</v>
    <v>11.67</v>
    <v>11.524699999999999</v>
    <v>11.15</v>
    <v>11.11</v>
    <v>11.05</v>
    <v>11.21</v>
    <v>11.08</v>
    <v>11.28</v>
    <v>11.23</v>
    <v>11.2401</v>
    <v>11.25</v>
    <v>11.06</v>
    <v>10.82</v>
    <v>10.680099999999999</v>
    <v>10.68</v>
    <v>10.86</v>
    <v>10.9</v>
    <v>11.08</v>
    <v>11.1</v>
    <v>11.21</v>
    <v>11.06</v>
    <v>11.13</v>
    <v>11.19</v>
    <v>11.215</v>
    <v>11.41</v>
    <v>11.37</v>
    <v>11.49</v>
    <v>11.47</v>
    <v>11.195</v>
    <v>11.39</v>
    <v>11.68</v>
    <v>11.77</v>
    <v>11.81</v>
    <v>11.63</v>
    <v>11.72</v>
    <v>11.64</v>
    <v>11.57</v>
    <v>11.57</v>
    <v>11.66</v>
    <v>11.58</v>
    <v>11.45</v>
    <v>11.31</v>
    <v>11.43</v>
    <v>11.66</v>
    <v>11.61</v>
    <v>11.51</v>
    <v>11.55</v>
    <v>11.62</v>
    <v>11.585000000000001</v>
    <v>11.565</v>
    <v>11.695</v>
    <v>11.59</v>
    <v>11.37</v>
    <v>11.65</v>
    <v>11.89</v>
    <v>11.91</v>
    <v>12.04</v>
    <v>12.12</v>
    <v>12.2</v>
    <v>12.48</v>
    <v>11.74</v>
    <v>11.68</v>
    <v>11.48</v>
    <v>11.35</v>
    <v>11.46</v>
    <v>11.34</v>
    <v>11.64</v>
    <v>11.64</v>
    <v>11.72</v>
    <v>11.91</v>
    <v>12.07</v>
    <v>12.28</v>
    <v>12.19</v>
    <v>12.71</v>
    <v>13.21</v>
    <v>13.04</v>
    <v>13.07</v>
    <v>13.06</v>
    <v>12.99</v>
    <v>12.9</v>
    <v>12.75</v>
    <v>12.88</v>
    <v>12.98</v>
    <v>12.95</v>
    <v>13</v>
    <v>13.19</v>
    <v>13.3</v>
    <v>13.25</v>
    <v>13.1</v>
    <v>12.78</v>
    <v>12.76</v>
    <v>12.8649</v>
    <v>12.38</v>
    <v>12.49</v>
    <v>12.824999999999999</v>
    <v>12.975</v>
    <v>13.12</v>
    <v>13.18</v>
  </a>
  <a r="1" c="228">
    <v>68235708</v>
    <v>78487552</v>
    <v>64867023</v>
    <v>63407119</v>
    <v>62670278</v>
    <v>74552875</v>
    <v>67084313</v>
    <v>46150035</v>
    <v>69778271</v>
    <v>46505753</v>
    <v>61780110</v>
    <v>66726387</v>
    <v>65993172</v>
    <v>57145140</v>
    <v>43598838</v>
    <v>74257329</v>
    <v>93659287</v>
    <v>71111881</v>
    <v>70782906</v>
    <v>105393560</v>
    <v>133542924</v>
    <v>69821048</v>
    <v>126184045</v>
    <v>226339032</v>
    <v>143116839</v>
    <v>73328062</v>
    <v>55726170</v>
    <v>68421994</v>
    <v>73218126</v>
    <v>54642783</v>
    <v>62175764</v>
    <v>50191726</v>
    <v>39787792</v>
    <v>58437662</v>
    <v>72562637</v>
    <v>88876827</v>
    <v>87948083</v>
    <v>70518755</v>
    <v>137992574</v>
    <v>154435905</v>
    <v>167499954</v>
    <v>157774904</v>
    <v>136680746</v>
    <v>150644884</v>
    <v>167183809</v>
    <v>210126974</v>
    <v>129994592</v>
    <v>137747632</v>
    <v>91313759</v>
    <v>98583068</v>
    <v>102730930</v>
    <v>124697379</v>
    <v>109103733</v>
    <v>240638631</v>
    <v>102847191</v>
    <v>83674856</v>
    <v>140975582</v>
    <v>229032469</v>
    <v>136868327</v>
    <v>139951868</v>
    <v>135388684</v>
    <v>136908485</v>
    <v>220270980</v>
    <v>177466228</v>
    <v>274938497</v>
    <v>199286778</v>
    <v>199662988</v>
    <v>163535434</v>
    <v>146073701</v>
    <v>189955001</v>
    <v>125469023</v>
    <v>133804943</v>
    <v>129204565</v>
    <v>94138882</v>
    <v>121387081</v>
    <v>158691527</v>
    <v>87031042</v>
    <v>88682432</v>
    <v>77051524</v>
    <v>141980313</v>
    <v>136406235</v>
    <v>126532486</v>
    <v>82228655</v>
    <v>105766259</v>
    <v>131814035</v>
    <v>116936644</v>
    <v>107173416</v>
    <v>76350701</v>
    <v>102035764</v>
    <v>83671012</v>
    <v>84453089</v>
    <v>71096528</v>
    <v>64913005</v>
    <v>60195734</v>
    <v>61063828</v>
    <v>89090498</v>
    <v>94081143</v>
    <v>80519024</v>
    <v>89066847</v>
    <v>102335584</v>
    <v>101688883</v>
    <v>152191621</v>
    <v>170340783</v>
    <v>121584328</v>
    <v>123191229</v>
    <v>133269444</v>
    <v>105916694</v>
    <v>63638928</v>
    <v>87955501</v>
    <v>93094876</v>
    <v>76393291</v>
    <v>90106172</v>
    <v>75195179</v>
    <v>100969375</v>
    <v>82770168</v>
    <v>116743402</v>
    <v>77576511</v>
    <v>77244413</v>
    <v>91927326</v>
    <v>88416356</v>
    <v>182008244</v>
    <v>88472231</v>
    <v>140150738</v>
    <v>122331588</v>
    <v>60311463</v>
    <v>73842100</v>
    <v>74190215</v>
    <v>63886882</v>
    <v>67263023</v>
    <v>65340737</v>
    <v>62098074</v>
    <v>65101902</v>
    <v>107978145</v>
    <v>70345257</v>
    <v>68812553</v>
    <v>65515630</v>
    <v>79403755</v>
    <v>76163207</v>
    <v>63557796</v>
    <v>52312257</v>
    <v>54173647</v>
    <v>58371483</v>
    <v>79866858</v>
    <v>101090884</v>
    <v>73541489</v>
    <v>56696828</v>
    <v>58864252</v>
    <v>59519843</v>
    <v>71774972</v>
    <v>48465317</v>
    <v>84332966</v>
    <v>64021039</v>
    <v>63823345</v>
    <v>52469244</v>
    <v>46141355</v>
    <v>37113805</v>
    <v>58020177</v>
    <v>46469853</v>
    <v>51779301</v>
    <v>58538704</v>
    <v>45038754</v>
    <v>48613273</v>
    <v>40381477</v>
    <v>47723668</v>
    <v>44069734</v>
    <v>57704182</v>
    <v>47728660</v>
    <v>33136650</v>
    <v>47547831</v>
    <v>39734522</v>
    <v>41262743</v>
    <v>47021328</v>
    <v>64196118</v>
    <v>50100809</v>
    <v>47942431</v>
    <v>58064970</v>
    <v>68585945</v>
    <v>55040063</v>
    <v>71676341</v>
    <v>58432710</v>
    <v>55667552</v>
    <v>60193780</v>
    <v>67656337</v>
    <v>117681848</v>
    <v>83325012</v>
    <v>70765048</v>
    <v>73578427</v>
    <v>74530532</v>
    <v>100778558</v>
    <v>90544937</v>
    <v>154390154</v>
    <v>78469653</v>
    <v>70320483</v>
    <v>84595402</v>
    <v>73939384</v>
    <v>89117946</v>
    <v>88960726</v>
    <v>108701202</v>
    <v>107633522</v>
    <v>77878936</v>
    <v>297153158</v>
    <v>415062173</v>
    <v>479840312</v>
    <v>298366862</v>
    <v>140859004</v>
    <v>96738451</v>
    <v>127512240</v>
    <v>80766301</v>
    <v>68861988</v>
    <v>80419403</v>
    <v>70360611</v>
    <v>79134307</v>
    <v>82291049</v>
    <v>80011318</v>
    <v>62051157</v>
    <v>79742405</v>
    <v>61840461</v>
    <v>71481613</v>
    <v>67932422</v>
    <v>73404381</v>
    <v>70215400</v>
    <v>49619260</v>
    <v>95861863</v>
    <v>74048860</v>
    <v>52936240</v>
    <v>52884970</v>
    <v>44942203</v>
    <v>29536180</v>
  </a>
</arrayData>
</file>

<file path=xl/richData/rdrichvalue.xml><?xml version="1.0" encoding="utf-8"?>
<rvData xmlns="http://schemas.microsoft.com/office/spreadsheetml/2017/richdata" count="1242">
  <rv s="0">
    <fb>45659</fb>
    <v>0</v>
  </rv>
  <rv s="0">
    <fb>9.4972999999999992</fb>
    <v>1</v>
  </rv>
  <rv s="0">
    <fb>45660</fb>
    <v>0</v>
  </rv>
  <rv s="0">
    <fb>9.7236999999999991</fb>
    <v>1</v>
  </rv>
  <rv s="0">
    <fb>45663</fb>
    <v>0</v>
  </rv>
  <rv s="0">
    <fb>9.7630999999999997</fb>
    <v>1</v>
  </rv>
  <rv s="0">
    <fb>45664</fb>
    <v>0</v>
  </rv>
  <rv s="0">
    <fb>9.6056000000000008</fb>
    <v>1</v>
  </rv>
  <rv s="0">
    <fb>45665</fb>
    <v>0</v>
  </rv>
  <rv s="0">
    <fb>9.5859000000000005</fb>
    <v>1</v>
  </rv>
  <rv s="0">
    <fb>45667</fb>
    <v>0</v>
  </rv>
  <rv s="0">
    <fb>45670</fb>
    <v>0</v>
  </rv>
  <rv s="0">
    <fb>9.5564</fb>
    <v>1</v>
  </rv>
  <rv s="0">
    <fb>45671</fb>
    <v>0</v>
  </rv>
  <rv s="0">
    <fb>9.6252999999999993</fb>
    <v>1</v>
  </rv>
  <rv s="0">
    <fb>45672</fb>
    <v>0</v>
  </rv>
  <rv s="0">
    <fb>9.7926000000000002</fb>
    <v>1</v>
  </rv>
  <rv s="0">
    <fb>45673</fb>
    <v>0</v>
  </rv>
  <rv s="0">
    <fb>9.8515999999999995</fb>
    <v>1</v>
  </rv>
  <rv s="0">
    <fb>45674</fb>
    <v>0</v>
  </rv>
  <rv s="0">
    <fb>10.019</fb>
    <v>1</v>
  </rv>
  <rv s="0">
    <fb>45678</fb>
    <v>0</v>
  </rv>
  <rv s="0">
    <fb>10.265000000000001</fb>
    <v>1</v>
  </rv>
  <rv s="0">
    <fb>45679</fb>
    <v>0</v>
  </rv>
  <rv s="0">
    <fb>9.8712999999999997</fb>
    <v>1</v>
  </rv>
  <rv s="0">
    <fb>45680</fb>
    <v>0</v>
  </rv>
  <rv s="0">
    <fb>9.9992999999999999</fb>
    <v>1</v>
  </rv>
  <rv s="0">
    <fb>45681</fb>
    <v>0</v>
  </rv>
  <rv s="0">
    <fb>9.9598999999999993</fb>
    <v>1</v>
  </rv>
  <rv s="0">
    <fb>45684</fb>
    <v>0</v>
  </rv>
  <rv s="0">
    <fb>10.2158</fb>
    <v>1</v>
  </rv>
  <rv s="0">
    <fb>45685</fb>
    <v>0</v>
  </rv>
  <rv s="0">
    <fb>9.9205000000000005</fb>
    <v>1</v>
  </rv>
  <rv s="0">
    <fb>45686</fb>
    <v>0</v>
  </rv>
  <rv s="0">
    <fb>10.048500000000001</fb>
    <v>1</v>
  </rv>
  <rv s="0">
    <fb>45688</fb>
    <v>0</v>
  </rv>
  <rv s="0">
    <fb>45691</fb>
    <v>0</v>
  </rv>
  <rv s="0">
    <fb>9.7334999999999994</fb>
    <v>1</v>
  </rv>
  <rv s="0">
    <fb>45692</fb>
    <v>0</v>
  </rv>
  <rv s="0">
    <fb>45693</fb>
    <v>0</v>
  </rv>
  <rv s="0">
    <fb>45694</fb>
    <v>0</v>
  </rv>
  <rv s="0">
    <fb>9.1135000000000002</fb>
    <v>1</v>
  </rv>
  <rv s="0">
    <fb>45695</fb>
    <v>0</v>
  </rv>
  <rv s="0">
    <fb>9.0937999999999999</fb>
    <v>1</v>
  </rv>
  <rv s="0">
    <fb>45698</fb>
    <v>0</v>
  </rv>
  <rv s="0">
    <fb>45699</fb>
    <v>0</v>
  </rv>
  <rv s="0">
    <fb>9.0642999999999994</fb>
    <v>1</v>
  </rv>
  <rv s="0">
    <fb>45700</fb>
    <v>0</v>
  </rv>
  <rv s="0">
    <fb>9.0839999999999996</fb>
    <v>1</v>
  </rv>
  <rv s="0">
    <fb>45701</fb>
    <v>0</v>
  </rv>
  <rv s="0">
    <fb>9.2020999999999997</fb>
    <v>1</v>
  </rv>
  <rv s="0">
    <fb>45702</fb>
    <v>0</v>
  </rv>
  <rv s="0">
    <fb>9.33</fb>
    <v>1</v>
  </rv>
  <rv s="0">
    <fb>45706</fb>
    <v>0</v>
  </rv>
  <rv s="0">
    <fb>9.2899999999999991</fb>
    <v>1</v>
  </rv>
  <rv s="0">
    <fb>45707</fb>
    <v>0</v>
  </rv>
  <rv s="0">
    <fb>9.34</fb>
    <v>1</v>
  </rv>
  <rv s="0">
    <fb>45708</fb>
    <v>0</v>
  </rv>
  <rv s="0">
    <fb>9.39</fb>
    <v>1</v>
  </rv>
  <rv s="0">
    <fb>45709</fb>
    <v>0</v>
  </rv>
  <rv s="0">
    <fb>9.2799999999999994</fb>
    <v>1</v>
  </rv>
  <rv s="0">
    <fb>45712</fb>
    <v>0</v>
  </rv>
  <rv s="0">
    <fb>9.35</fb>
    <v>1</v>
  </rv>
  <rv s="0">
    <fb>45713</fb>
    <v>0</v>
  </rv>
  <rv s="0">
    <fb>9.42</fb>
    <v>1</v>
  </rv>
  <rv s="0">
    <fb>45714</fb>
    <v>0</v>
  </rv>
  <rv s="0">
    <fb>9.4700000000000006</fb>
    <v>1</v>
  </rv>
  <rv s="0">
    <fb>45715</fb>
    <v>0</v>
  </rv>
  <rv s="0">
    <fb>45716</fb>
    <v>0</v>
  </rv>
  <rv s="0">
    <fb>9.5500000000000007</fb>
    <v>1</v>
  </rv>
  <rv s="0">
    <fb>45719</fb>
    <v>0</v>
  </rv>
  <rv s="0">
    <fb>45720</fb>
    <v>0</v>
  </rv>
  <rv s="0">
    <fb>9.1199999999999992</fb>
    <v>1</v>
  </rv>
  <rv s="0">
    <fb>45721</fb>
    <v>0</v>
  </rv>
  <rv s="0">
    <fb>9.65</fb>
    <v>1</v>
  </rv>
  <rv s="0">
    <fb>45722</fb>
    <v>0</v>
  </rv>
  <rv s="0">
    <fb>9.61</fb>
    <v>1</v>
  </rv>
  <rv s="0">
    <fb>45723</fb>
    <v>0</v>
  </rv>
  <rv s="0">
    <fb>9.9</fb>
    <v>1</v>
  </rv>
  <rv s="0">
    <fb>45726</fb>
    <v>0</v>
  </rv>
  <rv s="0">
    <fb>9.9600000000000009</fb>
    <v>1</v>
  </rv>
  <rv s="0">
    <fb>45727</fb>
    <v>0</v>
  </rv>
  <rv s="0">
    <fb>9.69</fb>
    <v>1</v>
  </rv>
  <rv s="0">
    <fb>45728</fb>
    <v>0</v>
  </rv>
  <rv s="0">
    <fb>9.59</fb>
    <v>1</v>
  </rv>
  <rv s="0">
    <fb>45729</fb>
    <v>0</v>
  </rv>
  <rv s="0">
    <fb>9.5299999999999994</fb>
    <v>1</v>
  </rv>
  <rv s="0">
    <fb>45730</fb>
    <v>0</v>
  </rv>
  <rv s="0">
    <fb>9.73</fb>
    <v>1</v>
  </rv>
  <rv s="0">
    <fb>45733</fb>
    <v>0</v>
  </rv>
  <rv s="0">
    <fb>9.92</fb>
    <v>1</v>
  </rv>
  <rv s="0">
    <fb>45734</fb>
    <v>0</v>
  </rv>
  <rv s="0">
    <fb>9.9499999999999993</fb>
    <v>1</v>
  </rv>
  <rv s="0">
    <fb>45735</fb>
    <v>0</v>
  </rv>
  <rv s="0">
    <fb>10.17</fb>
    <v>1</v>
  </rv>
  <rv s="0">
    <fb>45736</fb>
    <v>0</v>
  </rv>
  <rv s="0">
    <fb>10.01</fb>
    <v>1</v>
  </rv>
  <rv s="0">
    <fb>45737</fb>
    <v>0</v>
  </rv>
  <rv s="0">
    <fb>10</fb>
    <v>1</v>
  </rv>
  <rv s="0">
    <fb>45740</fb>
    <v>0</v>
  </rv>
  <rv s="0">
    <fb>10.25</fb>
    <v>1</v>
  </rv>
  <rv s="0">
    <fb>45741</fb>
    <v>0</v>
  </rv>
  <rv s="0">
    <fb>10.29</fb>
    <v>1</v>
  </rv>
  <rv s="0">
    <fb>45742</fb>
    <v>0</v>
  </rv>
  <rv s="0">
    <fb>10.3</fb>
    <v>1</v>
  </rv>
  <rv s="0">
    <fb>45743</fb>
    <v>0</v>
  </rv>
  <rv s="0">
    <fb>45744</fb>
    <v>0</v>
  </rv>
  <rv s="0">
    <fb>9.7200000000000006</fb>
    <v>1</v>
  </rv>
  <rv s="0">
    <fb>45747</fb>
    <v>0</v>
  </rv>
  <rv s="0">
    <fb>10.029999999999999</fb>
    <v>1</v>
  </rv>
  <rv s="0">
    <fb>45748</fb>
    <v>0</v>
  </rv>
  <rv s="0">
    <fb>9.94</fb>
    <v>1</v>
  </rv>
  <rv s="0">
    <fb>45749</fb>
    <v>0</v>
  </rv>
  <rv s="0">
    <fb>10.15</fb>
    <v>1</v>
  </rv>
  <rv s="0">
    <fb>45750</fb>
    <v>0</v>
  </rv>
  <rv s="0">
    <fb>9.5399999999999991</fb>
    <v>1</v>
  </rv>
  <rv s="0">
    <fb>45751</fb>
    <v>0</v>
  </rv>
  <rv s="0">
    <fb>9.58</fb>
    <v>1</v>
  </rv>
  <rv s="0">
    <fb>45754</fb>
    <v>0</v>
  </rv>
  <rv s="0">
    <fb>9.24</fb>
    <v>1</v>
  </rv>
  <rv s="0">
    <fb>45755</fb>
    <v>0</v>
  </rv>
  <rv s="0">
    <fb>8.69</fb>
    <v>1</v>
  </rv>
  <rv s="0">
    <fb>45756</fb>
    <v>0</v>
  </rv>
  <rv s="0">
    <fb>9.5</fb>
    <v>1</v>
  </rv>
  <rv s="0">
    <fb>45757</fb>
    <v>0</v>
  </rv>
  <rv s="0">
    <fb>9.14</fb>
    <v>1</v>
  </rv>
  <rv s="0">
    <fb>45758</fb>
    <v>0</v>
  </rv>
  <rv s="0">
    <fb>45761</fb>
    <v>0</v>
  </rv>
  <rv s="0">
    <fb>9.7100000000000009</fb>
    <v>1</v>
  </rv>
  <rv s="0">
    <fb>45762</fb>
    <v>0</v>
  </rv>
  <rv s="0">
    <fb>9.4499999999999993</fb>
    <v>1</v>
  </rv>
  <rv s="0">
    <fb>45763</fb>
    <v>0</v>
  </rv>
  <rv s="0">
    <fb>9.4</fb>
    <v>1</v>
  </rv>
  <rv s="0">
    <fb>45764</fb>
    <v>0</v>
  </rv>
  <rv s="0">
    <fb>9.6300000000000008</fb>
    <v>1</v>
  </rv>
  <rv s="0">
    <fb>45768</fb>
    <v>0</v>
  </rv>
  <rv s="0">
    <fb>45769</fb>
    <v>0</v>
  </rv>
  <rv s="0">
    <fb>45770</fb>
    <v>0</v>
  </rv>
  <rv s="0">
    <fb>9.7799999999999994</fb>
    <v>1</v>
  </rv>
  <rv s="0">
    <fb>45771</fb>
    <v>0</v>
  </rv>
  <rv s="0">
    <fb>10.06</fb>
    <v>1</v>
  </rv>
  <rv s="0">
    <fb>45772</fb>
    <v>0</v>
  </rv>
  <rv s="0">
    <fb>10.039999999999999</fb>
    <v>1</v>
  </rv>
  <rv s="0">
    <fb>45775</fb>
    <v>0</v>
  </rv>
  <rv s="0">
    <fb>10.02</fb>
    <v>1</v>
  </rv>
  <rv s="0">
    <fb>45776</fb>
    <v>0</v>
  </rv>
  <rv s="0">
    <fb>45777</fb>
    <v>0</v>
  </rv>
  <rv s="0">
    <fb>45778</fb>
    <v>0</v>
  </rv>
  <rv s="0">
    <fb>10.18</fb>
    <v>1</v>
  </rv>
  <rv s="0">
    <fb>45779</fb>
    <v>0</v>
  </rv>
  <rv s="0">
    <fb>10.28</fb>
    <v>1</v>
  </rv>
  <rv s="0">
    <fb>45782</fb>
    <v>0</v>
  </rv>
  <rv s="0">
    <fb>45783</fb>
    <v>0</v>
  </rv>
  <rv s="0">
    <fb>10.44</fb>
    <v>1</v>
  </rv>
  <rv s="0">
    <fb>45784</fb>
    <v>0</v>
  </rv>
  <rv s="0">
    <fb>45785</fb>
    <v>0</v>
  </rv>
  <rv s="0">
    <fb>45786</fb>
    <v>0</v>
  </rv>
  <rv s="0">
    <fb>10.43</fb>
    <v>1</v>
  </rv>
  <rv s="0">
    <fb>45789</fb>
    <v>0</v>
  </rv>
  <rv s="0">
    <fb>10.55</fb>
    <v>1</v>
  </rv>
  <rv s="0">
    <fb>45790</fb>
    <v>0</v>
  </rv>
  <rv s="0">
    <fb>10.6</fb>
    <v>1</v>
  </rv>
  <rv s="0">
    <fb>45791</fb>
    <v>0</v>
  </rv>
  <rv s="0">
    <fb>10.65</fb>
    <v>1</v>
  </rv>
  <rv s="0">
    <fb>45792</fb>
    <v>0</v>
  </rv>
  <rv s="0">
    <fb>10.75</fb>
    <v>1</v>
  </rv>
  <rv s="0">
    <fb>45793</fb>
    <v>0</v>
  </rv>
  <rv s="0">
    <fb>10.8</fb>
    <v>1</v>
  </rv>
  <rv s="0">
    <fb>45796</fb>
    <v>0</v>
  </rv>
  <rv s="0">
    <fb>45797</fb>
    <v>0</v>
  </rv>
  <rv s="0">
    <fb>10.72</fb>
    <v>1</v>
  </rv>
  <rv s="0">
    <fb>45798</fb>
    <v>0</v>
  </rv>
  <rv s="0">
    <fb>10.48</fb>
    <v>1</v>
  </rv>
  <rv s="0">
    <fb>45799</fb>
    <v>0</v>
  </rv>
  <rv s="0">
    <fb>45800</fb>
    <v>0</v>
  </rv>
  <rv s="0">
    <fb>10.36</fb>
    <v>1</v>
  </rv>
  <rv s="0">
    <fb>45804</fb>
    <v>0</v>
  </rv>
  <rv s="0">
    <fb>10.31</fb>
    <v>1</v>
  </rv>
  <rv s="0">
    <fb>45805</fb>
    <v>0</v>
  </rv>
  <rv s="0">
    <fb>45806</fb>
    <v>0</v>
  </rv>
  <rv s="0">
    <fb>10.220000000000001</fb>
    <v>1</v>
  </rv>
  <rv s="0">
    <fb>45807</fb>
    <v>0</v>
  </rv>
  <rv s="0">
    <fb>10.38</fb>
    <v>1</v>
  </rv>
  <rv s="0">
    <fb>45810</fb>
    <v>0</v>
  </rv>
  <rv s="0">
    <fb>9.98</fb>
    <v>1</v>
  </rv>
  <rv s="0">
    <fb>45811</fb>
    <v>0</v>
  </rv>
  <rv s="0">
    <fb>10.19</fb>
    <v>1</v>
  </rv>
  <rv s="0">
    <fb>45812</fb>
    <v>0</v>
  </rv>
  <rv s="0">
    <fb>10.24</fb>
    <v>1</v>
  </rv>
  <rv s="0">
    <fb>45813</fb>
    <v>0</v>
  </rv>
  <rv s="0">
    <fb>10.1</fb>
    <v>1</v>
  </rv>
  <rv s="0">
    <fb>45814</fb>
    <v>0</v>
  </rv>
  <rv s="0">
    <fb>10.26</fb>
    <v>1</v>
  </rv>
  <rv s="0">
    <fb>45817</fb>
    <v>0</v>
  </rv>
  <rv s="0">
    <fb>10.34</fb>
    <v>1</v>
  </rv>
  <rv s="0">
    <fb>45818</fb>
    <v>0</v>
  </rv>
  <rv s="0">
    <fb>45819</fb>
    <v>0</v>
  </rv>
  <rv s="0">
    <fb>10.66</fb>
    <v>1</v>
  </rv>
  <rv s="0">
    <fb>45820</fb>
    <v>0</v>
  </rv>
  <rv s="0">
    <fb>10.53</fb>
    <v>1</v>
  </rv>
  <rv s="0">
    <fb>45821</fb>
    <v>0</v>
  </rv>
  <rv s="0">
    <fb>45824</fb>
    <v>0</v>
  </rv>
  <rv s="0">
    <fb>10.62</fb>
    <v>1</v>
  </rv>
  <rv s="0">
    <fb>45825</fb>
    <v>0</v>
  </rv>
  <rv s="0">
    <fb>10.42</fb>
    <v>1</v>
  </rv>
  <rv s="0">
    <fb>45826</fb>
    <v>0</v>
  </rv>
  <rv s="0">
    <fb>45828</fb>
    <v>0</v>
  </rv>
  <rv s="0">
    <fb>10.59</fb>
    <v>1</v>
  </rv>
  <rv s="0">
    <fb>45831</fb>
    <v>0</v>
  </rv>
  <rv s="0">
    <fb>45832</fb>
    <v>0</v>
  </rv>
  <rv s="0">
    <fb>10.73</fb>
    <v>1</v>
  </rv>
  <rv s="0">
    <fb>45833</fb>
    <v>0</v>
  </rv>
  <rv s="0">
    <fb>45834</fb>
    <v>0</v>
  </rv>
  <rv s="0">
    <fb>10.63</fb>
    <v>1</v>
  </rv>
  <rv s="0">
    <fb>45835</fb>
    <v>0</v>
  </rv>
  <rv s="0">
    <fb>45838</fb>
    <v>0</v>
  </rv>
  <rv s="0">
    <fb>10.85</fb>
    <v>1</v>
  </rv>
  <rv s="0">
    <fb>45839</fb>
    <v>0</v>
  </rv>
  <rv s="0">
    <fb>11.35</fb>
    <v>1</v>
  </rv>
  <rv s="0">
    <fb>45840</fb>
    <v>0</v>
  </rv>
  <rv s="0">
    <fb>11.77</fb>
    <v>1</v>
  </rv>
  <rv s="0">
    <fb>45841</fb>
    <v>0</v>
  </rv>
  <rv s="0">
    <fb>11.81</fb>
    <v>1</v>
  </rv>
  <rv s="0">
    <fb>45845</fb>
    <v>0</v>
  </rv>
  <rv s="0">
    <fb>11.59</fb>
    <v>1</v>
  </rv>
  <rv s="0">
    <fb>45846</fb>
    <v>0</v>
  </rv>
  <rv s="0">
    <fb>11.68</fb>
    <v>1</v>
  </rv>
  <rv s="0">
    <fb>45847</fb>
    <v>0</v>
  </rv>
  <rv s="0">
    <fb>11.83</fb>
    <v>1</v>
  </rv>
  <rv s="0">
    <fb>45848</fb>
    <v>0</v>
  </rv>
  <rv s="0">
    <fb>11.91</fb>
    <v>1</v>
  </rv>
  <rv s="0">
    <fb>45849</fb>
    <v>0</v>
  </rv>
  <rv s="0">
    <fb>11.78</fb>
    <v>1</v>
  </rv>
  <rv s="0">
    <fb>45852</fb>
    <v>0</v>
  </rv>
  <rv s="0">
    <fb>11.88</fb>
    <v>1</v>
  </rv>
  <rv s="0">
    <fb>45853</fb>
    <v>0</v>
  </rv>
  <rv s="0">
    <fb>11.57</fb>
    <v>1</v>
  </rv>
  <rv s="0">
    <fb>45854</fb>
    <v>0</v>
  </rv>
  <rv s="0">
    <fb>11.24</fb>
    <v>1</v>
  </rv>
  <rv s="0">
    <fb>45855</fb>
    <v>0</v>
  </rv>
  <rv s="0">
    <fb>11.15</fb>
    <v>1</v>
  </rv>
  <rv s="0">
    <fb>45856</fb>
    <v>0</v>
  </rv>
  <rv s="0">
    <fb>11.16</fb>
    <v>1</v>
  </rv>
  <rv s="0">
    <fb>45859</fb>
    <v>0</v>
  </rv>
  <rv s="0">
    <fb>11.31</fb>
    <v>1</v>
  </rv>
  <rv s="0">
    <fb>45860</fb>
    <v>0</v>
  </rv>
  <rv s="0">
    <fb>11.19</fb>
    <v>1</v>
  </rv>
  <rv s="0">
    <fb>45861</fb>
    <v>0</v>
  </rv>
  <rv s="0">
    <fb>11.38</fb>
    <v>1</v>
  </rv>
  <rv s="0">
    <fb>45862</fb>
    <v>0</v>
  </rv>
  <rv s="0">
    <fb>11.26</fb>
    <v>1</v>
  </rv>
  <rv s="0">
    <fb>45863</fb>
    <v>0</v>
  </rv>
  <rv s="0">
    <fb>11.47</fb>
    <v>1</v>
  </rv>
  <rv s="0">
    <fb>45866</fb>
    <v>0</v>
  </rv>
  <rv s="0">
    <fb>11.28</fb>
    <v>1</v>
  </rv>
  <rv s="0">
    <fb>45867</fb>
    <v>0</v>
  </rv>
  <rv s="0">
    <fb>11.08</fb>
    <v>1</v>
  </rv>
  <rv s="0">
    <fb>45868</fb>
    <v>0</v>
  </rv>
  <rv s="0">
    <fb>10.87</fb>
    <v>1</v>
  </rv>
  <rv s="0">
    <fb>45869</fb>
    <v>0</v>
  </rv>
  <rv s="0">
    <fb>11.07</fb>
    <v>1</v>
  </rv>
  <rv s="0">
    <fb>45870</fb>
    <v>0</v>
  </rv>
  <rv s="0">
    <fb>10.82</fb>
    <v>1</v>
  </rv>
  <rv s="0">
    <fb>45873</fb>
    <v>0</v>
  </rv>
  <rv s="0">
    <fb>10.95</fb>
    <v>1</v>
  </rv>
  <rv s="0">
    <fb>45874</fb>
    <v>0</v>
  </rv>
  <rv s="0">
    <fb>11.06</fb>
    <v>1</v>
  </rv>
  <rv s="0">
    <fb>45875</fb>
    <v>0</v>
  </rv>
  <rv s="0">
    <fb>11.21</fb>
    <v>1</v>
  </rv>
  <rv s="0">
    <fb>45876</fb>
    <v>0</v>
  </rv>
  <rv s="0">
    <fb>45877</fb>
    <v>0</v>
  </rv>
  <rv s="0">
    <fb>11.32</fb>
    <v>1</v>
  </rv>
  <rv s="0">
    <fb>45880</fb>
    <v>0</v>
  </rv>
  <rv s="0">
    <fb>11.14</fb>
    <v>1</v>
  </rv>
  <rv s="0">
    <fb>45881</fb>
    <v>0</v>
  </rv>
  <rv s="0">
    <fb>11.25</fb>
    <v>1</v>
  </rv>
  <rv s="0">
    <fb>45882</fb>
    <v>0</v>
  </rv>
  <rv s="0">
    <fb>11.44</fb>
    <v>1</v>
  </rv>
  <rv s="0">
    <fb>45883</fb>
    <v>0</v>
  </rv>
  <rv s="0">
    <fb>45884</fb>
    <v>0</v>
  </rv>
  <rv s="0">
    <fb>45887</fb>
    <v>0</v>
  </rv>
  <rv s="0">
    <fb>11.46</fb>
    <v>1</v>
  </rv>
  <rv s="0">
    <fb>45888</fb>
    <v>0</v>
  </rv>
  <rv s="0">
    <fb>11.58</fb>
    <v>1</v>
  </rv>
  <rv s="0">
    <fb>45889</fb>
    <v>0</v>
  </rv>
  <rv s="0">
    <fb>11.49</fb>
    <v>1</v>
  </rv>
  <rv s="0">
    <fb>45890</fb>
    <v>0</v>
  </rv>
  <rv s="0">
    <fb>11.33</fb>
    <v>1</v>
  </rv>
  <rv s="0">
    <fb>45891</fb>
    <v>0</v>
  </rv>
  <rv s="0">
    <fb>11.74</fb>
    <v>1</v>
  </rv>
  <rv s="0">
    <fb>45894</fb>
    <v>0</v>
  </rv>
  <rv s="0">
    <fb>11.82</fb>
    <v>1</v>
  </rv>
  <rv s="0">
    <fb>45895</fb>
    <v>0</v>
  </rv>
  <rv s="0">
    <fb>11.84</fb>
    <v>1</v>
  </rv>
  <rv s="0">
    <fb>45896</fb>
    <v>0</v>
  </rv>
  <rv s="0">
    <fb>45897</fb>
    <v>0</v>
  </rv>
  <rv s="0">
    <fb>11.71</fb>
    <v>1</v>
  </rv>
  <rv s="0">
    <fb>45898</fb>
    <v>0</v>
  </rv>
  <rv s="0">
    <fb>45902</fb>
    <v>0</v>
  </rv>
  <rv s="0">
    <fb>11.72</fb>
    <v>1</v>
  </rv>
  <rv s="0">
    <fb>45903</fb>
    <v>0</v>
  </rv>
  <rv s="0">
    <fb>11.62</fb>
    <v>1</v>
  </rv>
  <rv s="0">
    <fb>45904</fb>
    <v>0</v>
  </rv>
  <rv s="0">
    <fb>45905</fb>
    <v>0</v>
  </rv>
  <rv s="0">
    <fb>45908</fb>
    <v>0</v>
  </rv>
  <rv s="0">
    <fb>11.69</fb>
    <v>1</v>
  </rv>
  <rv s="0">
    <fb>45909</fb>
    <v>0</v>
  </rv>
  <rv s="0">
    <fb>45910</fb>
    <v>0</v>
  </rv>
  <rv s="0">
    <fb>11.42</fb>
    <v>1</v>
  </rv>
  <rv s="0">
    <fb>45911</fb>
    <v>0</v>
  </rv>
  <rv s="0">
    <fb>11.76</fb>
    <v>1</v>
  </rv>
  <rv s="0">
    <fb>45912</fb>
    <v>0</v>
  </rv>
  <rv s="0">
    <fb>45915</fb>
    <v>0</v>
  </rv>
  <rv s="0">
    <fb>45916</fb>
    <v>0</v>
  </rv>
  <rv s="0">
    <fb>11.61</fb>
    <v>1</v>
  </rv>
  <rv s="0">
    <fb>45917</fb>
    <v>0</v>
  </rv>
  <rv s="0">
    <fb>11.66</fb>
    <v>1</v>
  </rv>
  <rv s="0">
    <fb>45918</fb>
    <v>0</v>
  </rv>
  <rv s="0">
    <fb>45919</fb>
    <v>0</v>
  </rv>
  <rv s="0">
    <fb>45922</fb>
    <v>0</v>
  </rv>
  <rv s="0">
    <fb>45923</fb>
    <v>0</v>
  </rv>
  <rv s="0">
    <fb>11.73</fb>
    <v>1</v>
  </rv>
  <rv s="0">
    <fb>45924</fb>
    <v>0</v>
  </rv>
  <rv s="0">
    <fb>11.63</fb>
    <v>1</v>
  </rv>
  <rv s="0">
    <fb>45925</fb>
    <v>0</v>
  </rv>
  <rv s="0">
    <fb>45926</fb>
    <v>0</v>
  </rv>
  <rv s="0">
    <fb>12.01</fb>
    <v>1</v>
  </rv>
  <rv s="0">
    <fb>45929</fb>
    <v>0</v>
  </rv>
  <rv s="0">
    <fb>12.09</fb>
    <v>1</v>
  </rv>
  <rv s="0">
    <fb>45930</fb>
    <v>0</v>
  </rv>
  <rv s="0">
    <fb>11.96</fb>
    <v>1</v>
  </rv>
  <rv s="0">
    <fb>45931</fb>
    <v>0</v>
  </rv>
  <rv s="0">
    <fb>12.27</fb>
    <v>1</v>
  </rv>
  <rv s="0">
    <fb>45932</fb>
    <v>0</v>
  </rv>
  <rv s="0">
    <fb>12.22</fb>
    <v>1</v>
  </rv>
  <rv s="0">
    <fb>45933</fb>
    <v>0</v>
  </rv>
  <rv s="0">
    <fb>12.67</fb>
    <v>1</v>
  </rv>
  <rv s="0">
    <fb>45936</fb>
    <v>0</v>
  </rv>
  <rv s="0">
    <fb>12.7</fb>
    <v>1</v>
  </rv>
  <rv s="0">
    <fb>45937</fb>
    <v>0</v>
  </rv>
  <rv s="0">
    <fb>11.92</fb>
    <v>1</v>
  </rv>
  <rv s="0">
    <fb>45938</fb>
    <v>0</v>
  </rv>
  <rv s="0">
    <fb>45939</fb>
    <v>0</v>
  </rv>
  <rv s="0">
    <fb>11.5</fb>
    <v>1</v>
  </rv>
  <rv s="0">
    <fb>45940</fb>
    <v>0</v>
  </rv>
  <rv s="0">
    <fb>11.41</fb>
    <v>1</v>
  </rv>
  <rv s="0">
    <fb>45943</fb>
    <v>0</v>
  </rv>
  <rv s="0">
    <fb>11.54</fb>
    <v>1</v>
  </rv>
  <rv s="0">
    <fb>45944</fb>
    <v>0</v>
  </rv>
  <rv s="0">
    <fb>11.65</fb>
    <v>1</v>
  </rv>
  <rv s="0">
    <fb>45945</fb>
    <v>0</v>
  </rv>
  <rv s="0">
    <fb>45946</fb>
    <v>0</v>
  </rv>
  <rv s="0">
    <fb>45947</fb>
    <v>0</v>
  </rv>
  <rv s="0">
    <fb>45950</fb>
    <v>0</v>
  </rv>
  <rv s="0">
    <fb>11.99</fb>
    <v>1</v>
  </rv>
  <rv s="0">
    <fb>45951</fb>
    <v>0</v>
  </rv>
  <rv s="0">
    <fb>12.56</fb>
    <v>1</v>
  </rv>
  <rv s="0">
    <fb>45952</fb>
    <v>0</v>
  </rv>
  <rv s="0">
    <fb>12.43</fb>
    <v>1</v>
  </rv>
  <rv s="0">
    <fb>45953</fb>
    <v>0</v>
  </rv>
  <rv s="0">
    <fb>12.34</fb>
    <v>1</v>
  </rv>
  <rv s="0">
    <fb>45954</fb>
    <v>0</v>
  </rv>
  <rv s="0">
    <fb>13.84</fb>
    <v>1</v>
  </rv>
  <rv s="0">
    <fb>45957</fb>
    <v>0</v>
  </rv>
  <rv s="0">
    <fb>13.26</fb>
    <v>1</v>
  </rv>
  <rv s="0">
    <fb>45958</fb>
    <v>0</v>
  </rv>
  <rv s="0">
    <fb>13.13</fb>
    <v>1</v>
  </rv>
  <rv s="0">
    <fb>45959</fb>
    <v>0</v>
  </rv>
  <rv s="0">
    <fb>13.24</fb>
    <v>1</v>
  </rv>
  <rv s="0">
    <fb>45960</fb>
    <v>0</v>
  </rv>
  <rv s="0">
    <fb>13.06</fb>
    <v>1</v>
  </rv>
  <rv s="0">
    <fb>45961</fb>
    <v>0</v>
  </rv>
  <rv s="0">
    <fb>45964</fb>
    <v>0</v>
  </rv>
  <rv s="0">
    <fb>13.01</fb>
    <v>1</v>
  </rv>
  <rv s="0">
    <fb>45965</fb>
    <v>0</v>
  </rv>
  <rv s="0">
    <fb>12.79</fb>
    <v>1</v>
  </rv>
  <rv s="0">
    <fb>45966</fb>
    <v>0</v>
  </rv>
  <rv s="0">
    <fb>13.11</fb>
    <v>1</v>
  </rv>
  <rv s="0">
    <fb>45967</fb>
    <v>0</v>
  </rv>
  <rv s="0">
    <fb>13.12</fb>
    <v>1</v>
  </rv>
  <rv s="0">
    <fb>45968</fb>
    <v>0</v>
  </rv>
  <rv s="0">
    <fb>13.21</fb>
    <v>1</v>
  </rv>
  <rv s="0">
    <fb>45971</fb>
    <v>0</v>
  </rv>
  <rv s="0">
    <fb>13.16</fb>
    <v>1</v>
  </rv>
  <rv s="0">
    <fb>45972</fb>
    <v>0</v>
  </rv>
  <rv s="0">
    <fb>13.3</fb>
    <v>1</v>
  </rv>
  <rv s="0">
    <fb>45973</fb>
    <v>0</v>
  </rv>
  <rv s="0">
    <fb>13.45</fb>
    <v>1</v>
  </rv>
  <rv s="0">
    <fb>45974</fb>
    <v>0</v>
  </rv>
  <rv s="0">
    <fb>13.28</fb>
    <v>1</v>
  </rv>
  <rv s="0">
    <fb>45975</fb>
    <v>0</v>
  </rv>
  <rv s="0">
    <fb>13.19</fb>
    <v>1</v>
  </rv>
  <rv s="0">
    <fb>45978</fb>
    <v>0</v>
  </rv>
  <rv s="0">
    <fb>12.88</fb>
    <v>1</v>
  </rv>
  <rv s="0">
    <fb>45979</fb>
    <v>0</v>
  </rv>
  <rv s="0">
    <fb>13.02</fb>
    <v>1</v>
  </rv>
  <rv s="0">
    <fb>45980</fb>
    <v>0</v>
  </rv>
  <rv s="0">
    <fb>12.9</fb>
    <v>1</v>
  </rv>
  <rv s="0">
    <fb>45981</fb>
    <v>0</v>
  </rv>
  <rv s="0">
    <fb>12.41</fb>
    <v>1</v>
  </rv>
  <rv s="0">
    <fb>45982</fb>
    <v>0</v>
  </rv>
  <rv s="0">
    <fb>12.83</fb>
    <v>1</v>
  </rv>
  <rv s="0">
    <fb>45985</fb>
    <v>0</v>
  </rv>
  <rv s="0">
    <fb>12.96</fb>
    <v>1</v>
  </rv>
  <rv s="0">
    <fb>45986</fb>
    <v>0</v>
  </rv>
  <rv s="0">
    <fb>13.17</fb>
    <v>1</v>
  </rv>
  <rv s="0">
    <fb>45987</fb>
    <v>0</v>
  </rv>
  <rv s="0">
    <fb>45989</fb>
    <v>0</v>
  </rv>
  <rv s="0">
    <fb>45621</fb>
    <v>0</v>
  </rv>
  <rv s="0">
    <fb>10.953900000000001</fb>
    <v>1</v>
  </rv>
  <rv s="0">
    <fb>171043339</fb>
    <v>2</v>
  </rv>
  <rv s="0">
    <fb>45628</fb>
    <v>0</v>
  </rv>
  <rv s="0">
    <fb>10.3437</fb>
    <v>1</v>
  </rv>
  <rv s="0">
    <fb>289691308</fb>
    <v>2</v>
  </rv>
  <rv s="0">
    <fb>45635</fb>
    <v>0</v>
  </rv>
  <rv s="0">
    <fb>10.2256</fb>
    <v>1</v>
  </rv>
  <rv s="0">
    <fb>241617133</fb>
    <v>2</v>
  </rv>
  <rv s="0">
    <fb>45642</fb>
    <v>0</v>
  </rv>
  <rv s="0">
    <fb>432885292</fb>
    <v>2</v>
  </rv>
  <rv s="0">
    <fb>45649</fb>
    <v>0</v>
  </rv>
  <rv s="0">
    <fb>171295692</fb>
    <v>2</v>
  </rv>
  <rv s="0">
    <fb>45656</fb>
    <v>0</v>
  </rv>
  <rv s="0">
    <fb>249571203</fb>
    <v>2</v>
  </rv>
  <rv s="0">
    <fb>265497295</fb>
    <v>2</v>
  </rv>
  <rv s="0">
    <fb>291298482</fb>
    <v>2</v>
  </rv>
  <rv s="0">
    <fb>233463537</fb>
    <v>2</v>
  </rv>
  <rv s="0">
    <fb>415204963</fb>
    <v>2</v>
  </rv>
  <rv s="0">
    <fb>699003888</fb>
    <v>2</v>
  </rv>
  <rv s="0">
    <fb>325337135</fb>
    <v>2</v>
  </rv>
  <rv s="0">
    <fb>210592944</fb>
    <v>2</v>
  </rv>
  <rv s="0">
    <fb>457898876</fb>
    <v>2</v>
  </rv>
  <rv s="0">
    <fb>767036393</fb>
    <v>2</v>
  </rv>
  <rv s="0">
    <fb>736366766</fb>
    <v>2</v>
  </rv>
  <rv s="0">
    <fb>675753741</fb>
    <v>2</v>
  </rv>
  <rv s="0">
    <fb>693398425</fb>
    <v>2</v>
  </rv>
  <rv s="0">
    <fb>809986245</fb>
    <v>2</v>
  </rv>
  <rv s="0">
    <fb>983497398</fb>
    <v>2</v>
  </rv>
  <rv s="0">
    <fb>578433532</fb>
    <v>2</v>
  </rv>
  <rv s="0">
    <fb>549930964</fb>
    <v>2</v>
  </rv>
  <rv s="0">
    <fb>564199213</fb>
    <v>2</v>
  </rv>
  <rv s="0">
    <fb>538041055</fb>
    <v>2</v>
  </rv>
  <rv s="0">
    <fb>406169398</fb>
    <v>2</v>
  </rv>
  <rv s="0">
    <fb>384950227</fb>
    <v>2</v>
  </rv>
  <rv s="0">
    <fb>445282935</fb>
    <v>2</v>
  </rv>
  <rv s="0">
    <fb>654302478</fb>
    <v>2</v>
  </rv>
  <rv s="0">
    <fb>411188768</fb>
    <v>2</v>
  </rv>
  <rv s="0">
    <fb>375678124</fb>
    <v>2</v>
  </rv>
  <rv s="0">
    <fb>517172850</fb>
    <v>2</v>
  </rv>
  <rv s="0">
    <fb>411266020</fb>
    <v>2</v>
  </rv>
  <rv s="0">
    <fb>344522957</fb>
    <v>2</v>
  </rv>
  <rv s="0">
    <fb>374335931</fb>
    <v>2</v>
  </rv>
  <rv s="0">
    <fb>336952645</fb>
    <v>2</v>
  </rv>
  <rv s="0">
    <fb>367044361</fb>
    <v>2</v>
  </rv>
  <rv s="0">
    <fb>295321212</fb>
    <v>2</v>
  </rv>
  <rv s="0">
    <fb>310787949</fb>
    <v>2</v>
  </rv>
  <rv s="0">
    <fb>251921840</fb>
    <v>2</v>
  </rv>
  <rv s="0">
    <fb>225826906</fb>
    <v>2</v>
  </rv>
  <rv s="0">
    <fb>186117323</fb>
    <v>2</v>
  </rv>
  <rv s="0">
    <fb>242315520</fb>
    <v>2</v>
  </rv>
  <rv s="0">
    <fb>301309750</fb>
    <v>2</v>
  </rv>
  <rv s="0">
    <fb>359632227</fb>
    <v>2</v>
  </rv>
  <rv s="0">
    <fb>402977577</fb>
    <v>2</v>
  </rv>
  <rv s="0">
    <fb>478320629</fb>
    <v>2</v>
  </rv>
  <rv s="0">
    <fb>468352780</fb>
    <v>2</v>
  </rv>
  <rv s="0">
    <fb>1568301441</fb>
    <v>2</v>
  </rv>
  <rv s="0">
    <fb>514737984</fb>
    <v>2</v>
  </rv>
  <rv s="0">
    <fb>392216688</fb>
    <v>2</v>
  </rv>
  <rv s="0">
    <fb>343048058</fb>
    <v>2</v>
  </rv>
  <rv s="0">
    <fb>363149764</fb>
    <v>2</v>
  </rv>
  <rv s="0">
    <fb>180299593</fb>
    <v>2</v>
  </rv>
  <rv s="0">
    <fb>45687</fb>
    <v>0</v>
  </rv>
  <rv s="0">
    <fb>9.7531999999999996</fb>
    <v>1</v>
  </rv>
  <rv s="0">
    <fb>9.7974999999999994</fb>
    <v>1</v>
  </rv>
  <rv s="0">
    <fb>9.4825999999999997</fb>
    <v>1</v>
  </rv>
  <rv s="0">
    <fb>68235708</fb>
    <v>2</v>
  </rv>
  <rv s="0">
    <fb>9.5366999999999997</fb>
    <v>1</v>
  </rv>
  <rv s="0">
    <fb>9.3792000000000009</fb>
    <v>1</v>
  </rv>
  <rv s="0">
    <fb>78487552</fb>
    <v>2</v>
  </rv>
  <rv s="0">
    <fb>9.9009</fb>
    <v>1</v>
  </rv>
  <rv s="0">
    <fb>10.0288</fb>
    <v>1</v>
  </rv>
  <rv s="0">
    <fb>9.7433999999999994</fb>
    <v>1</v>
  </rv>
  <rv s="0">
    <fb>64867023</fb>
    <v>2</v>
  </rv>
  <rv s="0">
    <fb>9.5662000000000003</fb>
    <v>1</v>
  </rv>
  <rv s="0">
    <fb>63407119</fb>
    <v>2</v>
  </rv>
  <rv s="0">
    <fb>9.5958000000000006</fb>
    <v>1</v>
  </rv>
  <rv s="0">
    <fb>9.4283999999999999</fb>
    <v>1</v>
  </rv>
  <rv s="0">
    <fb>62670278</fb>
    <v>2</v>
  </rv>
  <rv s="0">
    <fb>9.5169999999999995</fb>
    <v>1</v>
  </rv>
  <rv s="0">
    <fb>9.6843000000000004</fb>
    <v>1</v>
  </rv>
  <rv s="0">
    <fb>9.4382999999999999</fb>
    <v>1</v>
  </rv>
  <rv s="0">
    <fb>74552875</fb>
    <v>2</v>
  </rv>
  <rv s="0">
    <fb>9.5070999999999994</fb>
    <v>1</v>
  </rv>
  <rv s="0">
    <fb>9.4185999999999996</fb>
    <v>1</v>
  </rv>
  <rv s="0">
    <fb>67084313</fb>
    <v>2</v>
  </rv>
  <rv s="0">
    <fb>9.6204000000000001</fb>
    <v>1</v>
  </rv>
  <rv s="0">
    <fb>9.6646000000000001</fb>
    <v>1</v>
  </rv>
  <rv s="0">
    <fb>9.5268999999999995</fb>
    <v>1</v>
  </rv>
  <rv s="0">
    <fb>46150035</fb>
    <v>2</v>
  </rv>
  <rv s="0">
    <fb>9.8123000000000005</fb>
    <v>1</v>
  </rv>
  <rv s="0">
    <fb>69778271</fb>
    <v>2</v>
  </rv>
  <rv s="0">
    <fb>46505753</fb>
    <v>2</v>
  </rv>
  <rv s="0">
    <fb>9.8811999999999998</fb>
    <v>1</v>
  </rv>
  <rv s="0">
    <fb>61780110</fb>
    <v>2</v>
  </rv>
  <rv s="0">
    <fb>10.1371</fb>
    <v>1</v>
  </rv>
  <rv s="0">
    <fb>10.284700000000001</fb>
    <v>1</v>
  </rv>
  <rv s="0">
    <fb>10.077999999999999</fb>
    <v>1</v>
  </rv>
  <rv s="0">
    <fb>66726387</fb>
    <v>2</v>
  </rv>
  <rv s="0">
    <fb>10.0878</fb>
    <v>1</v>
  </rv>
  <rv s="0">
    <fb>9.8614999999999995</fb>
    <v>1</v>
  </rv>
  <rv s="0">
    <fb>65993172</fb>
    <v>2</v>
  </rv>
  <rv s="0">
    <fb>9.891</fb>
    <v>1</v>
  </rv>
  <rv s="0">
    <fb>10.0091</fb>
    <v>1</v>
  </rv>
  <rv s="0">
    <fb>57145140</fb>
    <v>2</v>
  </rv>
  <rv s="0">
    <fb>10.1469</fb>
    <v>1</v>
  </rv>
  <rv s="0">
    <fb>9.9304000000000006</fb>
    <v>1</v>
  </rv>
  <rv s="0">
    <fb>43598838</fb>
    <v>2</v>
  </rv>
  <rv s="0">
    <fb>9.9501000000000008</fb>
    <v>1</v>
  </rv>
  <rv s="0">
    <fb>10.2552</fb>
    <v>1</v>
  </rv>
  <rv s="0">
    <fb>9.9402000000000008</fb>
    <v>1</v>
  </rv>
  <rv s="0">
    <fb>74257329</fb>
    <v>2</v>
  </rv>
  <rv s="0">
    <fb>10.068199999999999</fb>
    <v>1</v>
  </rv>
  <rv s="0">
    <fb>93659287</fb>
    <v>2</v>
  </rv>
  <rv s="0">
    <fb>10.1272</fb>
    <v>1</v>
  </rv>
  <rv s="0">
    <fb>71111881</fb>
    <v>2</v>
  </rv>
  <rv s="0">
    <fb>10.0977</fb>
    <v>1</v>
  </rv>
  <rv s="0">
    <fb>70782906</fb>
    <v>2</v>
  </rv>
  <rv s="0">
    <fb>10.186299999999999</fb>
    <v>1</v>
  </rv>
  <rv s="0">
    <fb>9.8320000000000007</fb>
    <v>1</v>
  </rv>
  <rv s="0">
    <fb>105393560</fb>
    <v>2</v>
  </rv>
  <rv s="0">
    <fb>9.4481000000000002</fb>
    <v>1</v>
  </rv>
  <rv s="0">
    <fb>133542924</fb>
    <v>2</v>
  </rv>
  <rv s="0">
    <fb>9.7827000000000002</fb>
    <v>1</v>
  </rv>
  <rv s="0">
    <fb>9.7483000000000004</fb>
    <v>1</v>
  </rv>
  <rv s="0">
    <fb>69821048</fb>
    <v>2</v>
  </rv>
  <rv s="0">
    <fb>10.1518</fb>
    <v>1</v>
  </rv>
  <rv s="0">
    <fb>9.8024000000000004</fb>
    <v>1</v>
  </rv>
  <rv s="0">
    <fb>126184045</fb>
    <v>2</v>
  </rv>
  <rv s="0">
    <fb>9.3399000000000001</fb>
    <v>1</v>
  </rv>
  <rv s="0">
    <fb>9.4875000000000007</fb>
    <v>1</v>
  </rv>
  <rv s="0">
    <fb>226339032</fb>
    <v>2</v>
  </rv>
  <rv s="0">
    <fb>9.1823999999999995</fb>
    <v>1</v>
  </rv>
  <rv s="0">
    <fb>9.0348000000000006</fb>
    <v>1</v>
  </rv>
  <rv s="0">
    <fb>143116839</fb>
    <v>2</v>
  </rv>
  <rv s="0">
    <fb>9.1036999999999999</fb>
    <v>1</v>
  </rv>
  <rv s="0">
    <fb>9.1529000000000007</fb>
    <v>1</v>
  </rv>
  <rv s="0">
    <fb>8.9756999999999998</fb>
    <v>1</v>
  </rv>
  <rv s="0">
    <fb>73328062</fb>
    <v>2</v>
  </rv>
  <rv s="0">
    <fb>9.0249000000000006</fb>
    <v>1</v>
  </rv>
  <rv s="0">
    <fb>55726170</fb>
    <v>2</v>
  </rv>
  <rv s="0">
    <fb>9.1430000000000007</fb>
    <v>1</v>
  </rv>
  <rv s="0">
    <fb>8.9559999999999995</fb>
    <v>1</v>
  </rv>
  <rv s="0">
    <fb>68421994</fb>
    <v>2</v>
  </rv>
  <rv s="0">
    <fb>9.2611000000000008</fb>
    <v>1</v>
  </rv>
  <rv s="0">
    <fb>73218126</fb>
    <v>2</v>
  </rv>
  <rv s="0">
    <fb>9.2807999999999993</fb>
    <v>1</v>
  </rv>
  <rv s="0">
    <fb>9.3596000000000004</fb>
    <v>1</v>
  </rv>
  <rv s="0">
    <fb>9.2415000000000003</fb>
    <v>1</v>
  </rv>
  <rv s="0">
    <fb>54642783</fb>
    <v>2</v>
  </rv>
  <rv s="0">
    <fb>9.32</fb>
    <v>1</v>
  </rv>
  <rv s="0">
    <fb>9.23</fb>
    <v>1</v>
  </rv>
  <rv s="0">
    <fb>62175764</fb>
    <v>2</v>
  </rv>
  <rv s="0">
    <fb>9.27</fb>
    <v>1</v>
  </rv>
  <rv s="0">
    <fb>9.2100000000000009</fb>
    <v>1</v>
  </rv>
  <rv s="0">
    <fb>50191726</fb>
    <v>2</v>
  </rv>
  <rv s="0">
    <fb>9.3949999999999996</fb>
    <v>1</v>
  </rv>
  <rv s="0">
    <fb>39787792</fb>
    <v>2</v>
  </rv>
  <rv s="0">
    <fb>9.3800000000000008</fb>
    <v>1</v>
  </rv>
  <rv s="0">
    <fb>9.41</fb>
    <v>1</v>
  </rv>
  <rv s="0">
    <fb>58437662</fb>
    <v>2</v>
  </rv>
  <rv s="0">
    <fb>9.3049999999999997</fb>
    <v>1</v>
  </rv>
  <rv s="0">
    <fb>72562637</fb>
    <v>2</v>
  </rv>
  <rv s="0">
    <fb>9.3650000000000002</fb>
    <v>1</v>
  </rv>
  <rv s="0">
    <fb>9.49</fb>
    <v>1</v>
  </rv>
  <rv s="0">
    <fb>9.31</fb>
    <v>1</v>
  </rv>
  <rv s="0">
    <fb>88876827</fb>
    <v>2</v>
  </rv>
  <rv s="0">
    <fb>9.4600000000000009</fb>
    <v>1</v>
  </rv>
  <rv s="0">
    <fb>9.6199999999999992</fb>
    <v>1</v>
  </rv>
  <rv s="0">
    <fb>9.44</fb>
    <v>1</v>
  </rv>
  <rv s="0">
    <fb>87948083</fb>
    <v>2</v>
  </rv>
  <rv s="0">
    <fb>70518755</fb>
    <v>2</v>
  </rv>
  <rv s="0">
    <fb>9.3149999999999995</fb>
    <v>1</v>
  </rv>
  <rv s="0">
    <fb>137992574</fb>
    <v>2</v>
  </rv>
  <rv s="0">
    <fb>9.82</fb>
    <v>1</v>
  </rv>
  <rv s="0">
    <fb>154435905</fb>
    <v>2</v>
  </rv>
  <rv s="0">
    <fb>9.06</fb>
    <v>1</v>
  </rv>
  <rv s="0">
    <fb>167499954</fb>
    <v>2</v>
  </rv>
  <rv s="0">
    <fb>9.26</fb>
    <v>1</v>
  </rv>
  <rv s="0">
    <fb>9.67</fb>
    <v>1</v>
  </rv>
  <rv s="0">
    <fb>9.1999999999999993</fb>
    <v>1</v>
  </rv>
  <rv s="0">
    <fb>157774904</fb>
    <v>2</v>
  </rv>
  <rv s="0">
    <fb>9.5150000000000006</fb>
    <v>1</v>
  </rv>
  <rv s="0">
    <fb>136680746</fb>
    <v>2</v>
  </rv>
  <rv s="0">
    <fb>9.51</fb>
    <v>1</v>
  </rv>
  <rv s="0">
    <fb>150644884</fb>
    <v>2</v>
  </rv>
  <rv s="0">
    <fb>9.77</fb>
    <v>1</v>
  </rv>
  <rv s="0">
    <fb>10.14</fb>
    <v>1</v>
  </rv>
  <rv s="0">
    <fb>167183809</fb>
    <v>2</v>
  </rv>
  <rv s="0">
    <fb>210126974</fb>
    <v>2</v>
  </rv>
  <rv s="0">
    <fb>9.6999999999999993</fb>
    <v>1</v>
  </rv>
  <rv s="0">
    <fb>129994592</fb>
    <v>2</v>
  </rv>
  <rv s="0">
    <fb>9.57</fb>
    <v>1</v>
  </rv>
  <rv s="0">
    <fb>137747632</fb>
    <v>2</v>
  </rv>
  <rv s="0">
    <fb>9.66</fb>
    <v>1</v>
  </rv>
  <rv s="0">
    <fb>9.7899999999999991</fb>
    <v>1</v>
  </rv>
  <rv s="0">
    <fb>9.64</fb>
    <v>1</v>
  </rv>
  <rv s="0">
    <fb>91313759</fb>
    <v>2</v>
  </rv>
  <rv s="0">
    <fb>9.74</fb>
    <v>1</v>
  </rv>
  <rv s="0">
    <fb>98583068</fb>
    <v>2</v>
  </rv>
  <rv s="0">
    <fb>9.8800000000000008</fb>
    <v>1</v>
  </rv>
  <rv s="0">
    <fb>102730930</fb>
    <v>2</v>
  </rv>
  <rv s="0">
    <fb>9.9450000000000003</fb>
    <v>1</v>
  </rv>
  <rv s="0">
    <fb>124697379</fb>
    <v>2</v>
  </rv>
  <rv s="0">
    <fb>10.07</fb>
    <v>1</v>
  </rv>
  <rv s="0">
    <fb>9.99</fb>
    <v>1</v>
  </rv>
  <rv s="0">
    <fb>109103733</fb>
    <v>2</v>
  </rv>
  <rv s="0">
    <fb>9.9149999999999991</fb>
    <v>1</v>
  </rv>
  <rv s="0">
    <fb>10.119999999999999</fb>
    <v>1</v>
  </rv>
  <rv s="0">
    <fb>9.83</fb>
    <v>1</v>
  </rv>
  <rv s="0">
    <fb>240638631</fb>
    <v>2</v>
  </rv>
  <rv s="0">
    <fb>102847191</fb>
    <v>2</v>
  </rv>
  <rv s="0">
    <fb>10.35</fb>
    <v>1</v>
  </rv>
  <rv s="0">
    <fb>83674856</fb>
    <v>2</v>
  </rv>
  <rv s="0">
    <fb>10.27</fb>
    <v>1</v>
  </rv>
  <rv s="0">
    <fb>10.09</fb>
    <v>1</v>
  </rv>
  <rv s="0">
    <fb>140975582</fb>
    <v>2</v>
  </rv>
  <rv s="0">
    <fb>10.4</fb>
    <v>1</v>
  </rv>
  <rv s="0">
    <fb>229032469</fb>
    <v>2</v>
  </rv>
  <rv s="0">
    <fb>9.84</fb>
    <v>1</v>
  </rv>
  <rv s="0">
    <fb>9.89</fb>
    <v>1</v>
  </rv>
  <rv s="0">
    <fb>136868327</fb>
    <v>2</v>
  </rv>
  <rv s="0">
    <fb>9.5749999999999993</fb>
    <v>1</v>
  </rv>
  <rv s="0">
    <fb>10.11</fb>
    <v>1</v>
  </rv>
  <rv s="0">
    <fb>9.5449999999999999</fb>
    <v>1</v>
  </rv>
  <rv s="0">
    <fb>139951868</fb>
    <v>2</v>
  </rv>
  <rv s="0">
    <fb>9.81</fb>
    <v>1</v>
  </rv>
  <rv s="0">
    <fb>135388684</fb>
    <v>2</v>
  </rv>
  <rv s="0">
    <fb>9.8350000000000009</fb>
    <v>1</v>
  </rv>
  <rv s="0">
    <fb>136908485</fb>
    <v>2</v>
  </rv>
  <rv s="0">
    <fb>9.9949999999999992</fb>
    <v>1</v>
  </rv>
  <rv s="0">
    <fb>10.199999999999999</fb>
    <v>1</v>
  </rv>
  <rv s="0">
    <fb>220270980</fb>
    <v>2</v>
  </rv>
  <rv s="0">
    <fb>177466228</fb>
    <v>2</v>
  </rv>
  <rv s="0">
    <fb>9</fb>
    <v>1</v>
  </rv>
  <rv s="0">
    <fb>274938497</fb>
    <v>2</v>
  </rv>
  <rv s="0">
    <fb>9.52</fb>
    <v>1</v>
  </rv>
  <rv s="0">
    <fb>8.5500000000000007</fb>
    <v>1</v>
  </rv>
  <rv s="0">
    <fb>199286778</fb>
    <v>2</v>
  </rv>
  <rv s="0">
    <fb>8.5</fb>
    <v>1</v>
  </rv>
  <rv s="0">
    <fb>8.4405999999999999</fb>
    <v>1</v>
  </rv>
  <rv s="0">
    <fb>199662988</fb>
    <v>2</v>
  </rv>
  <rv s="0">
    <fb>9.1</fb>
    <v>1</v>
  </rv>
  <rv s="0">
    <fb>8.8800000000000008</fb>
    <v>1</v>
  </rv>
  <rv s="0">
    <fb>163535434</fb>
    <v>2</v>
  </rv>
  <rv s="0">
    <fb>9.11</fb>
    <v>1</v>
  </rv>
  <rv s="0">
    <fb>9.0399999999999991</fb>
    <v>1</v>
  </rv>
  <rv s="0">
    <fb>146073701</fb>
    <v>2</v>
  </rv>
  <rv s="0">
    <fb>189955001</fb>
    <v>2</v>
  </rv>
  <rv s="0">
    <fb>9.6150000000000002</fb>
    <v>1</v>
  </rv>
  <rv s="0">
    <fb>125469023</fb>
    <v>2</v>
  </rv>
  <rv s="0">
    <fb>133804943</fb>
    <v>2</v>
  </rv>
  <rv s="0">
    <fb>9.4049999999999994</fb>
    <v>1</v>
  </rv>
  <rv s="0">
    <fb>129204565</fb>
    <v>2</v>
  </rv>
  <rv s="0">
    <fb>94138882</fb>
    <v>2</v>
  </rv>
  <rv s="0">
    <fb>121387081</fb>
    <v>2</v>
  </rv>
  <rv s="0">
    <fb>10.0054</fb>
    <v>1</v>
  </rv>
  <rv s="0">
    <fb>158691527</fb>
    <v>2</v>
  </rv>
  <rv s="0">
    <fb>9.8699999999999992</fb>
    <v>1</v>
  </rv>
  <rv s="0">
    <fb>9.8149999999999995</fb>
    <v>1</v>
  </rv>
  <rv s="0">
    <fb>87031042</fb>
    <v>2</v>
  </rv>
  <rv s="0">
    <fb>10.045</fb>
    <v>1</v>
  </rv>
  <rv s="0">
    <fb>9.9700000000000006</fb>
    <v>1</v>
  </rv>
  <rv s="0">
    <fb>88682432</fb>
    <v>2</v>
  </rv>
  <rv s="0">
    <fb>9.9701000000000004</fb>
    <v>1</v>
  </rv>
  <rv s="0">
    <fb>77051524</fb>
    <v>2</v>
  </rv>
  <rv s="0">
    <fb>9.9250000000000007</fb>
    <v>1</v>
  </rv>
  <rv s="0">
    <fb>141980313</fb>
    <v>2</v>
  </rv>
  <rv s="0">
    <fb>10.130000000000001</fb>
    <v>1</v>
  </rv>
  <rv s="0">
    <fb>9.86</fb>
    <v>1</v>
  </rv>
  <rv s="0">
    <fb>136406235</fb>
    <v>2</v>
  </rv>
  <rv s="0">
    <fb>10.32</fb>
    <v>1</v>
  </rv>
  <rv s="0">
    <fb>126532486</fb>
    <v>2</v>
  </rv>
  <rv s="0">
    <fb>10.39</fb>
    <v>1</v>
  </rv>
  <rv s="0">
    <fb>10.215</fb>
    <v>1</v>
  </rv>
  <rv s="0">
    <fb>82228655</fb>
    <v>2</v>
  </rv>
  <rv s="0">
    <fb>10.23</fb>
    <v>1</v>
  </rv>
  <rv s="0">
    <fb>10.095000000000001</fb>
    <v>1</v>
  </rv>
  <rv s="0">
    <fb>105766259</fb>
    <v>2</v>
  </rv>
  <rv s="0">
    <fb>10.055</fb>
    <v>1</v>
  </rv>
  <rv s="0">
    <fb>131814035</fb>
    <v>2</v>
  </rv>
  <rv s="0">
    <fb>10.46</fb>
    <v>1</v>
  </rv>
  <rv s="0">
    <fb>10.505000000000001</fb>
    <v>1</v>
  </rv>
  <rv s="0">
    <fb>116936644</fb>
    <v>2</v>
  </rv>
  <rv s="0">
    <fb>10.464</fb>
    <v>1</v>
  </rv>
  <rv s="0">
    <fb>107173416</fb>
    <v>2</v>
  </rv>
  <rv s="0">
    <fb>10.355</fb>
    <v>1</v>
  </rv>
  <rv s="0">
    <fb>10.49</fb>
    <v>1</v>
  </rv>
  <rv s="0">
    <fb>76350701</fb>
    <v>2</v>
  </rv>
  <rv s="0">
    <fb>10.56</fb>
    <v>1</v>
  </rv>
  <rv s="0">
    <fb>102035764</fb>
    <v>2</v>
  </rv>
  <rv s="0">
    <fb>10.595000000000001</fb>
    <v>1</v>
  </rv>
  <rv s="0">
    <fb>83671012</fb>
    <v>2</v>
  </rv>
  <rv s="0">
    <fb>10.57</fb>
    <v>1</v>
  </rv>
  <rv s="0">
    <fb>10.7</fb>
    <v>1</v>
  </rv>
  <rv s="0">
    <fb>84453089</fb>
    <v>2</v>
  </rv>
  <rv s="0">
    <fb>10.78</fb>
    <v>1</v>
  </rv>
  <rv s="0">
    <fb>71096528</fb>
    <v>2</v>
  </rv>
  <rv s="0">
    <fb>10.77</fb>
    <v>1</v>
  </rv>
  <rv s="0">
    <fb>10.81</fb>
    <v>1</v>
  </rv>
  <rv s="0">
    <fb>10.64</fb>
    <v>1</v>
  </rv>
  <rv s="0">
    <fb>64913005</fb>
    <v>2</v>
  </rv>
  <rv s="0">
    <fb>10.69</fb>
    <v>1</v>
  </rv>
  <rv s="0">
    <fb>10.785</fb>
    <v>1</v>
  </rv>
  <rv s="0">
    <fb>60195734</fb>
    <v>2</v>
  </rv>
  <rv s="0">
    <fb>10.79</fb>
    <v>1</v>
  </rv>
  <rv s="0">
    <fb>10.84</fb>
    <v>1</v>
  </rv>
  <rv s="0">
    <fb>61063828</fb>
    <v>2</v>
  </rv>
  <rv s="0">
    <fb>10.45</fb>
    <v>1</v>
  </rv>
  <rv s="0">
    <fb>89090498</fb>
    <v>2</v>
  </rv>
  <rv s="0">
    <fb>10.5</fb>
    <v>1</v>
  </rv>
  <rv s="0">
    <fb>94081143</fb>
    <v>2</v>
  </rv>
  <rv s="0">
    <fb>10.41</fb>
    <v>1</v>
  </rv>
  <rv s="0">
    <fb>80519024</fb>
    <v>2</v>
  </rv>
  <rv s="0">
    <fb>10.489699999999999</fb>
    <v>1</v>
  </rv>
  <rv s="0">
    <fb>10.210000000000001</fb>
    <v>1</v>
  </rv>
  <rv s="0">
    <fb>89066847</fb>
    <v>2</v>
  </rv>
  <rv s="0">
    <fb>10.335000000000001</fb>
    <v>1</v>
  </rv>
  <rv s="0">
    <fb>102335584</fb>
    <v>2</v>
  </rv>
  <rv s="0">
    <fb>101688883</fb>
    <v>2</v>
  </rv>
  <rv s="0">
    <fb>152191621</fb>
    <v>2</v>
  </rv>
  <rv s="0">
    <fb>170340783</fb>
    <v>2</v>
  </rv>
  <rv s="0">
    <fb>10.225</fb>
    <v>1</v>
  </rv>
  <rv s="0">
    <fb>121584328</fb>
    <v>2</v>
  </rv>
  <rv s="0">
    <fb>10.365</fb>
    <v>1</v>
  </rv>
  <rv s="0">
    <fb>123191229</fb>
    <v>2</v>
  </rv>
  <rv s="0">
    <fb>133269444</fb>
    <v>2</v>
  </rv>
  <rv s="0">
    <fb>10.16</fb>
    <v>1</v>
  </rv>
  <rv s="0">
    <fb>10.1501</fb>
    <v>1</v>
  </rv>
  <rv s="0">
    <fb>105916694</fb>
    <v>2</v>
  </rv>
  <rv s="0">
    <fb>63638928</fb>
    <v>2</v>
  </rv>
  <rv s="0">
    <fb>87955501</fb>
    <v>2</v>
  </rv>
  <rv s="0">
    <fb>10.610099999999999</fb>
    <v>1</v>
  </rv>
  <rv s="0">
    <fb>93094876</fb>
    <v>2</v>
  </rv>
  <rv s="0">
    <fb>10.58</fb>
    <v>1</v>
  </rv>
  <rv s="0">
    <fb>76393291</fb>
    <v>2</v>
  </rv>
  <rv s="0">
    <fb>10.47</fb>
    <v>1</v>
  </rv>
  <rv s="0">
    <fb>10.51</fb>
    <v>1</v>
  </rv>
  <rv s="0">
    <fb>90106172</fb>
    <v>2</v>
  </rv>
  <rv s="0">
    <fb>10.67</fb>
    <v>1</v>
  </rv>
  <rv s="0">
    <fb>75195179</fb>
    <v>2</v>
  </rv>
  <rv s="0">
    <fb>100969375</fb>
    <v>2</v>
  </rv>
  <rv s="0">
    <fb>10.395</fb>
    <v>1</v>
  </rv>
  <rv s="0">
    <fb>82770168</fb>
    <v>2</v>
  </rv>
  <rv s="0">
    <fb>116743402</fb>
    <v>2</v>
  </rv>
  <rv s="0">
    <fb>10.535</fb>
    <v>1</v>
  </rv>
  <rv s="0">
    <fb>77576511</fb>
    <v>2</v>
  </rv>
  <rv s="0">
    <fb>77244413</fb>
    <v>2</v>
  </rv>
  <rv s="0">
    <fb>10.76</fb>
    <v>1</v>
  </rv>
  <rv s="0">
    <fb>10.765000000000001</fb>
    <v>1</v>
  </rv>
  <rv s="0">
    <fb>91927326</fb>
    <v>2</v>
  </rv>
  <rv s="0">
    <fb>10.4999</fb>
    <v>1</v>
  </rv>
  <rv s="0">
    <fb>88416356</fb>
    <v>2</v>
  </rv>
  <rv s="0">
    <fb>10.92</fb>
    <v>1</v>
  </rv>
  <rv s="0">
    <fb>10.68</fb>
    <v>1</v>
  </rv>
  <rv s="0">
    <fb>182008244</fb>
    <v>2</v>
  </rv>
  <rv s="0">
    <fb>10.86</fb>
    <v>1</v>
  </rv>
  <rv s="0">
    <fb>10.685</fb>
    <v>1</v>
  </rv>
  <rv s="0">
    <fb>88472231</fb>
    <v>2</v>
  </rv>
  <rv s="0">
    <fb>10.790100000000001</fb>
    <v>1</v>
  </rv>
  <rv s="0">
    <fb>140150738</fb>
    <v>2</v>
  </rv>
  <rv s="0">
    <fb>11.37</fb>
    <v>1</v>
  </rv>
  <rv s="0">
    <fb>122331588</fb>
    <v>2</v>
  </rv>
  <rv s="0">
    <fb>11.75</fb>
    <v>1</v>
  </rv>
  <rv s="0">
    <fb>60311463</fb>
    <v>2</v>
  </rv>
  <rv s="0">
    <fb>11.6</fb>
    <v>1</v>
  </rv>
  <rv s="0">
    <fb>11.79</fb>
    <v>1</v>
  </rv>
  <rv s="0">
    <fb>11.48</fb>
    <v>1</v>
  </rv>
  <rv s="0">
    <fb>73842100</fb>
    <v>2</v>
  </rv>
  <rv s="0">
    <fb>11.85</fb>
    <v>1</v>
  </rv>
  <rv s="0">
    <fb>11.64</fb>
    <v>1</v>
  </rv>
  <rv s="0">
    <fb>74190215</fb>
    <v>2</v>
  </rv>
  <rv s="0">
    <fb>11.9</fb>
    <v>1</v>
  </rv>
  <rv s="0">
    <fb>63886882</fb>
    <v>2</v>
  </rv>
  <rv s="0">
    <fb>11.86</fb>
    <v>1</v>
  </rv>
  <rv s="0">
    <fb>11.97</fb>
    <v>1</v>
  </rv>
  <rv s="0">
    <fb>67263023</fb>
    <v>2</v>
  </rv>
  <rv s="0">
    <fb>65340737</fb>
    <v>2</v>
  </rv>
  <rv s="0">
    <fb>11.895</fb>
    <v>1</v>
  </rv>
  <rv s="0">
    <fb>11.67</fb>
    <v>1</v>
  </rv>
  <rv s="0">
    <fb>62098074</fb>
    <v>2</v>
  </rv>
  <rv s="0">
    <fb>11.93</fb>
    <v>1</v>
  </rv>
  <rv s="0">
    <fb>11.524699999999999</fb>
    <v>1</v>
  </rv>
  <rv s="0">
    <fb>65101902</fb>
    <v>2</v>
  </rv>
  <rv s="0">
    <fb>11.45</fb>
    <v>1</v>
  </rv>
  <rv s="0">
    <fb>107978145</fb>
    <v>2</v>
  </rv>
  <rv s="0">
    <fb>11.346500000000001</fb>
    <v>1</v>
  </rv>
  <rv s="0">
    <fb>11.11</fb>
    <v>1</v>
  </rv>
  <rv s="0">
    <fb>70345257</fb>
    <v>2</v>
  </rv>
  <rv s="0">
    <fb>11.17</fb>
    <v>1</v>
  </rv>
  <rv s="0">
    <fb>11.05</fb>
    <v>1</v>
  </rv>
  <rv s="0">
    <fb>68812553</fb>
    <v>2</v>
  </rv>
  <rv s="0">
    <fb>65515630</fb>
    <v>2</v>
  </rv>
  <rv s="0">
    <fb>11.29</fb>
    <v>1</v>
  </rv>
  <rv s="0">
    <fb>79403755</fb>
    <v>2</v>
  </rv>
  <rv s="0">
    <fb>76163207</fb>
    <v>2</v>
  </rv>
  <rv s="0">
    <fb>11.429</fb>
    <v>1</v>
  </rv>
  <rv s="0">
    <fb>11.23</fb>
    <v>1</v>
  </rv>
  <rv s="0">
    <fb>63557796</fb>
    <v>2</v>
  </rv>
  <rv s="0">
    <fb>11.335000000000001</fb>
    <v>1</v>
  </rv>
  <rv s="0">
    <fb>11.2401</fb>
    <v>1</v>
  </rv>
  <rv s="0">
    <fb>52312257</fb>
    <v>2</v>
  </rv>
  <rv s="0">
    <fb>54173647</fb>
    <v>2</v>
  </rv>
  <rv s="0">
    <fb>58371483</fb>
    <v>2</v>
  </rv>
  <rv s="0">
    <fb>11.125</fb>
    <v>1</v>
  </rv>
  <rv s="0">
    <fb>79866858</fb>
    <v>2</v>
  </rv>
  <rv s="0">
    <fb>10.773</fb>
    <v>1</v>
  </rv>
  <rv s="0">
    <fb>10.680099999999999</fb>
    <v>1</v>
  </rv>
  <rv s="0">
    <fb>101090884</fb>
    <v>2</v>
  </rv>
  <rv s="0">
    <fb>73541489</fb>
    <v>2</v>
  </rv>
  <rv s="0">
    <fb>10.89</fb>
    <v>1</v>
  </rv>
  <rv s="0">
    <fb>11.02</fb>
    <v>1</v>
  </rv>
  <rv s="0">
    <fb>56696828</fb>
    <v>2</v>
  </rv>
  <rv s="0">
    <fb>10.98</fb>
    <v>1</v>
  </rv>
  <rv s="0">
    <fb>11.1</fb>
    <v>1</v>
  </rv>
  <rv s="0">
    <fb>10.9</fb>
    <v>1</v>
  </rv>
  <rv s="0">
    <fb>58864252</fb>
    <v>2</v>
  </rv>
  <rv s="0">
    <fb>59519843</fb>
    <v>2</v>
  </rv>
  <rv s="0">
    <fb>11.3</fb>
    <v>1</v>
  </rv>
  <rv s="0">
    <fb>11.385</fb>
    <v>1</v>
  </rv>
  <rv s="0">
    <fb>71774972</fb>
    <v>2</v>
  </rv>
  <rv s="0">
    <fb>11.305</fb>
    <v>1</v>
  </rv>
  <rv s="0">
    <fb>48465317</fb>
    <v>2</v>
  </rv>
  <rv s="0">
    <fb>84332966</fb>
    <v>2</v>
  </rv>
  <rv s="0">
    <fb>11.2</fb>
    <v>1</v>
  </rv>
  <rv s="0">
    <fb>11.13</fb>
    <v>1</v>
  </rv>
  <rv s="0">
    <fb>64021039</fb>
    <v>2</v>
  </rv>
  <rv s="0">
    <fb>11.27</fb>
    <v>1</v>
  </rv>
  <rv s="0">
    <fb>63823345</fb>
    <v>2</v>
  </rv>
  <rv s="0">
    <fb>11.215</fb>
    <v>1</v>
  </rv>
  <rv s="0">
    <fb>52469244</fb>
    <v>2</v>
  </rv>
  <rv s="0">
    <fb>11.43</fb>
    <v>1</v>
  </rv>
  <rv s="0">
    <fb>11.52</fb>
    <v>1</v>
  </rv>
  <rv s="0">
    <fb>46141355</fb>
    <v>2</v>
  </rv>
  <rv s="0">
    <fb>11.4</fb>
    <v>1</v>
  </rv>
  <rv s="0">
    <fb>37113805</fb>
    <v>2</v>
  </rv>
  <rv s="0">
    <fb>58020177</fb>
    <v>2</v>
  </rv>
  <rv s="0">
    <fb>46469853</fb>
    <v>2</v>
  </rv>
  <rv s="0">
    <fb>11.195</fb>
    <v>1</v>
  </rv>
  <rv s="0">
    <fb>51779301</fb>
    <v>2</v>
  </rv>
  <rv s="0">
    <fb>11.39</fb>
    <v>1</v>
  </rv>
  <rv s="0">
    <fb>58538704</fb>
    <v>2</v>
  </rv>
  <rv s="0">
    <fb>45038754</fb>
    <v>2</v>
  </rv>
  <rv s="0">
    <fb>11.87</fb>
    <v>1</v>
  </rv>
  <rv s="0">
    <fb>48613273</fb>
    <v>2</v>
  </rv>
  <rv s="0">
    <fb>11.98</fb>
    <v>1</v>
  </rv>
  <rv s="0">
    <fb>40381477</fb>
    <v>2</v>
  </rv>
  <rv s="0">
    <fb>11.984999999999999</fb>
    <v>1</v>
  </rv>
  <rv s="0">
    <fb>47723668</fb>
    <v>2</v>
  </rv>
  <rv s="0">
    <fb>44069734</fb>
    <v>2</v>
  </rv>
  <rv s="0">
    <fb>11.755000000000001</fb>
    <v>1</v>
  </rv>
  <rv s="0">
    <fb>11.89</fb>
    <v>1</v>
  </rv>
  <rv s="0">
    <fb>57704182</fb>
    <v>2</v>
  </rv>
  <rv s="0">
    <fb>11.725</fb>
    <v>1</v>
  </rv>
  <rv s="0">
    <fb>47728660</fb>
    <v>2</v>
  </rv>
  <rv s="0">
    <fb>11.7</fb>
    <v>1</v>
  </rv>
  <rv s="0">
    <fb>33136650</fb>
    <v>2</v>
  </rv>
  <rv s="0">
    <fb>47547831</fb>
    <v>2</v>
  </rv>
  <rv s="0">
    <fb>39734522</fb>
    <v>2</v>
  </rv>
  <rv s="0">
    <fb>41262743</fb>
    <v>2</v>
  </rv>
  <rv s="0">
    <fb>47021328</fb>
    <v>2</v>
  </rv>
  <rv s="0">
    <fb>64196118</fb>
    <v>2</v>
  </rv>
  <rv s="0">
    <fb>11.754</fb>
    <v>1</v>
  </rv>
  <rv s="0">
    <fb>50100809</fb>
    <v>2</v>
  </rv>
  <rv s="0">
    <fb>47942431</fb>
    <v>2</v>
  </rv>
  <rv s="0">
    <fb>11.685</fb>
    <v>1</v>
  </rv>
  <rv s="0">
    <fb>11.51</fb>
    <v>1</v>
  </rv>
  <rv s="0">
    <fb>58064970</fb>
    <v>2</v>
  </rv>
  <rv s="0">
    <fb>11.55</fb>
    <v>1</v>
  </rv>
  <rv s="0">
    <fb>68585945</fb>
    <v>2</v>
  </rv>
  <rv s="0">
    <fb>55040063</fb>
    <v>2</v>
  </rv>
  <rv s="0">
    <fb>11.8</fb>
    <v>1</v>
  </rv>
  <rv s="0">
    <fb>11.585000000000001</fb>
    <v>1</v>
  </rv>
  <rv s="0">
    <fb>71676341</fb>
    <v>2</v>
  </rv>
  <rv s="0">
    <fb>11.565</fb>
    <v>1</v>
  </rv>
  <rv s="0">
    <fb>58432710</fb>
    <v>2</v>
  </rv>
  <rv s="0">
    <fb>11.695</fb>
    <v>1</v>
  </rv>
  <rv s="0">
    <fb>55667552</fb>
    <v>2</v>
  </rv>
  <rv s="0">
    <fb>60193780</fb>
    <v>2</v>
  </rv>
  <rv s="0">
    <fb>67656337</fb>
    <v>2</v>
  </rv>
  <rv s="0">
    <fb>12.315</fb>
    <v>1</v>
  </rv>
  <rv s="0">
    <fb>117681848</fb>
    <v>2</v>
  </rv>
  <rv s="0">
    <fb>12.1</fb>
    <v>1</v>
  </rv>
  <rv s="0">
    <fb>12.12</fb>
    <v>1</v>
  </rv>
  <rv s="0">
    <fb>83325012</fb>
    <v>2</v>
  </rv>
  <rv s="0">
    <fb>12.11</fb>
    <v>1</v>
  </rv>
  <rv s="0">
    <fb>12.2</fb>
    <v>1</v>
  </rv>
  <rv s="0">
    <fb>70765048</fb>
    <v>2</v>
  </rv>
  <rv s="0">
    <fb>12.28</fb>
    <v>1</v>
  </rv>
  <rv s="0">
    <fb>12.04</fb>
    <v>1</v>
  </rv>
  <rv s="0">
    <fb>73578427</fb>
    <v>2</v>
  </rv>
  <rv s="0">
    <fb>74530532</fb>
    <v>2</v>
  </rv>
  <rv s="0">
    <fb>12.244999999999999</fb>
    <v>1</v>
  </rv>
  <rv s="0">
    <fb>100778558</fb>
    <v>2</v>
  </rv>
  <rv s="0">
    <fb>12.63</fb>
    <v>1</v>
  </rv>
  <rv s="0">
    <fb>12.8</fb>
    <v>1</v>
  </rv>
  <rv s="0">
    <fb>12.48</fb>
    <v>1</v>
  </rv>
  <rv s="0">
    <fb>90544937</fb>
    <v>2</v>
  </rv>
  <rv s="0">
    <fb>12.5</fb>
    <v>1</v>
  </rv>
  <rv s="0">
    <fb>12.53</fb>
    <v>1</v>
  </rv>
  <rv s="0">
    <fb>154390154</fb>
    <v>2</v>
  </rv>
  <rv s="0">
    <fb>12.013999999999999</fb>
    <v>1</v>
  </rv>
  <rv s="0">
    <fb>78469653</fb>
    <v>2</v>
  </rv>
  <rv s="0">
    <fb>11.744999999999999</fb>
    <v>1</v>
  </rv>
  <rv s="0">
    <fb>70320483</fb>
    <v>2</v>
  </rv>
  <rv s="0">
    <fb>84595402</fb>
    <v>2</v>
  </rv>
  <rv s="0">
    <fb>73939384</fb>
    <v>2</v>
  </rv>
  <rv s="0">
    <fb>11.34</fb>
    <v>1</v>
  </rv>
  <rv s="0">
    <fb>89117946</fb>
    <v>2</v>
  </rv>
  <rv s="0">
    <fb>11.675000000000001</fb>
    <v>1</v>
  </rv>
  <rv s="0">
    <fb>88960726</fb>
    <v>2</v>
  </rv>
  <rv s="0">
    <fb>108701202</fb>
    <v>2</v>
  </rv>
  <rv s="0">
    <fb>107633522</fb>
    <v>2</v>
  </rv>
  <rv s="0">
    <fb>12.08</fb>
    <v>1</v>
  </rv>
  <rv s="0">
    <fb>77878936</fb>
    <v>2</v>
  </rv>
  <rv s="0">
    <fb>12.255000000000001</fb>
    <v>1</v>
  </rv>
  <rv s="0">
    <fb>12.07</fb>
    <v>1</v>
  </rv>
  <rv s="0">
    <fb>297153158</fb>
    <v>2</v>
  </rv>
  <rv s="0">
    <fb>12.595000000000001</fb>
    <v>1</v>
  </rv>
  <rv s="0">
    <fb>415062173</fb>
    <v>2</v>
  </rv>
  <rv s="0">
    <fb>12.47</fb>
    <v>1</v>
  </rv>
  <rv s="0">
    <fb>12.49</fb>
    <v>1</v>
  </rv>
  <rv s="0">
    <fb>12.19</fb>
    <v>1</v>
  </rv>
  <rv s="0">
    <fb>479840312</fb>
    <v>2</v>
  </rv>
  <rv s="0">
    <fb>12.73</fb>
    <v>1</v>
  </rv>
  <rv s="0">
    <fb>13.97</fb>
    <v>1</v>
  </rv>
  <rv s="0">
    <fb>12.71</fb>
    <v>1</v>
  </rv>
  <rv s="0">
    <fb>298366862</fb>
    <v>2</v>
  </rv>
  <rv s="0">
    <fb>13.8</fb>
    <v>1</v>
  </rv>
  <rv s="0">
    <fb>140859004</fb>
    <v>2</v>
  </rv>
  <rv s="0">
    <fb>13.04</fb>
    <v>1</v>
  </rv>
  <rv s="0">
    <fb>96738451</fb>
    <v>2</v>
  </rv>
  <rv s="0">
    <fb>13.1</fb>
    <v>1</v>
  </rv>
  <rv s="0">
    <fb>13.39</fb>
    <v>1</v>
  </rv>
  <rv s="0">
    <fb>13.07</fb>
    <v>1</v>
  </rv>
  <rv s="0">
    <fb>127512240</fb>
    <v>2</v>
  </rv>
  <rv s="0">
    <fb>13.14</fb>
    <v>1</v>
  </rv>
  <rv s="0">
    <fb>13.29</fb>
    <v>1</v>
  </rv>
  <rv s="0">
    <fb>80766301</fb>
    <v>2</v>
  </rv>
  <rv s="0">
    <fb>12.99</fb>
    <v>1</v>
  </rv>
  <rv s="0">
    <fb>68861988</fb>
    <v>2</v>
  </rv>
  <rv s="0">
    <fb>80419403</fb>
    <v>2</v>
  </rv>
  <rv s="0">
    <fb>12.91</fb>
    <v>1</v>
  </rv>
  <rv s="0">
    <fb>12.93</fb>
    <v>1</v>
  </rv>
  <rv s="0">
    <fb>12.75</fb>
    <v>1</v>
  </rv>
  <rv s="0">
    <fb>70360611</fb>
    <v>2</v>
  </rv>
  <rv s="0">
    <fb>12.92</fb>
    <v>1</v>
  </rv>
  <rv s="0">
    <fb>13.305</fb>
    <v>1</v>
  </rv>
  <rv s="0">
    <fb>79134307</fb>
    <v>2</v>
  </rv>
  <rv s="0">
    <fb>12.98</fb>
    <v>1</v>
  </rv>
  <rv s="0">
    <fb>82291049</fb>
    <v>2</v>
  </rv>
  <rv s="0">
    <fb>12.95</fb>
    <v>1</v>
  </rv>
  <rv s="0">
    <fb>80011318</fb>
    <v>2</v>
  </rv>
  <rv s="0">
    <fb>13.23</fb>
    <v>1</v>
  </rv>
  <rv s="0">
    <fb>13.234999999999999</fb>
    <v>1</v>
  </rv>
  <rv s="0">
    <fb>13</fb>
    <v>1</v>
  </rv>
  <rv s="0">
    <fb>62051157</fb>
    <v>2</v>
  </rv>
  <rv s="0">
    <fb>13.44</fb>
    <v>1</v>
  </rv>
  <rv s="0">
    <fb>79742405</fb>
    <v>2</v>
  </rv>
  <rv s="0">
    <fb>13.5</fb>
    <v>1</v>
  </rv>
  <rv s="0">
    <fb>61840461</fb>
    <v>2</v>
  </rv>
  <rv s="0">
    <fb>13.4</fb>
    <v>1</v>
  </rv>
  <rv s="0">
    <fb>13.25</fb>
    <v>1</v>
  </rv>
  <rv s="0">
    <fb>71481613</fb>
    <v>2</v>
  </rv>
  <rv s="0">
    <fb>13.18</fb>
    <v>1</v>
  </rv>
  <rv s="0">
    <fb>13.31</fb>
    <v>1</v>
  </rv>
  <rv s="0">
    <fb>67932422</fb>
    <v>2</v>
  </rv>
  <rv s="0">
    <fb>13.1751</fb>
    <v>1</v>
  </rv>
  <rv s="0">
    <fb>12.78</fb>
    <v>1</v>
  </rv>
  <rv s="0">
    <fb>73404381</fb>
    <v>2</v>
  </rv>
  <rv s="0">
    <fb>12.87</fb>
    <v>1</v>
  </rv>
  <rv s="0">
    <fb>13.09</fb>
    <v>1</v>
  </rv>
  <rv s="0">
    <fb>12.76</fb>
    <v>1</v>
  </rv>
  <rv s="0">
    <fb>70215400</fb>
    <v>2</v>
  </rv>
  <rv s="0">
    <fb>13.03</fb>
    <v>1</v>
  </rv>
  <rv s="0">
    <fb>13.15</fb>
    <v>1</v>
  </rv>
  <rv s="0">
    <fb>12.8649</fb>
    <v>1</v>
  </rv>
  <rv s="0">
    <fb>49619260</fb>
    <v>2</v>
  </rv>
  <rv s="0">
    <fb>12.38</fb>
    <v>1</v>
  </rv>
  <rv s="0">
    <fb>95861863</fb>
    <v>2</v>
  </rv>
  <rv s="0">
    <fb>12.51</fb>
    <v>1</v>
  </rv>
  <rv s="0">
    <fb>12.94</fb>
    <v>1</v>
  </rv>
  <rv s="0">
    <fb>74048860</fb>
    <v>2</v>
  </rv>
  <rv s="0">
    <fb>12.84</fb>
    <v>1</v>
  </rv>
  <rv s="0">
    <fb>12.824999999999999</fb>
    <v>1</v>
  </rv>
  <rv s="0">
    <fb>52936240</fb>
    <v>2</v>
  </rv>
  <rv s="0">
    <fb>12.975</fb>
    <v>1</v>
  </rv>
  <rv s="0">
    <fb>52884970</fb>
    <v>2</v>
  </rv>
  <rv s="0">
    <fb>44942203</fb>
    <v>2</v>
  </rv>
  <rv s="0">
    <fb>13.205</fb>
    <v>1</v>
  </rv>
  <rv s="0">
    <fb>13.34</fb>
    <v>1</v>
  </rv>
  <rv s="0">
    <fb>29536180</fb>
    <v>2</v>
  </rv>
  <rv s="0">
    <fb>45293</fb>
    <v>0</v>
  </rv>
  <rv s="0">
    <fb>11.6625</fb>
    <v>1</v>
  </rv>
  <rv s="0">
    <fb>11.849500000000001</fb>
    <v>1</v>
  </rv>
  <rv s="0">
    <fb>12.184100000000001</fb>
    <v>1</v>
  </rv>
  <rv s="0">
    <fb>11.446</fb>
    <v>1</v>
  </rv>
  <rv s="0">
    <fb>220466869</fb>
    <v>2</v>
  </rv>
  <rv s="0">
    <fb>45299</fb>
    <v>0</v>
  </rv>
  <rv s="0">
    <fb>11.278700000000001</fb>
    <v>1</v>
  </rv>
  <rv s="0">
    <fb>11.859400000000001</fb>
    <v>1</v>
  </rv>
  <rv s="0">
    <fb>11.2295</fb>
    <v>1</v>
  </rv>
  <rv s="0">
    <fb>236046571</fb>
    <v>2</v>
  </rv>
  <rv s="0">
    <fb>45307</fb>
    <v>0</v>
  </rv>
  <rv s="0">
    <fb>11.0228</fb>
    <v>1</v>
  </rv>
  <rv s="0">
    <fb>11.1212</fb>
    <v>1</v>
  </rv>
  <rv s="0">
    <fb>11.318099999999999</fb>
    <v>1</v>
  </rv>
  <rv s="0">
    <fb>10.653700000000001</fb>
    <v>1</v>
  </rv>
  <rv s="0">
    <fb>234397718</fb>
    <v>2</v>
  </rv>
  <rv s="0">
    <fb>45313</fb>
    <v>0</v>
  </rv>
  <rv s="0">
    <fb>11.2098</fb>
    <v>1</v>
  </rv>
  <rv s="0">
    <fb>11.052300000000001</fb>
    <v>1</v>
  </rv>
  <rv s="0">
    <fb>10.826000000000001</fb>
    <v>1</v>
  </rv>
  <rv s="0">
    <fb>238983894</fb>
    <v>2</v>
  </rv>
  <rv s="0">
    <fb>45320</fb>
    <v>0</v>
  </rv>
  <rv s="0">
    <fb>11.947900000000001</fb>
    <v>1</v>
  </rv>
  <rv s="0">
    <fb>11.997199999999999</fb>
    <v>1</v>
  </rv>
  <rv s="0">
    <fb>362960548</fb>
    <v>2</v>
  </rv>
  <rv s="0">
    <fb>45327</fb>
    <v>0</v>
  </rv>
  <rv s="0">
    <fb>12.4794</fb>
    <v>1</v>
  </rv>
  <rv s="0">
    <fb>12.774699999999999</fb>
    <v>1</v>
  </rv>
  <rv s="0">
    <fb>11.3574</fb>
    <v>1</v>
  </rv>
  <rv s="0">
    <fb>440791593</fb>
    <v>2</v>
  </rv>
  <rv s="0">
    <fb>45334</fb>
    <v>0</v>
  </rv>
  <rv s="0">
    <fb>12.105399999999999</fb>
    <v>1</v>
  </rv>
  <rv s="0">
    <fb>12.863200000000001</fb>
    <v>1</v>
  </rv>
  <rv s="0">
    <fb>12.066000000000001</fb>
    <v>1</v>
  </rv>
  <rv s="0">
    <fb>280399214</fb>
    <v>2</v>
  </rv>
  <rv s="0">
    <fb>45342</fb>
    <v>0</v>
  </rv>
  <rv s="0">
    <fb>11.9922</fb>
    <v>1</v>
  </rv>
  <rv s="0">
    <fb>12.1349</fb>
    <v>1</v>
  </rv>
  <rv s="0">
    <fb>158135547</fb>
    <v>2</v>
  </rv>
  <rv s="0">
    <fb>45348</fb>
    <v>0</v>
  </rv>
  <rv s="0">
    <fb>12.253</fb>
    <v>1</v>
  </rv>
  <rv s="0">
    <fb>11.9381</fb>
    <v>1</v>
  </rv>
  <rv s="0">
    <fb>12.44</fb>
    <v>1</v>
  </rv>
  <rv s="0">
    <fb>11.760999999999999</fb>
    <v>1</v>
  </rv>
  <rv s="0">
    <fb>223595206</fb>
    <v>2</v>
  </rv>
  <rv s="0">
    <fb>45355</fb>
    <v>0</v>
  </rv>
  <rv s="0">
    <fb>11.987299999999999</fb>
    <v>1</v>
  </rv>
  <rv s="0">
    <fb>12.3711</fb>
    <v>1</v>
  </rv>
  <rv s="0">
    <fb>12.8239</fb>
    <v>1</v>
  </rv>
  <rv s="0">
    <fb>276674180</fb>
    <v>2</v>
  </rv>
  <rv s="0">
    <fb>45362</fb>
    <v>0</v>
  </rv>
  <rv s="0">
    <fb>11.869199999999999</fb>
    <v>1</v>
  </rv>
  <rv s="0">
    <fb>12.2826</fb>
    <v>1</v>
  </rv>
  <rv s="0">
    <fb>261994532</fb>
    <v>2</v>
  </rv>
  <rv s="0">
    <fb>45369</fb>
    <v>0</v>
  </rv>
  <rv s="0">
    <fb>12.7058</fb>
    <v>1</v>
  </rv>
  <rv s="0">
    <fb>12.853400000000001</fb>
    <v>1</v>
  </rv>
  <rv s="0">
    <fb>11.7905</fb>
    <v>1</v>
  </rv>
  <rv s="0">
    <fb>229581350</fb>
    <v>2</v>
  </rv>
  <rv s="0">
    <fb>45376</fb>
    <v>0</v>
  </rv>
  <rv s="0">
    <fb>13.069900000000001</fb>
    <v>1</v>
  </rv>
  <rv s="0">
    <fb>12.7156</fb>
    <v>1</v>
  </rv>
  <rv s="0">
    <fb>13.089600000000001</fb>
    <v>1</v>
  </rv>
  <rv s="0">
    <fb>12.2334</fb>
    <v>1</v>
  </rv>
  <rv s="0">
    <fb>225168058</fb>
    <v>2</v>
  </rv>
  <rv s="0">
    <fb>45383</fb>
    <v>0</v>
  </rv>
  <rv s="0">
    <fb>13.1191</fb>
    <v>1</v>
  </rv>
  <rv s="0">
    <fb>13.7293</fb>
    <v>1</v>
  </rv>
  <rv s="0">
    <fb>12.882899999999999</fb>
    <v>1</v>
  </rv>
  <rv s="0">
    <fb>254831786</fb>
    <v>2</v>
  </rv>
  <rv s="0">
    <fb>45390</fb>
    <v>0</v>
  </rv>
  <rv s="0">
    <fb>12.410500000000001</fb>
    <v>1</v>
  </rv>
  <rv s="0">
    <fb>13.133900000000001</fb>
    <v>1</v>
  </rv>
  <rv s="0">
    <fb>13.375</fb>
    <v>1</v>
  </rv>
  <rv s="0">
    <fb>12.302300000000001</fb>
    <v>1</v>
  </rv>
  <rv s="0">
    <fb>210914337</fb>
    <v>2</v>
  </rv>
  <rv s="0">
    <fb>45397</fb>
    <v>0</v>
  </rv>
  <rv s="0">
    <fb>12.538500000000001</fb>
    <v>1</v>
  </rv>
  <rv s="0">
    <fb>12.612299999999999</fb>
    <v>1</v>
  </rv>
  <rv s="0">
    <fb>11.7523</fb>
    <v>1</v>
  </rv>
  <rv s="0">
    <fb>242891616</fb>
    <v>2</v>
  </rv>
  <rv s="0">
    <fb>45404</fb>
    <v>0</v>
  </rv>
  <rv s="0">
    <fb>12.5877</fb>
    <v>1</v>
  </rv>
  <rv s="0">
    <fb>12.1153</fb>
    <v>1</v>
  </rv>
  <rv s="0">
    <fb>12.971500000000001</fb>
    <v>1</v>
  </rv>
  <rv s="0">
    <fb>12.0562</fb>
    <v>1</v>
  </rv>
  <rv s="0">
    <fb>373897138</fb>
    <v>2</v>
  </rv>
  <rv s="0">
    <fb>45411</fb>
    <v>0</v>
  </rv>
  <rv s="0">
    <fb>12.6073</fb>
    <v>1</v>
  </rv>
  <rv s="0">
    <fb>12.636900000000001</fb>
    <v>1</v>
  </rv>
  <rv s="0">
    <fb>273723195</fb>
    <v>2</v>
  </rv>
  <rv s="0">
    <fb>45418</fb>
    <v>0</v>
  </rv>
  <rv s="0">
    <fb>11.8003</fb>
    <v>1</v>
  </rv>
  <rv s="0">
    <fb>12.3416</fb>
    <v>1</v>
  </rv>
  <rv s="0">
    <fb>12.420400000000001</fb>
    <v>1</v>
  </rv>
  <rv s="0">
    <fb>11.723699999999999</fb>
    <v>1</v>
  </rv>
  <rv s="0">
    <fb>199772430</fb>
    <v>2</v>
  </rv>
  <rv s="0">
    <fb>45425</fb>
    <v>0</v>
  </rv>
  <rv s="0">
    <fb>12.085699999999999</fb>
    <v>1</v>
  </rv>
  <rv s="0">
    <fb>220687341</fb>
    <v>2</v>
  </rv>
  <rv s="0">
    <fb>45432</fb>
    <v>0</v>
  </rv>
  <rv s="0">
    <fb>11.967599999999999</fb>
    <v>1</v>
  </rv>
  <rv s="0">
    <fb>12.075900000000001</fb>
    <v>1</v>
  </rv>
  <rv s="0">
    <fb>11.7806</fb>
    <v>1</v>
  </rv>
  <rv s="0">
    <fb>182592170</fb>
    <v>2</v>
  </rv>
  <rv s="0">
    <fb>45440</fb>
    <v>0</v>
  </rv>
  <rv s="0">
    <fb>11.9184</fb>
    <v>1</v>
  </rv>
  <rv s="0">
    <fb>11.957800000000001</fb>
    <v>1</v>
  </rv>
  <rv s="0">
    <fb>11.298400000000001</fb>
    <v>1</v>
  </rv>
  <rv s="0">
    <fb>205932651</fb>
    <v>2</v>
  </rv>
  <rv s="0">
    <fb>45446</fb>
    <v>0</v>
  </rv>
  <rv s="0">
    <fb>12.1251</fb>
    <v>1</v>
  </rv>
  <rv s="0">
    <fb>11.632999999999999</fb>
    <v>1</v>
  </rv>
  <rv s="0">
    <fb>204282584</fb>
    <v>2</v>
  </rv>
  <rv s="0">
    <fb>45453</fb>
    <v>0</v>
  </rv>
  <rv s="0">
    <fb>12.321899999999999</fb>
    <v>1</v>
  </rv>
  <rv s="0">
    <fb>11.3673</fb>
    <v>1</v>
  </rv>
  <rv s="0">
    <fb>268720704</fb>
    <v>2</v>
  </rv>
  <rv s="0">
    <fb>45460</fb>
    <v>0</v>
  </rv>
  <rv s="0">
    <fb>11.652699999999999</fb>
    <v>1</v>
  </rv>
  <rv s="0">
    <fb>11.4755</fb>
    <v>1</v>
  </rv>
  <rv s="0">
    <fb>11.4657</fb>
    <v>1</v>
  </rv>
  <rv s="0">
    <fb>167310231</fb>
    <v>2</v>
  </rv>
  <rv s="0">
    <fb>45467</fb>
    <v>0</v>
  </rv>
  <rv s="0">
    <fb>11.741300000000001</fb>
    <v>1</v>
  </rv>
  <rv s="0">
    <fb>11.731400000000001</fb>
    <v>1</v>
  </rv>
  <rv s="0">
    <fb>257252113</fb>
    <v>2</v>
  </rv>
  <rv s="0">
    <fb>45474</fb>
    <v>0</v>
  </rv>
  <rv s="0">
    <fb>12.3613</fb>
    <v>1</v>
  </rv>
  <rv s="0">
    <fb>12.755000000000001</fb>
    <v>1</v>
  </rv>
  <rv s="0">
    <fb>12.331799999999999</fb>
    <v>1</v>
  </rv>
  <rv s="0">
    <fb>164224667</fb>
    <v>2</v>
  </rv>
  <rv s="0">
    <fb>45481</fb>
    <v>0</v>
  </rv>
  <rv s="0">
    <fb>13.808</fb>
    <v>1</v>
  </rv>
  <rv s="0">
    <fb>12.764799999999999</fb>
    <v>1</v>
  </rv>
  <rv s="0">
    <fb>13.985200000000001</fb>
    <v>1</v>
  </rv>
  <rv s="0">
    <fb>12.6762</fb>
    <v>1</v>
  </rv>
  <rv s="0">
    <fb>262593926</fb>
    <v>2</v>
  </rv>
  <rv s="0">
    <fb>45488</fb>
    <v>0</v>
  </rv>
  <rv s="0">
    <fb>13.758800000000001</fb>
    <v>1</v>
  </rv>
  <rv s="0">
    <fb>14.6151</fb>
    <v>1</v>
  </rv>
  <rv s="0">
    <fb>13.7392</fb>
    <v>1</v>
  </rv>
  <rv s="0">
    <fb>314735186</fb>
    <v>2</v>
  </rv>
  <rv s="0">
    <fb>45495</fb>
    <v>0</v>
  </rv>
  <rv s="0">
    <fb>11.013</fb>
    <v>1</v>
  </rv>
  <rv s="0">
    <fb>13.798299999999999</fb>
    <v>1</v>
  </rv>
  <rv s="0">
    <fb>13.9557</fb>
    <v>1</v>
  </rv>
  <rv s="0">
    <fb>10.8752</fb>
    <v>1</v>
  </rv>
  <rv s="0">
    <fb>574962896</fb>
    <v>2</v>
  </rv>
  <rv s="0">
    <fb>45502</fb>
    <v>0</v>
  </rv>
  <rv s="0">
    <fb>11.0031</fb>
    <v>1</v>
  </rv>
  <rv s="0">
    <fb>9.8417999999999992</fb>
    <v>1</v>
  </rv>
  <rv s="0">
    <fb>414255529</fb>
    <v>2</v>
  </rv>
  <rv s="0">
    <fb>45509</fb>
    <v>0</v>
  </rv>
  <rv s="0">
    <fb>9.4087999999999994</fb>
    <v>1</v>
  </rv>
  <rv s="0">
    <fb>425494048</fb>
    <v>2</v>
  </rv>
  <rv s="0">
    <fb>45516</fb>
    <v>0</v>
  </rv>
  <rv s="0">
    <fb>10.348699999999999</fb>
    <v>1</v>
  </rv>
  <rv s="0">
    <fb>9.6153999999999993</fb>
    <v>1</v>
  </rv>
  <rv s="0">
    <fb>217086067</fb>
    <v>2</v>
  </rv>
  <rv s="0">
    <fb>45523</fb>
    <v>0</v>
  </rv>
  <rv s="0">
    <fb>11.091699999999999</fb>
    <v>1</v>
  </rv>
  <rv s="0">
    <fb>10.392899999999999</fb>
    <v>1</v>
  </rv>
  <rv s="0">
    <fb>11.101599999999999</fb>
    <v>1</v>
  </rv>
  <rv s="0">
    <fb>10.3733</fb>
    <v>1</v>
  </rv>
  <rv s="0">
    <fb>241801554</fb>
    <v>2</v>
  </rv>
  <rv s="0">
    <fb>45530</fb>
    <v>0</v>
  </rv>
  <rv s="0">
    <fb>11.1409</fb>
    <v>1</v>
  </rv>
  <rv s="0">
    <fb>11.190099999999999</fb>
    <v>1</v>
  </rv>
  <rv s="0">
    <fb>10.8063</fb>
    <v>1</v>
  </rv>
  <rv s="0">
    <fb>226909417</fb>
    <v>2</v>
  </rv>
  <rv s="0">
    <fb>45538</fb>
    <v>0</v>
  </rv>
  <rv s="0">
    <fb>10.412599999999999</fb>
    <v>1</v>
  </rv>
  <rv s="0">
    <fb>10.9047</fb>
    <v>1</v>
  </rv>
  <rv s="0">
    <fb>10.9785</fb>
    <v>1</v>
  </rv>
  <rv s="0">
    <fb>10.3634</fb>
    <v>1</v>
  </rv>
  <rv s="0">
    <fb>198718751</fb>
    <v>2</v>
  </rv>
  <rv s="0">
    <fb>45544</fb>
    <v>0</v>
  </rv>
  <rv s="0">
    <fb>10.520899999999999</fb>
    <v>1</v>
  </rv>
  <rv s="0">
    <fb>10.4421</fb>
    <v>1</v>
  </rv>
  <rv s="0">
    <fb>10.619300000000001</fb>
    <v>1</v>
  </rv>
  <rv s="0">
    <fb>9.9696999999999996</fb>
    <v>1</v>
  </rv>
  <rv s="0">
    <fb>240885760</fb>
    <v>2</v>
  </rv>
  <rv s="0">
    <fb>45551</fb>
    <v>0</v>
  </rv>
  <rv s="0">
    <fb>10.7079</fb>
    <v>1</v>
  </rv>
  <rv s="0">
    <fb>10.5701</fb>
    <v>1</v>
  </rv>
  <rv s="0">
    <fb>11.1311</fb>
    <v>1</v>
  </rv>
  <rv s="0">
    <fb>267363556</fb>
    <v>2</v>
  </rv>
  <rv s="0">
    <fb>45558</fb>
    <v>0</v>
  </rv>
  <rv s="0">
    <fb>10.609500000000001</fb>
    <v>1</v>
  </rv>
  <rv s="0">
    <fb>10.6685</fb>
    <v>1</v>
  </rv>
  <rv s="0">
    <fb>10.156700000000001</fb>
    <v>1</v>
  </rv>
  <rv s="0">
    <fb>253160255</fb>
    <v>2</v>
  </rv>
  <rv s="0">
    <fb>45565</fb>
    <v>0</v>
  </rv>
  <rv s="0">
    <fb>10.402799999999999</fb>
    <v>1</v>
  </rv>
  <rv s="0">
    <fb>10.3142</fb>
    <v>1</v>
  </rv>
  <rv s="0">
    <fb>10.6439</fb>
    <v>1</v>
  </rv>
  <rv s="0">
    <fb>10.166600000000001</fb>
    <v>1</v>
  </rv>
  <rv s="0">
    <fb>269824867</fb>
    <v>2</v>
  </rv>
  <rv s="0">
    <fb>45572</fb>
    <v>0</v>
  </rv>
  <rv s="0">
    <fb>10.5504</fb>
    <v>1</v>
  </rv>
  <rv s="0">
    <fb>10.383100000000001</fb>
    <v>1</v>
  </rv>
  <rv s="0">
    <fb>10.629099999999999</fb>
    <v>1</v>
  </rv>
  <rv s="0">
    <fb>199298793</fb>
    <v>2</v>
  </rv>
  <rv s="0">
    <fb>45579</fb>
    <v>0</v>
  </rv>
  <rv s="0">
    <fb>10.9244</fb>
    <v>1</v>
  </rv>
  <rv s="0">
    <fb>10.5406</fb>
    <v>1</v>
  </rv>
  <rv s="0">
    <fb>10.4864</fb>
    <v>1</v>
  </rv>
  <rv s="0">
    <fb>209032596</fb>
    <v>2</v>
  </rv>
  <rv s="0">
    <fb>45586</fb>
    <v>0</v>
  </rv>
  <rv s="0">
    <fb>10.8949</fb>
    <v>1</v>
  </rv>
  <rv s="0">
    <fb>11.1508</fb>
    <v>1</v>
  </rv>
  <rv s="0">
    <fb>10.6882</fb>
    <v>1</v>
  </rv>
  <rv s="0">
    <fb>217235431</fb>
    <v>2</v>
  </rv>
  <rv s="0">
    <fb>45593</fb>
    <v>0</v>
  </rv>
  <rv s="0">
    <fb>10.058299999999999</fb>
    <v>1</v>
  </rv>
  <rv s="0">
    <fb>10.9884</fb>
    <v>1</v>
  </rv>
  <rv s="0">
    <fb>425348730</fb>
    <v>2</v>
  </rv>
  <rv s="0">
    <fb>45600</fb>
    <v>0</v>
  </rv>
  <rv s="0">
    <fb>10.7965</fb>
    <v>1</v>
  </rv>
  <rv s="0">
    <fb>311209296</fb>
    <v>2</v>
  </rv>
  <rv s="0">
    <fb>45607</fb>
    <v>0</v>
  </rv>
  <rv s="0">
    <fb>10.835800000000001</fb>
    <v>1</v>
  </rv>
  <rv s="0">
    <fb>10.7768</fb>
    <v>1</v>
  </rv>
  <rv s="0">
    <fb>276757329</fb>
    <v>2</v>
  </rv>
  <rv s="0">
    <fb>45614</fb>
    <v>0</v>
  </rv>
  <rv s="0">
    <fb>310547701</fb>
    <v>2</v>
  </rv>
  <rv s="0">
    <fb>11.3378</fb>
    <v>1</v>
  </rv>
  <rv s="0">
    <fb>10.8653</fb>
    <v>1</v>
  </rv>
  <rv s="0">
    <fb>11.0425</fb>
    <v>1</v>
  </rv>
  <rv s="0">
    <fb>11.0671</fb>
    <v>1</v>
  </rv>
  <rv s="0">
    <fb>10.388</fb>
    <v>1</v>
  </rv>
  <rv s="0">
    <fb>10.1174</fb>
    <v>1</v>
  </rv>
  <rv s="0">
    <fb>9.9107000000000003</fb>
    <v>1</v>
  </rv>
  <rv s="0">
    <fb>9.5071999999999992</fb>
    <v>1</v>
  </rv>
  <rv s="0">
    <fb>9.7139000000000006</fb>
    <v>1</v>
  </rv>
  <rv s="0">
    <fb>10.038600000000001</fb>
    <v>1</v>
  </rv>
  <rv s="1">
    <v>3</v>
    <v>F</v>
    <v>Weekly</v>
    <v>45291</v>
    <v>45997</v>
    <v>0</v>
    <v>1</v>
    <v>638998848000000000,639002300420981785,0</v>
    <v>0</v>
    <v>a1sjw7</v>
    <v>XNYS:F</v>
    <v>1</v>
    <v>2</v>
    <v>3</v>
    <v>4</v>
    <v>5</v>
  </rv>
  <rv s="2">
    <v>4</v>
    <v>F</v>
    <v>Weekly</v>
    <v>45620</v>
    <v>45997</v>
    <v>0</v>
    <v>1</v>
    <v>638998848000000000,639002300420521133,0</v>
    <v>6</v>
    <v>a1sjw7</v>
    <v>XNYS:F</v>
    <v>7</v>
    <v>8</v>
  </rv>
  <rv s="1">
    <v>3</v>
    <v>F</v>
    <v>Daily</v>
    <v>45658</v>
    <v>45992</v>
    <v>0</v>
    <v>1</v>
    <v>638998848000000000,639002300420832448,0</v>
    <v>9</v>
    <v>a1sjw7</v>
    <v/>
    <v>10</v>
    <v>11</v>
    <v>12</v>
    <v>13</v>
    <v>14</v>
  </rv>
  <rv s="3">
    <v>5</v>
    <v>F</v>
    <v>Daily</v>
    <v>45658</v>
    <v>45992</v>
    <v>0</v>
    <v>1</v>
    <v>638998848000000000,639002300420832448,0</v>
    <v>9</v>
    <v>a1sjw7</v>
    <v/>
    <v>10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  <k n="Open" t="a"/>
    <k n="High" t="a"/>
    <k n="Low" t="a"/>
    <k n="Volume" t="a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  <k n="Volume" t="a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6">
    <spb s="0">
      <v>1</v>
    </spb>
    <spb s="0">
      <v>2</v>
    </spb>
    <spb s="0">
      <v>3</v>
    </spb>
    <spb s="1">
      <v>2</v>
      <v>1</v>
      <v>2</v>
      <v>2</v>
      <v>2</v>
      <v>3</v>
    </spb>
    <spb s="2">
      <v>1</v>
      <v>2</v>
      <v>3</v>
    </spb>
    <spb s="3">
      <v>1</v>
      <v>2</v>
    </spb>
  </spbData>
</supportingPropertyBags>
</file>

<file path=xl/richData/rdsupportingpropertybagstructure.xml><?xml version="1.0" encoding="utf-8"?>
<spbStructures xmlns="http://schemas.microsoft.com/office/spreadsheetml/2017/richdata2" count="4">
  <s>
    <k n="_Self" t="i"/>
  </s>
  <s>
    <k n="Low" t="i"/>
    <k n="Date" t="i"/>
    <k n="High" t="i"/>
    <k n="Open" t="i"/>
    <k n="Close" t="i"/>
    <k n="Volume" t="i"/>
  </s>
  <s>
    <k n="Date" t="i"/>
    <k n="Close" t="i"/>
    <k n="Volume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19" formatCode="m/d/yyyy"/>
    </x:dxf>
    <x:dxf>
      <x:numFmt numFmtId="0" formatCode="General"/>
    </x:dxf>
    <x:dxf>
      <x:numFmt numFmtId="3" formatCode="#,##0"/>
    </x:dxf>
  </dxfs>
  <richProperties>
    <rPr n="NumberFormat" t="s"/>
  </richProperties>
  <richStyles>
    <rSty dxfid="0"/>
    <rSty dxfid="1">
      <rpv i="0">_([$$-en-US]* #,##0.00_);_([$$-en-US]* (#,##0.00);_([$$-en-US]* "-"??_);_(@_)</rpv>
    </rSty>
    <rSty dxfid="2">
      <rpv i="0">#,##0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4B3F92-0E93-40F3-A1FB-1A258B51AD2D}" name="Table1" displayName="Table1" ref="A1:F228" totalsRowShown="0">
  <autoFilter ref="A1:F228" xr:uid="{BC4B3F92-0E93-40F3-A1FB-1A258B51AD2D}">
    <filterColumn colId="0">
      <filters>
        <dateGroupItem year="2025" month="9" dateTimeGrouping="month"/>
        <dateGroupItem year="2025" month="10" dateTimeGrouping="month"/>
        <dateGroupItem year="2025" month="11" dateTimeGrouping="month"/>
      </filters>
    </filterColumn>
  </autoFilter>
  <tableColumns count="6">
    <tableColumn id="1" xr3:uid="{86B2286B-FDA2-4677-8A99-60635091F221}" name="Date"/>
    <tableColumn id="2" xr3:uid="{97844AAD-BEE7-4C02-8875-13C595354598}" name="Close"/>
    <tableColumn id="8" xr3:uid="{FE23A511-1D02-4D7E-BB56-E6BC5D17ABB2}" name="20 SMA"/>
    <tableColumn id="9" xr3:uid="{A1D0D53C-65F2-4AAC-B67C-AB021A89ACA8}" name="50 SMA"/>
    <tableColumn id="11" xr3:uid="{52D663CB-1D5B-4181-911A-B2724F4B39E4}" name="20 EMA"/>
    <tableColumn id="4" xr3:uid="{CCA580A9-4013-40A5-948B-623A175022C6}" name="50 E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FDA4438-FD06-4F73-B720-4B90D495FDD7}">
  <we:reference id="wa104379190" version="2.0.0.0" store="en-US" storeType="OMEX"/>
  <we:alternateReferences>
    <we:reference id="WA104379190" version="2.0.0.0" store="" storeType="OMEX"/>
  </we:alternateReferences>
  <we:properties/>
  <we:bindings>
    <we:binding id="RangeSelect" type="matrix" appref="{C411C2B0-A10B-4F5E-9564-54B96868CA70}"/>
  </we:bindings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4A7F0-1ECA-42D2-A2D1-EB9F3FA28A7B}">
  <dimension ref="G4:X7"/>
  <sheetViews>
    <sheetView topLeftCell="A3" zoomScale="70" zoomScaleNormal="70" workbookViewId="0">
      <selection activeCell="I12" sqref="I12"/>
    </sheetView>
  </sheetViews>
  <sheetFormatPr defaultRowHeight="15" x14ac:dyDescent="0.25"/>
  <cols>
    <col min="9" max="9" width="24.28515625" customWidth="1"/>
    <col min="24" max="24" width="13.5703125" customWidth="1"/>
  </cols>
  <sheetData>
    <row r="4" spans="7:24" ht="34.5" x14ac:dyDescent="0.55000000000000004">
      <c r="G4" s="4"/>
      <c r="H4" s="4"/>
      <c r="I4" s="4"/>
      <c r="J4" s="4"/>
      <c r="K4" s="3"/>
      <c r="L4" s="3"/>
      <c r="M4" s="3"/>
      <c r="N4" s="3"/>
      <c r="O4" s="3"/>
      <c r="P4" s="3"/>
      <c r="Q4" s="3"/>
      <c r="R4" s="3"/>
      <c r="S4" s="1"/>
      <c r="T4" s="1"/>
      <c r="U4" s="1"/>
      <c r="V4" s="1"/>
      <c r="W4" s="1"/>
      <c r="X4" s="1"/>
    </row>
    <row r="5" spans="7:24" ht="34.5" x14ac:dyDescent="0.55000000000000004"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7:24" ht="34.5" x14ac:dyDescent="0.55000000000000004"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7:24" ht="34.5" x14ac:dyDescent="0.55000000000000004"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24C1E-34DE-4990-BED1-C267D533B1E4}">
  <dimension ref="A1:F228"/>
  <sheetViews>
    <sheetView tabSelected="1" workbookViewId="0">
      <selection activeCell="E1" activeCellId="3" sqref="A1:A1048576 B1:B1048576 D1:D1048576 E1:E1048576"/>
    </sheetView>
  </sheetViews>
  <sheetFormatPr defaultRowHeight="15" x14ac:dyDescent="0.25"/>
  <cols>
    <col min="1" max="1" width="10.42578125" bestFit="1" customWidth="1"/>
    <col min="6" max="6" width="9.42578125" customWidth="1"/>
  </cols>
  <sheetData>
    <row r="1" spans="1:6" x14ac:dyDescent="0.25">
      <c r="A1" t="s">
        <v>16</v>
      </c>
      <c r="B1" t="s">
        <v>17</v>
      </c>
      <c r="C1" t="s">
        <v>19</v>
      </c>
      <c r="D1" t="s">
        <v>15</v>
      </c>
      <c r="E1" t="s">
        <v>18</v>
      </c>
      <c r="F1" t="s">
        <v>14</v>
      </c>
    </row>
    <row r="2" spans="1:6" hidden="1" x14ac:dyDescent="0.25">
      <c r="A2" vm="1">
        <v>45659</v>
      </c>
      <c r="B2" vm="2">
        <v>9.4972999999999992</v>
      </c>
    </row>
    <row r="3" spans="1:6" hidden="1" x14ac:dyDescent="0.25">
      <c r="A3" vm="3">
        <v>45660</v>
      </c>
      <c r="B3" vm="4">
        <v>9.7236999999999991</v>
      </c>
    </row>
    <row r="4" spans="1:6" hidden="1" x14ac:dyDescent="0.25">
      <c r="A4" vm="5">
        <v>45663</v>
      </c>
      <c r="B4" vm="6">
        <v>9.7630999999999997</v>
      </c>
    </row>
    <row r="5" spans="1:6" hidden="1" x14ac:dyDescent="0.25">
      <c r="A5" vm="7">
        <v>45664</v>
      </c>
      <c r="B5" vm="8">
        <v>9.6056000000000008</v>
      </c>
    </row>
    <row r="6" spans="1:6" hidden="1" x14ac:dyDescent="0.25">
      <c r="A6" vm="9">
        <v>45665</v>
      </c>
      <c r="B6" vm="10">
        <v>9.5859000000000005</v>
      </c>
    </row>
    <row r="7" spans="1:6" hidden="1" x14ac:dyDescent="0.25">
      <c r="A7" vm="11">
        <v>45667</v>
      </c>
      <c r="B7" vm="2">
        <v>9.4972999999999992</v>
      </c>
    </row>
    <row r="8" spans="1:6" hidden="1" x14ac:dyDescent="0.25">
      <c r="A8" vm="12">
        <v>45670</v>
      </c>
      <c r="B8" vm="13">
        <v>9.5564</v>
      </c>
    </row>
    <row r="9" spans="1:6" hidden="1" x14ac:dyDescent="0.25">
      <c r="A9" vm="14">
        <v>45671</v>
      </c>
      <c r="B9" vm="15">
        <v>9.6252999999999993</v>
      </c>
    </row>
    <row r="10" spans="1:6" hidden="1" x14ac:dyDescent="0.25">
      <c r="A10" vm="16">
        <v>45672</v>
      </c>
      <c r="B10" vm="17">
        <v>9.7926000000000002</v>
      </c>
    </row>
    <row r="11" spans="1:6" hidden="1" x14ac:dyDescent="0.25">
      <c r="A11" vm="18">
        <v>45673</v>
      </c>
      <c r="B11" vm="19">
        <v>9.8515999999999995</v>
      </c>
    </row>
    <row r="12" spans="1:6" hidden="1" x14ac:dyDescent="0.25">
      <c r="A12" vm="20">
        <v>45674</v>
      </c>
      <c r="B12" vm="21">
        <v>10.019</v>
      </c>
    </row>
    <row r="13" spans="1:6" hidden="1" x14ac:dyDescent="0.25">
      <c r="A13" vm="22">
        <v>45678</v>
      </c>
      <c r="B13" vm="23">
        <v>10.265000000000001</v>
      </c>
    </row>
    <row r="14" spans="1:6" hidden="1" x14ac:dyDescent="0.25">
      <c r="A14" vm="24">
        <v>45679</v>
      </c>
      <c r="B14" vm="25">
        <v>9.8712999999999997</v>
      </c>
    </row>
    <row r="15" spans="1:6" hidden="1" x14ac:dyDescent="0.25">
      <c r="A15" vm="26">
        <v>45680</v>
      </c>
      <c r="B15" vm="27">
        <v>9.9992999999999999</v>
      </c>
    </row>
    <row r="16" spans="1:6" hidden="1" x14ac:dyDescent="0.25">
      <c r="A16" vm="28">
        <v>45681</v>
      </c>
      <c r="B16" vm="29">
        <v>9.9598999999999993</v>
      </c>
    </row>
    <row r="17" spans="1:5" hidden="1" x14ac:dyDescent="0.25">
      <c r="A17" vm="30">
        <v>45684</v>
      </c>
      <c r="B17" vm="31">
        <v>10.2158</v>
      </c>
    </row>
    <row r="18" spans="1:5" hidden="1" x14ac:dyDescent="0.25">
      <c r="A18" vm="32">
        <v>45685</v>
      </c>
      <c r="B18" vm="33">
        <v>9.9205000000000005</v>
      </c>
    </row>
    <row r="19" spans="1:5" hidden="1" x14ac:dyDescent="0.25">
      <c r="A19" vm="34">
        <v>45686</v>
      </c>
      <c r="B19" vm="35">
        <v>10.048500000000001</v>
      </c>
    </row>
    <row r="20" spans="1:5" hidden="1" x14ac:dyDescent="0.25">
      <c r="A20" vm="36">
        <v>45688</v>
      </c>
      <c r="B20" vm="33">
        <v>9.9205000000000005</v>
      </c>
      <c r="C20" s="7"/>
      <c r="D20" s="6"/>
      <c r="E20" s="6">
        <f>AVERAGE(B1:B20)</f>
        <v>9.8272947368421057</v>
      </c>
    </row>
    <row r="21" spans="1:5" hidden="1" x14ac:dyDescent="0.25">
      <c r="A21" vm="37">
        <v>45691</v>
      </c>
      <c r="B21" vm="38">
        <v>9.7334999999999994</v>
      </c>
      <c r="C21" s="7">
        <f>AVERAGE(B2:B21)</f>
        <v>9.8226049999999994</v>
      </c>
      <c r="E21">
        <f>(B21 * (2/21)) + (B20 * (1 - (2/21)))</f>
        <v>9.902690476190477</v>
      </c>
    </row>
    <row r="22" spans="1:5" hidden="1" x14ac:dyDescent="0.25">
      <c r="A22" vm="39">
        <v>45692</v>
      </c>
      <c r="B22" vm="27">
        <v>9.9992999999999999</v>
      </c>
      <c r="C22" s="7">
        <f t="shared" ref="C22:C85" si="0">AVERAGE(B3:B22)</f>
        <v>9.8477050000000013</v>
      </c>
      <c r="E22">
        <f t="shared" ref="E22:E85" si="1">(B22 * (2/21)) + (B21 * (1 - (2/21)))</f>
        <v>9.7588142857142852</v>
      </c>
    </row>
    <row r="23" spans="1:5" hidden="1" x14ac:dyDescent="0.25">
      <c r="A23" vm="40">
        <v>45693</v>
      </c>
      <c r="B23" vm="19">
        <v>9.8515999999999995</v>
      </c>
      <c r="C23" s="7">
        <f t="shared" si="0"/>
        <v>9.854099999999999</v>
      </c>
      <c r="E23">
        <f t="shared" si="1"/>
        <v>9.9852333333333334</v>
      </c>
    </row>
    <row r="24" spans="1:5" hidden="1" x14ac:dyDescent="0.25">
      <c r="A24" vm="41">
        <v>45694</v>
      </c>
      <c r="B24" vm="42">
        <v>9.1135000000000002</v>
      </c>
      <c r="C24" s="7">
        <f t="shared" si="0"/>
        <v>9.8216199999999994</v>
      </c>
      <c r="E24">
        <f t="shared" si="1"/>
        <v>9.7813047619047619</v>
      </c>
    </row>
    <row r="25" spans="1:5" hidden="1" x14ac:dyDescent="0.25">
      <c r="A25" vm="43">
        <v>45695</v>
      </c>
      <c r="B25" vm="44">
        <v>9.0937999999999999</v>
      </c>
      <c r="C25" s="7">
        <f t="shared" si="0"/>
        <v>9.7960299999999982</v>
      </c>
      <c r="E25">
        <f t="shared" si="1"/>
        <v>9.1116238095238096</v>
      </c>
    </row>
    <row r="26" spans="1:5" hidden="1" x14ac:dyDescent="0.25">
      <c r="A26" vm="45">
        <v>45698</v>
      </c>
      <c r="B26" vm="44">
        <v>9.0937999999999999</v>
      </c>
      <c r="C26" s="7">
        <f t="shared" si="0"/>
        <v>9.7714249999999971</v>
      </c>
      <c r="E26">
        <f t="shared" si="1"/>
        <v>9.0937999999999999</v>
      </c>
    </row>
    <row r="27" spans="1:5" hidden="1" x14ac:dyDescent="0.25">
      <c r="A27" vm="46">
        <v>45699</v>
      </c>
      <c r="B27" vm="47">
        <v>9.0642999999999994</v>
      </c>
      <c r="C27" s="7">
        <f t="shared" si="0"/>
        <v>9.7497749999999979</v>
      </c>
      <c r="E27">
        <f t="shared" si="1"/>
        <v>9.0909904761904752</v>
      </c>
    </row>
    <row r="28" spans="1:5" hidden="1" x14ac:dyDescent="0.25">
      <c r="A28" vm="48">
        <v>45700</v>
      </c>
      <c r="B28" vm="49">
        <v>9.0839999999999996</v>
      </c>
      <c r="C28" s="7">
        <f t="shared" si="0"/>
        <v>9.7261549999999986</v>
      </c>
      <c r="E28">
        <f t="shared" si="1"/>
        <v>9.0661761904761899</v>
      </c>
    </row>
    <row r="29" spans="1:5" hidden="1" x14ac:dyDescent="0.25">
      <c r="A29" vm="50">
        <v>45701</v>
      </c>
      <c r="B29" vm="51">
        <v>9.2020999999999997</v>
      </c>
      <c r="C29" s="7">
        <f t="shared" si="0"/>
        <v>9.7049949999999985</v>
      </c>
      <c r="E29">
        <f t="shared" si="1"/>
        <v>9.095247619047619</v>
      </c>
    </row>
    <row r="30" spans="1:5" hidden="1" x14ac:dyDescent="0.25">
      <c r="A30" vm="52">
        <v>45702</v>
      </c>
      <c r="B30" vm="53">
        <v>9.33</v>
      </c>
      <c r="C30" s="7">
        <f t="shared" si="0"/>
        <v>9.6818649999999984</v>
      </c>
      <c r="E30">
        <f t="shared" si="1"/>
        <v>9.2142809523809515</v>
      </c>
    </row>
    <row r="31" spans="1:5" hidden="1" x14ac:dyDescent="0.25">
      <c r="A31" vm="54">
        <v>45706</v>
      </c>
      <c r="B31" vm="55">
        <v>9.2899999999999991</v>
      </c>
      <c r="C31" s="7">
        <f t="shared" si="0"/>
        <v>9.6537850000000009</v>
      </c>
      <c r="E31">
        <f t="shared" si="1"/>
        <v>9.3261904761904759</v>
      </c>
    </row>
    <row r="32" spans="1:5" hidden="1" x14ac:dyDescent="0.25">
      <c r="A32" vm="56">
        <v>45707</v>
      </c>
      <c r="B32" vm="57">
        <v>9.34</v>
      </c>
      <c r="C32" s="7">
        <f t="shared" si="0"/>
        <v>9.6198350000000019</v>
      </c>
      <c r="E32">
        <f t="shared" si="1"/>
        <v>9.2947619047619057</v>
      </c>
    </row>
    <row r="33" spans="1:5" hidden="1" x14ac:dyDescent="0.25">
      <c r="A33" vm="58">
        <v>45708</v>
      </c>
      <c r="B33" vm="59">
        <v>9.39</v>
      </c>
      <c r="C33" s="7">
        <f t="shared" si="0"/>
        <v>9.5760850000000026</v>
      </c>
      <c r="E33">
        <f t="shared" si="1"/>
        <v>9.3447619047619046</v>
      </c>
    </row>
    <row r="34" spans="1:5" hidden="1" x14ac:dyDescent="0.25">
      <c r="A34" vm="60">
        <v>45709</v>
      </c>
      <c r="B34" vm="61">
        <v>9.2799999999999994</v>
      </c>
      <c r="C34" s="7">
        <f t="shared" si="0"/>
        <v>9.5465200000000028</v>
      </c>
      <c r="E34">
        <f t="shared" si="1"/>
        <v>9.3795238095238087</v>
      </c>
    </row>
    <row r="35" spans="1:5" hidden="1" x14ac:dyDescent="0.25">
      <c r="A35" vm="62">
        <v>45712</v>
      </c>
      <c r="B35" vm="63">
        <v>9.35</v>
      </c>
      <c r="C35" s="7">
        <f t="shared" si="0"/>
        <v>9.5140550000000026</v>
      </c>
      <c r="E35">
        <f t="shared" si="1"/>
        <v>9.2866666666666671</v>
      </c>
    </row>
    <row r="36" spans="1:5" hidden="1" x14ac:dyDescent="0.25">
      <c r="A36" vm="64">
        <v>45713</v>
      </c>
      <c r="B36" vm="65">
        <v>9.42</v>
      </c>
      <c r="C36" s="7">
        <f t="shared" si="0"/>
        <v>9.4870600000000014</v>
      </c>
      <c r="E36">
        <f t="shared" si="1"/>
        <v>9.3566666666666656</v>
      </c>
    </row>
    <row r="37" spans="1:5" hidden="1" x14ac:dyDescent="0.25">
      <c r="A37" vm="66">
        <v>45714</v>
      </c>
      <c r="B37" vm="67">
        <v>9.4700000000000006</v>
      </c>
      <c r="C37" s="7">
        <f t="shared" si="0"/>
        <v>9.4497700000000009</v>
      </c>
      <c r="E37">
        <f t="shared" si="1"/>
        <v>9.4247619047619047</v>
      </c>
    </row>
    <row r="38" spans="1:5" hidden="1" x14ac:dyDescent="0.25">
      <c r="A38" vm="68">
        <v>45715</v>
      </c>
      <c r="B38" vm="55">
        <v>9.2899999999999991</v>
      </c>
      <c r="C38" s="7">
        <f t="shared" si="0"/>
        <v>9.4182450000000006</v>
      </c>
      <c r="E38">
        <f t="shared" si="1"/>
        <v>9.4528571428571446</v>
      </c>
    </row>
    <row r="39" spans="1:5" hidden="1" x14ac:dyDescent="0.25">
      <c r="A39" vm="69">
        <v>45716</v>
      </c>
      <c r="B39" vm="70">
        <v>9.5500000000000007</v>
      </c>
      <c r="C39" s="7">
        <f t="shared" si="0"/>
        <v>9.3933199999999992</v>
      </c>
      <c r="E39">
        <f t="shared" si="1"/>
        <v>9.3147619047619052</v>
      </c>
    </row>
    <row r="40" spans="1:5" hidden="1" x14ac:dyDescent="0.25">
      <c r="A40" vm="71">
        <v>45719</v>
      </c>
      <c r="B40" vm="59">
        <v>9.39</v>
      </c>
      <c r="C40" s="7">
        <f t="shared" si="0"/>
        <v>9.3667949999999998</v>
      </c>
      <c r="E40">
        <f t="shared" si="1"/>
        <v>9.5347619047619059</v>
      </c>
    </row>
    <row r="41" spans="1:5" hidden="1" x14ac:dyDescent="0.25">
      <c r="A41" vm="72">
        <v>45720</v>
      </c>
      <c r="B41" vm="73">
        <v>9.1199999999999992</v>
      </c>
      <c r="C41" s="7">
        <f t="shared" si="0"/>
        <v>9.3361199999999993</v>
      </c>
      <c r="E41">
        <f t="shared" si="1"/>
        <v>9.3642857142857139</v>
      </c>
    </row>
    <row r="42" spans="1:5" hidden="1" x14ac:dyDescent="0.25">
      <c r="A42" vm="74">
        <v>45721</v>
      </c>
      <c r="B42" vm="75">
        <v>9.65</v>
      </c>
      <c r="C42" s="7">
        <f t="shared" si="0"/>
        <v>9.3186549999999997</v>
      </c>
      <c r="E42">
        <f t="shared" si="1"/>
        <v>9.1704761904761902</v>
      </c>
    </row>
    <row r="43" spans="1:5" hidden="1" x14ac:dyDescent="0.25">
      <c r="A43" vm="76">
        <v>45722</v>
      </c>
      <c r="B43" vm="77">
        <v>9.61</v>
      </c>
      <c r="C43" s="7">
        <f t="shared" si="0"/>
        <v>9.3065750000000005</v>
      </c>
      <c r="E43">
        <f t="shared" si="1"/>
        <v>9.6461904761904762</v>
      </c>
    </row>
    <row r="44" spans="1:5" hidden="1" x14ac:dyDescent="0.25">
      <c r="A44" vm="78">
        <v>45723</v>
      </c>
      <c r="B44" vm="79">
        <v>9.9</v>
      </c>
      <c r="C44" s="7">
        <f t="shared" si="0"/>
        <v>9.3458999999999985</v>
      </c>
      <c r="E44">
        <f t="shared" si="1"/>
        <v>9.6376190476190473</v>
      </c>
    </row>
    <row r="45" spans="1:5" hidden="1" x14ac:dyDescent="0.25">
      <c r="A45" vm="80">
        <v>45726</v>
      </c>
      <c r="B45" vm="81">
        <v>9.9600000000000009</v>
      </c>
      <c r="C45" s="7">
        <f t="shared" si="0"/>
        <v>9.3892100000000003</v>
      </c>
      <c r="E45">
        <f t="shared" si="1"/>
        <v>9.9057142857142857</v>
      </c>
    </row>
    <row r="46" spans="1:5" hidden="1" x14ac:dyDescent="0.25">
      <c r="A46" vm="82">
        <v>45727</v>
      </c>
      <c r="B46" vm="83">
        <v>9.69</v>
      </c>
      <c r="C46" s="7">
        <f t="shared" si="0"/>
        <v>9.4190199999999997</v>
      </c>
      <c r="E46">
        <f t="shared" si="1"/>
        <v>9.9342857142857159</v>
      </c>
    </row>
    <row r="47" spans="1:5" hidden="1" x14ac:dyDescent="0.25">
      <c r="A47" vm="84">
        <v>45728</v>
      </c>
      <c r="B47" vm="85">
        <v>9.59</v>
      </c>
      <c r="C47" s="7">
        <f t="shared" si="0"/>
        <v>9.4453050000000012</v>
      </c>
      <c r="E47">
        <f t="shared" si="1"/>
        <v>9.68047619047619</v>
      </c>
    </row>
    <row r="48" spans="1:5" hidden="1" x14ac:dyDescent="0.25">
      <c r="A48" vm="86">
        <v>45729</v>
      </c>
      <c r="B48" vm="87">
        <v>9.5299999999999994</v>
      </c>
      <c r="C48" s="7">
        <f t="shared" si="0"/>
        <v>9.4676050000000007</v>
      </c>
      <c r="E48">
        <f t="shared" si="1"/>
        <v>9.5842857142857127</v>
      </c>
    </row>
    <row r="49" spans="1:6" hidden="1" x14ac:dyDescent="0.25">
      <c r="A49" vm="88">
        <v>45730</v>
      </c>
      <c r="B49" vm="89">
        <v>9.73</v>
      </c>
      <c r="C49" s="7">
        <f t="shared" si="0"/>
        <v>9.4940000000000015</v>
      </c>
      <c r="E49">
        <f t="shared" si="1"/>
        <v>9.5490476190476183</v>
      </c>
    </row>
    <row r="50" spans="1:6" hidden="1" x14ac:dyDescent="0.25">
      <c r="A50" vm="90">
        <v>45733</v>
      </c>
      <c r="B50" vm="91">
        <v>9.92</v>
      </c>
      <c r="C50" s="7">
        <f t="shared" si="0"/>
        <v>9.5235000000000003</v>
      </c>
      <c r="E50">
        <f t="shared" si="1"/>
        <v>9.7480952380952388</v>
      </c>
      <c r="F50">
        <f>AVERAGE(B1:B50)</f>
        <v>9.6072346938775492</v>
      </c>
    </row>
    <row r="51" spans="1:6" hidden="1" x14ac:dyDescent="0.25">
      <c r="A51" vm="92">
        <v>45734</v>
      </c>
      <c r="B51" vm="93">
        <v>9.9499999999999993</v>
      </c>
      <c r="C51" s="7">
        <f t="shared" si="0"/>
        <v>9.556499999999998</v>
      </c>
      <c r="D51">
        <f>AVERAGE(B2:B51)</f>
        <v>9.6140899999999974</v>
      </c>
      <c r="E51">
        <f t="shared" si="1"/>
        <v>9.9228571428571435</v>
      </c>
      <c r="F51">
        <f>(B51 * (2/51)) + (F50 * (1 - (2/51)))</f>
        <v>9.6206764705882346</v>
      </c>
    </row>
    <row r="52" spans="1:6" hidden="1" x14ac:dyDescent="0.25">
      <c r="A52" vm="94">
        <v>45735</v>
      </c>
      <c r="B52" vm="95">
        <v>10.17</v>
      </c>
      <c r="C52" s="7">
        <f t="shared" si="0"/>
        <v>9.597999999999999</v>
      </c>
      <c r="D52">
        <f t="shared" ref="D52:D115" si="2">AVERAGE(B3:B52)</f>
        <v>9.6275439999999985</v>
      </c>
      <c r="E52">
        <f t="shared" si="1"/>
        <v>9.9709523809523795</v>
      </c>
      <c r="F52">
        <f t="shared" ref="F52:F115" si="3">(B52 * (2/51)) + (F51 * (1 - (2/51)))</f>
        <v>9.6422185697808533</v>
      </c>
    </row>
    <row r="53" spans="1:6" hidden="1" x14ac:dyDescent="0.25">
      <c r="A53" vm="96">
        <v>45736</v>
      </c>
      <c r="B53" vm="97">
        <v>10.01</v>
      </c>
      <c r="C53" s="7">
        <f t="shared" si="0"/>
        <v>9.6289999999999978</v>
      </c>
      <c r="D53">
        <f t="shared" si="2"/>
        <v>9.6332699999999996</v>
      </c>
      <c r="E53">
        <f t="shared" si="1"/>
        <v>10.154761904761905</v>
      </c>
      <c r="F53">
        <f t="shared" si="3"/>
        <v>9.656641370965918</v>
      </c>
    </row>
    <row r="54" spans="1:6" hidden="1" x14ac:dyDescent="0.25">
      <c r="A54" vm="98">
        <v>45737</v>
      </c>
      <c r="B54" vm="99">
        <v>10</v>
      </c>
      <c r="C54" s="7">
        <f t="shared" si="0"/>
        <v>9.6649999999999974</v>
      </c>
      <c r="D54">
        <f t="shared" si="2"/>
        <v>9.6380079999999992</v>
      </c>
      <c r="E54">
        <f t="shared" si="1"/>
        <v>10.009047619047619</v>
      </c>
      <c r="F54">
        <f t="shared" si="3"/>
        <v>9.6701064152417651</v>
      </c>
    </row>
    <row r="55" spans="1:6" hidden="1" x14ac:dyDescent="0.25">
      <c r="A55" vm="100">
        <v>45740</v>
      </c>
      <c r="B55" vm="101">
        <v>10.25</v>
      </c>
      <c r="C55" s="7">
        <f t="shared" si="0"/>
        <v>9.7099999999999973</v>
      </c>
      <c r="D55">
        <f t="shared" si="2"/>
        <v>9.6508959999999995</v>
      </c>
      <c r="E55">
        <f t="shared" si="1"/>
        <v>10.023809523809524</v>
      </c>
      <c r="F55">
        <f t="shared" si="3"/>
        <v>9.6928473401342448</v>
      </c>
    </row>
    <row r="56" spans="1:6" hidden="1" x14ac:dyDescent="0.25">
      <c r="A56" vm="102">
        <v>45741</v>
      </c>
      <c r="B56" vm="103">
        <v>10.29</v>
      </c>
      <c r="C56" s="7">
        <f t="shared" si="0"/>
        <v>9.7534999999999989</v>
      </c>
      <c r="D56">
        <f t="shared" si="2"/>
        <v>9.6649779999999996</v>
      </c>
      <c r="E56">
        <f t="shared" si="1"/>
        <v>10.253809523809524</v>
      </c>
      <c r="F56">
        <f t="shared" si="3"/>
        <v>9.7162650915015298</v>
      </c>
    </row>
    <row r="57" spans="1:6" hidden="1" x14ac:dyDescent="0.25">
      <c r="A57" vm="104">
        <v>45742</v>
      </c>
      <c r="B57" vm="105">
        <v>10.3</v>
      </c>
      <c r="C57" s="7">
        <f t="shared" si="0"/>
        <v>9.7949999999999982</v>
      </c>
      <c r="D57">
        <f t="shared" si="2"/>
        <v>9.6810320000000001</v>
      </c>
      <c r="E57">
        <f t="shared" si="1"/>
        <v>10.29095238095238</v>
      </c>
      <c r="F57">
        <f t="shared" si="3"/>
        <v>9.7391566565406862</v>
      </c>
    </row>
    <row r="58" spans="1:6" hidden="1" x14ac:dyDescent="0.25">
      <c r="A58" vm="106">
        <v>45743</v>
      </c>
      <c r="B58" vm="79">
        <v>9.9</v>
      </c>
      <c r="C58" s="7">
        <f t="shared" si="0"/>
        <v>9.8255000000000017</v>
      </c>
      <c r="D58">
        <f t="shared" si="2"/>
        <v>9.6879039999999996</v>
      </c>
      <c r="E58">
        <f t="shared" si="1"/>
        <v>10.261904761904763</v>
      </c>
      <c r="F58">
        <f t="shared" si="3"/>
        <v>9.7454642386371297</v>
      </c>
    </row>
    <row r="59" spans="1:6" hidden="1" x14ac:dyDescent="0.25">
      <c r="A59" vm="107">
        <v>45744</v>
      </c>
      <c r="B59" vm="108">
        <v>9.7200000000000006</v>
      </c>
      <c r="C59" s="7">
        <f t="shared" si="0"/>
        <v>9.8339999999999996</v>
      </c>
      <c r="D59">
        <f t="shared" si="2"/>
        <v>9.6897979999999997</v>
      </c>
      <c r="E59">
        <f t="shared" si="1"/>
        <v>9.8828571428571426</v>
      </c>
      <c r="F59">
        <f t="shared" si="3"/>
        <v>9.7444656410435169</v>
      </c>
    </row>
    <row r="60" spans="1:6" hidden="1" x14ac:dyDescent="0.25">
      <c r="A60" vm="109">
        <v>45747</v>
      </c>
      <c r="B60" vm="110">
        <v>10.029999999999999</v>
      </c>
      <c r="C60" s="7">
        <f t="shared" si="0"/>
        <v>9.8660000000000014</v>
      </c>
      <c r="D60">
        <f t="shared" si="2"/>
        <v>9.6945459999999972</v>
      </c>
      <c r="E60">
        <f t="shared" si="1"/>
        <v>9.7495238095238097</v>
      </c>
      <c r="F60">
        <f t="shared" si="3"/>
        <v>9.7556630668849476</v>
      </c>
    </row>
    <row r="61" spans="1:6" hidden="1" x14ac:dyDescent="0.25">
      <c r="A61" vm="111">
        <v>45748</v>
      </c>
      <c r="B61" vm="112">
        <v>9.94</v>
      </c>
      <c r="C61" s="7">
        <f t="shared" si="0"/>
        <v>9.907</v>
      </c>
      <c r="D61">
        <f t="shared" si="2"/>
        <v>9.6963139999999992</v>
      </c>
      <c r="E61">
        <f t="shared" si="1"/>
        <v>10.021428571428572</v>
      </c>
      <c r="F61">
        <f t="shared" si="3"/>
        <v>9.762891966222794</v>
      </c>
    </row>
    <row r="62" spans="1:6" hidden="1" x14ac:dyDescent="0.25">
      <c r="A62" vm="113">
        <v>45749</v>
      </c>
      <c r="B62" vm="114">
        <v>10.15</v>
      </c>
      <c r="C62" s="7">
        <f t="shared" si="0"/>
        <v>9.9320000000000004</v>
      </c>
      <c r="D62">
        <f t="shared" si="2"/>
        <v>9.6989339999999977</v>
      </c>
      <c r="E62">
        <f t="shared" si="1"/>
        <v>9.9599999999999991</v>
      </c>
      <c r="F62">
        <f t="shared" si="3"/>
        <v>9.7780726734297438</v>
      </c>
    </row>
    <row r="63" spans="1:6" hidden="1" x14ac:dyDescent="0.25">
      <c r="A63" vm="115">
        <v>45750</v>
      </c>
      <c r="B63" vm="116">
        <v>9.5399999999999991</v>
      </c>
      <c r="C63" s="7">
        <f t="shared" si="0"/>
        <v>9.9285000000000014</v>
      </c>
      <c r="D63">
        <f t="shared" si="2"/>
        <v>9.6844339999999995</v>
      </c>
      <c r="E63">
        <f t="shared" si="1"/>
        <v>10.091904761904763</v>
      </c>
      <c r="F63">
        <f t="shared" si="3"/>
        <v>9.7687364901579894</v>
      </c>
    </row>
    <row r="64" spans="1:6" hidden="1" x14ac:dyDescent="0.25">
      <c r="A64" vm="117">
        <v>45751</v>
      </c>
      <c r="B64" vm="118">
        <v>9.58</v>
      </c>
      <c r="C64" s="7">
        <f t="shared" si="0"/>
        <v>9.9125000000000014</v>
      </c>
      <c r="D64">
        <f t="shared" si="2"/>
        <v>9.6786079999999988</v>
      </c>
      <c r="E64">
        <f t="shared" si="1"/>
        <v>9.5438095238095215</v>
      </c>
      <c r="F64">
        <f t="shared" si="3"/>
        <v>9.761335059171401</v>
      </c>
    </row>
    <row r="65" spans="1:6" hidden="1" x14ac:dyDescent="0.25">
      <c r="A65" vm="119">
        <v>45754</v>
      </c>
      <c r="B65" vm="120">
        <v>9.24</v>
      </c>
      <c r="C65" s="7">
        <f t="shared" si="0"/>
        <v>9.8765000000000018</v>
      </c>
      <c r="D65">
        <f t="shared" si="2"/>
        <v>9.6634219999999988</v>
      </c>
      <c r="E65">
        <f t="shared" si="1"/>
        <v>9.5476190476190492</v>
      </c>
      <c r="F65">
        <f t="shared" si="3"/>
        <v>9.7408905470470337</v>
      </c>
    </row>
    <row r="66" spans="1:6" hidden="1" x14ac:dyDescent="0.25">
      <c r="A66" vm="121">
        <v>45755</v>
      </c>
      <c r="B66" vm="122">
        <v>8.69</v>
      </c>
      <c r="C66" s="7">
        <f t="shared" si="0"/>
        <v>9.8265000000000011</v>
      </c>
      <c r="D66">
        <f t="shared" si="2"/>
        <v>9.6380239999999997</v>
      </c>
      <c r="E66">
        <f t="shared" si="1"/>
        <v>9.1876190476190462</v>
      </c>
      <c r="F66">
        <f t="shared" si="3"/>
        <v>9.6996791530451887</v>
      </c>
    </row>
    <row r="67" spans="1:6" hidden="1" x14ac:dyDescent="0.25">
      <c r="A67" vm="123">
        <v>45756</v>
      </c>
      <c r="B67" vm="124">
        <v>9.5</v>
      </c>
      <c r="C67" s="7">
        <f t="shared" si="0"/>
        <v>9.8219999999999992</v>
      </c>
      <c r="D67">
        <f t="shared" si="2"/>
        <v>9.6237080000000006</v>
      </c>
      <c r="E67">
        <f t="shared" si="1"/>
        <v>8.767142857142856</v>
      </c>
      <c r="F67">
        <f t="shared" si="3"/>
        <v>9.6918485980238103</v>
      </c>
    </row>
    <row r="68" spans="1:6" hidden="1" x14ac:dyDescent="0.25">
      <c r="A68" vm="125">
        <v>45757</v>
      </c>
      <c r="B68" vm="126">
        <v>9.14</v>
      </c>
      <c r="C68" s="7">
        <f t="shared" si="0"/>
        <v>9.8025000000000002</v>
      </c>
      <c r="D68">
        <f t="shared" si="2"/>
        <v>9.608098</v>
      </c>
      <c r="E68">
        <f t="shared" si="1"/>
        <v>9.4657142857142862</v>
      </c>
      <c r="F68">
        <f t="shared" si="3"/>
        <v>9.6702074765326813</v>
      </c>
    </row>
    <row r="69" spans="1:6" hidden="1" x14ac:dyDescent="0.25">
      <c r="A69" vm="127">
        <v>45758</v>
      </c>
      <c r="B69" vm="53">
        <v>9.33</v>
      </c>
      <c r="C69" s="7">
        <f t="shared" si="0"/>
        <v>9.7825000000000006</v>
      </c>
      <c r="D69">
        <f t="shared" si="2"/>
        <v>9.5937279999999987</v>
      </c>
      <c r="E69">
        <f t="shared" si="1"/>
        <v>9.1580952380952372</v>
      </c>
      <c r="F69">
        <f t="shared" si="3"/>
        <v>9.6568660068647318</v>
      </c>
    </row>
    <row r="70" spans="1:6" hidden="1" x14ac:dyDescent="0.25">
      <c r="A70" vm="128">
        <v>45761</v>
      </c>
      <c r="B70" vm="129">
        <v>9.7100000000000009</v>
      </c>
      <c r="C70" s="7">
        <f t="shared" si="0"/>
        <v>9.772000000000002</v>
      </c>
      <c r="D70">
        <f t="shared" si="2"/>
        <v>9.589518</v>
      </c>
      <c r="E70">
        <f t="shared" si="1"/>
        <v>9.3661904761904768</v>
      </c>
      <c r="F70">
        <f t="shared" si="3"/>
        <v>9.6589496928700367</v>
      </c>
    </row>
    <row r="71" spans="1:6" hidden="1" x14ac:dyDescent="0.25">
      <c r="A71" vm="130">
        <v>45762</v>
      </c>
      <c r="B71" vm="131">
        <v>9.4499999999999993</v>
      </c>
      <c r="C71" s="7">
        <f t="shared" si="0"/>
        <v>9.7470000000000034</v>
      </c>
      <c r="D71">
        <f t="shared" si="2"/>
        <v>9.5838479999999997</v>
      </c>
      <c r="E71">
        <f t="shared" si="1"/>
        <v>9.6852380952380965</v>
      </c>
      <c r="F71">
        <f t="shared" si="3"/>
        <v>9.650755587267291</v>
      </c>
    </row>
    <row r="72" spans="1:6" hidden="1" x14ac:dyDescent="0.25">
      <c r="A72" vm="132">
        <v>45763</v>
      </c>
      <c r="B72" vm="133">
        <v>9.4</v>
      </c>
      <c r="C72" s="7">
        <f t="shared" si="0"/>
        <v>9.708499999999999</v>
      </c>
      <c r="D72">
        <f t="shared" si="2"/>
        <v>9.5718619999999976</v>
      </c>
      <c r="E72">
        <f t="shared" si="1"/>
        <v>9.4452380952380945</v>
      </c>
      <c r="F72">
        <f t="shared" si="3"/>
        <v>9.6409220348254365</v>
      </c>
    </row>
    <row r="73" spans="1:6" hidden="1" x14ac:dyDescent="0.25">
      <c r="A73" vm="134">
        <v>45764</v>
      </c>
      <c r="B73" vm="135">
        <v>9.6300000000000008</v>
      </c>
      <c r="C73" s="7">
        <f t="shared" si="0"/>
        <v>9.6894999999999989</v>
      </c>
      <c r="D73">
        <f t="shared" si="2"/>
        <v>9.5674299999999981</v>
      </c>
      <c r="E73">
        <f t="shared" si="1"/>
        <v>9.4219047619047611</v>
      </c>
      <c r="F73">
        <f t="shared" si="3"/>
        <v>9.6404937197342431</v>
      </c>
    </row>
    <row r="74" spans="1:6" hidden="1" x14ac:dyDescent="0.25">
      <c r="A74" vm="136">
        <v>45768</v>
      </c>
      <c r="B74" vm="67">
        <v>9.4700000000000006</v>
      </c>
      <c r="C74" s="7">
        <f t="shared" si="0"/>
        <v>9.6630000000000003</v>
      </c>
      <c r="D74">
        <f t="shared" si="2"/>
        <v>9.5745599999999982</v>
      </c>
      <c r="E74">
        <f t="shared" si="1"/>
        <v>9.614761904761906</v>
      </c>
      <c r="F74">
        <f t="shared" si="3"/>
        <v>9.6338076915093716</v>
      </c>
    </row>
    <row r="75" spans="1:6" hidden="1" x14ac:dyDescent="0.25">
      <c r="A75" vm="137">
        <v>45769</v>
      </c>
      <c r="B75" vm="75">
        <v>9.65</v>
      </c>
      <c r="C75" s="7">
        <f t="shared" si="0"/>
        <v>9.6329999999999991</v>
      </c>
      <c r="D75">
        <f t="shared" si="2"/>
        <v>9.585683999999997</v>
      </c>
      <c r="E75">
        <f t="shared" si="1"/>
        <v>9.4871428571428584</v>
      </c>
      <c r="F75">
        <f t="shared" si="3"/>
        <v>9.6344426839992003</v>
      </c>
    </row>
    <row r="76" spans="1:6" hidden="1" x14ac:dyDescent="0.25">
      <c r="A76" vm="138">
        <v>45770</v>
      </c>
      <c r="B76" vm="139">
        <v>9.7799999999999994</v>
      </c>
      <c r="C76" s="7">
        <f t="shared" si="0"/>
        <v>9.6074999999999982</v>
      </c>
      <c r="D76">
        <f t="shared" si="2"/>
        <v>9.5994079999999968</v>
      </c>
      <c r="E76">
        <f t="shared" si="1"/>
        <v>9.6623809523809516</v>
      </c>
      <c r="F76">
        <f t="shared" si="3"/>
        <v>9.6401508140384475</v>
      </c>
    </row>
    <row r="77" spans="1:6" hidden="1" x14ac:dyDescent="0.25">
      <c r="A77" vm="140">
        <v>45771</v>
      </c>
      <c r="B77" vm="141">
        <v>10.06</v>
      </c>
      <c r="C77" s="7">
        <f t="shared" si="0"/>
        <v>9.5954999999999995</v>
      </c>
      <c r="D77">
        <f t="shared" si="2"/>
        <v>9.6193219999999968</v>
      </c>
      <c r="E77">
        <f t="shared" si="1"/>
        <v>9.8066666666666666</v>
      </c>
      <c r="F77">
        <f t="shared" si="3"/>
        <v>9.6566154879977244</v>
      </c>
    </row>
    <row r="78" spans="1:6" hidden="1" x14ac:dyDescent="0.25">
      <c r="A78" vm="142">
        <v>45772</v>
      </c>
      <c r="B78" vm="143">
        <v>10.039999999999999</v>
      </c>
      <c r="C78" s="7">
        <f t="shared" si="0"/>
        <v>9.6024999999999991</v>
      </c>
      <c r="D78">
        <f t="shared" si="2"/>
        <v>9.638441999999996</v>
      </c>
      <c r="E78">
        <f t="shared" si="1"/>
        <v>10.058095238095239</v>
      </c>
      <c r="F78">
        <f t="shared" si="3"/>
        <v>9.6716501747429131</v>
      </c>
    </row>
    <row r="79" spans="1:6" hidden="1" x14ac:dyDescent="0.25">
      <c r="A79" vm="144">
        <v>45775</v>
      </c>
      <c r="B79" vm="145">
        <v>10.02</v>
      </c>
      <c r="C79" s="7">
        <f t="shared" si="0"/>
        <v>9.6175000000000015</v>
      </c>
      <c r="D79">
        <f t="shared" si="2"/>
        <v>9.6547999999999963</v>
      </c>
      <c r="E79">
        <f t="shared" si="1"/>
        <v>10.038095238095236</v>
      </c>
      <c r="F79">
        <f t="shared" si="3"/>
        <v>9.6853109522039755</v>
      </c>
    </row>
    <row r="80" spans="1:6" hidden="1" x14ac:dyDescent="0.25">
      <c r="A80" vm="146">
        <v>45776</v>
      </c>
      <c r="B80" vm="114">
        <v>10.15</v>
      </c>
      <c r="C80" s="7">
        <f t="shared" si="0"/>
        <v>9.6235000000000017</v>
      </c>
      <c r="D80">
        <f t="shared" si="2"/>
        <v>9.6711999999999954</v>
      </c>
      <c r="E80">
        <f t="shared" si="1"/>
        <v>10.032380952380953</v>
      </c>
      <c r="F80">
        <f t="shared" si="3"/>
        <v>9.7035340521175453</v>
      </c>
    </row>
    <row r="81" spans="1:6" hidden="1" x14ac:dyDescent="0.25">
      <c r="A81" vm="147">
        <v>45777</v>
      </c>
      <c r="B81" vm="97">
        <v>10.01</v>
      </c>
      <c r="C81" s="7">
        <f t="shared" si="0"/>
        <v>9.6269999999999989</v>
      </c>
      <c r="D81">
        <f t="shared" si="2"/>
        <v>9.6855999999999955</v>
      </c>
      <c r="E81">
        <f t="shared" si="1"/>
        <v>10.136666666666667</v>
      </c>
      <c r="F81">
        <f t="shared" si="3"/>
        <v>9.7155523245835234</v>
      </c>
    </row>
    <row r="82" spans="1:6" hidden="1" x14ac:dyDescent="0.25">
      <c r="A82" vm="148">
        <v>45778</v>
      </c>
      <c r="B82" vm="149">
        <v>10.18</v>
      </c>
      <c r="C82" s="7">
        <f t="shared" si="0"/>
        <v>9.6284999999999989</v>
      </c>
      <c r="D82">
        <f t="shared" si="2"/>
        <v>9.7023999999999972</v>
      </c>
      <c r="E82">
        <f t="shared" si="1"/>
        <v>10.026190476190475</v>
      </c>
      <c r="F82">
        <f t="shared" si="3"/>
        <v>9.7337659589135814</v>
      </c>
    </row>
    <row r="83" spans="1:6" hidden="1" x14ac:dyDescent="0.25">
      <c r="A83" vm="150">
        <v>45779</v>
      </c>
      <c r="B83" vm="151">
        <v>10.28</v>
      </c>
      <c r="C83" s="7">
        <f t="shared" si="0"/>
        <v>9.6654999999999998</v>
      </c>
      <c r="D83">
        <f t="shared" si="2"/>
        <v>9.7201999999999948</v>
      </c>
      <c r="E83">
        <f t="shared" si="1"/>
        <v>10.189523809523809</v>
      </c>
      <c r="F83">
        <f t="shared" si="3"/>
        <v>9.7551869017012844</v>
      </c>
    </row>
    <row r="84" spans="1:6" hidden="1" x14ac:dyDescent="0.25">
      <c r="A84" vm="152">
        <v>45782</v>
      </c>
      <c r="B84" vm="95">
        <v>10.17</v>
      </c>
      <c r="C84" s="7">
        <f t="shared" si="0"/>
        <v>9.6950000000000003</v>
      </c>
      <c r="D84">
        <f t="shared" si="2"/>
        <v>9.737999999999996</v>
      </c>
      <c r="E84">
        <f t="shared" si="1"/>
        <v>10.269523809523809</v>
      </c>
      <c r="F84">
        <f t="shared" si="3"/>
        <v>9.7714540820267235</v>
      </c>
    </row>
    <row r="85" spans="1:6" hidden="1" x14ac:dyDescent="0.25">
      <c r="A85" vm="153">
        <v>45783</v>
      </c>
      <c r="B85" vm="154">
        <v>10.44</v>
      </c>
      <c r="C85" s="7">
        <f t="shared" si="0"/>
        <v>9.754999999999999</v>
      </c>
      <c r="D85">
        <f t="shared" si="2"/>
        <v>9.7597999999999967</v>
      </c>
      <c r="E85">
        <f t="shared" si="1"/>
        <v>10.195714285714287</v>
      </c>
      <c r="F85">
        <f t="shared" si="3"/>
        <v>9.7976715690060683</v>
      </c>
    </row>
    <row r="86" spans="1:6" hidden="1" x14ac:dyDescent="0.25">
      <c r="A86" vm="155">
        <v>45784</v>
      </c>
      <c r="B86" vm="151">
        <v>10.28</v>
      </c>
      <c r="C86" s="7">
        <f t="shared" ref="C86:C149" si="4">AVERAGE(B67:B86)</f>
        <v>9.8344999999999985</v>
      </c>
      <c r="D86">
        <f t="shared" si="2"/>
        <v>9.7769999999999957</v>
      </c>
      <c r="E86">
        <f t="shared" ref="E86:E149" si="5">(B86 * (2/21)) + (B85 * (1 - (2/21)))</f>
        <v>10.424761904761905</v>
      </c>
      <c r="F86">
        <f t="shared" si="3"/>
        <v>9.8165864094372033</v>
      </c>
    </row>
    <row r="87" spans="1:6" hidden="1" x14ac:dyDescent="0.25">
      <c r="A87" vm="156">
        <v>45785</v>
      </c>
      <c r="B87" vm="151">
        <v>10.28</v>
      </c>
      <c r="C87" s="7">
        <f t="shared" si="4"/>
        <v>9.8734999999999999</v>
      </c>
      <c r="D87">
        <f t="shared" si="2"/>
        <v>9.7931999999999952</v>
      </c>
      <c r="E87">
        <f t="shared" si="5"/>
        <v>10.280000000000001</v>
      </c>
      <c r="F87">
        <f t="shared" si="3"/>
        <v>9.8347594914200585</v>
      </c>
    </row>
    <row r="88" spans="1:6" hidden="1" x14ac:dyDescent="0.25">
      <c r="A88" vm="157">
        <v>45786</v>
      </c>
      <c r="B88" vm="158">
        <v>10.43</v>
      </c>
      <c r="C88" s="7">
        <f t="shared" si="4"/>
        <v>9.9380000000000006</v>
      </c>
      <c r="D88">
        <f t="shared" si="2"/>
        <v>9.8159999999999972</v>
      </c>
      <c r="E88">
        <f t="shared" si="5"/>
        <v>10.294285714285715</v>
      </c>
      <c r="F88">
        <f t="shared" si="3"/>
        <v>9.8581022564624092</v>
      </c>
    </row>
    <row r="89" spans="1:6" hidden="1" x14ac:dyDescent="0.25">
      <c r="A89" vm="159">
        <v>45789</v>
      </c>
      <c r="B89" vm="160">
        <v>10.55</v>
      </c>
      <c r="C89" s="7">
        <f t="shared" si="4"/>
        <v>9.9990000000000006</v>
      </c>
      <c r="D89">
        <f t="shared" si="2"/>
        <v>9.8359999999999967</v>
      </c>
      <c r="E89">
        <f t="shared" si="5"/>
        <v>10.44142857142857</v>
      </c>
      <c r="F89">
        <f t="shared" si="3"/>
        <v>9.8852355013070206</v>
      </c>
    </row>
    <row r="90" spans="1:6" hidden="1" x14ac:dyDescent="0.25">
      <c r="A90" vm="161">
        <v>45790</v>
      </c>
      <c r="B90" vm="162">
        <v>10.6</v>
      </c>
      <c r="C90" s="7">
        <f t="shared" si="4"/>
        <v>10.0435</v>
      </c>
      <c r="D90">
        <f t="shared" si="2"/>
        <v>9.8601999999999972</v>
      </c>
      <c r="E90">
        <f t="shared" si="5"/>
        <v>10.554761904761905</v>
      </c>
      <c r="F90">
        <f t="shared" si="3"/>
        <v>9.9132654816479224</v>
      </c>
    </row>
    <row r="91" spans="1:6" hidden="1" x14ac:dyDescent="0.25">
      <c r="A91" vm="163">
        <v>45791</v>
      </c>
      <c r="B91" vm="164">
        <v>10.65</v>
      </c>
      <c r="C91" s="7">
        <f t="shared" si="4"/>
        <v>10.1035</v>
      </c>
      <c r="D91">
        <f t="shared" si="2"/>
        <v>9.8907999999999969</v>
      </c>
      <c r="E91">
        <f t="shared" si="5"/>
        <v>10.604761904761904</v>
      </c>
      <c r="F91">
        <f t="shared" si="3"/>
        <v>9.9421570313872198</v>
      </c>
    </row>
    <row r="92" spans="1:6" hidden="1" x14ac:dyDescent="0.25">
      <c r="A92" vm="165">
        <v>45792</v>
      </c>
      <c r="B92" vm="166">
        <v>10.75</v>
      </c>
      <c r="C92" s="7">
        <f t="shared" si="4"/>
        <v>10.171000000000003</v>
      </c>
      <c r="D92">
        <f t="shared" si="2"/>
        <v>9.9127999999999972</v>
      </c>
      <c r="E92">
        <f t="shared" si="5"/>
        <v>10.65952380952381</v>
      </c>
      <c r="F92">
        <f t="shared" si="3"/>
        <v>9.9738371478034082</v>
      </c>
    </row>
    <row r="93" spans="1:6" hidden="1" x14ac:dyDescent="0.25">
      <c r="A93" vm="167">
        <v>45793</v>
      </c>
      <c r="B93" vm="168">
        <v>10.8</v>
      </c>
      <c r="C93" s="7">
        <f t="shared" si="4"/>
        <v>10.229500000000002</v>
      </c>
      <c r="D93">
        <f t="shared" si="2"/>
        <v>9.9365999999999985</v>
      </c>
      <c r="E93">
        <f t="shared" si="5"/>
        <v>10.754761904761905</v>
      </c>
      <c r="F93">
        <f t="shared" si="3"/>
        <v>10.006235691026804</v>
      </c>
    </row>
    <row r="94" spans="1:6" hidden="1" x14ac:dyDescent="0.25">
      <c r="A94" vm="169">
        <v>45796</v>
      </c>
      <c r="B94" vm="166">
        <v>10.75</v>
      </c>
      <c r="C94" s="7">
        <f t="shared" si="4"/>
        <v>10.2935</v>
      </c>
      <c r="D94">
        <f t="shared" si="2"/>
        <v>9.9535999999999998</v>
      </c>
      <c r="E94">
        <f t="shared" si="5"/>
        <v>10.795238095238096</v>
      </c>
      <c r="F94">
        <f t="shared" si="3"/>
        <v>10.035402918829675</v>
      </c>
    </row>
    <row r="95" spans="1:6" hidden="1" x14ac:dyDescent="0.25">
      <c r="A95" vm="170">
        <v>45797</v>
      </c>
      <c r="B95" vm="171">
        <v>10.72</v>
      </c>
      <c r="C95" s="7">
        <f t="shared" si="4"/>
        <v>10.347000000000001</v>
      </c>
      <c r="D95">
        <f t="shared" si="2"/>
        <v>9.9687999999999981</v>
      </c>
      <c r="E95">
        <f t="shared" si="5"/>
        <v>10.747142857142858</v>
      </c>
      <c r="F95">
        <f t="shared" si="3"/>
        <v>10.062249863189296</v>
      </c>
    </row>
    <row r="96" spans="1:6" hidden="1" x14ac:dyDescent="0.25">
      <c r="A96" vm="172">
        <v>45798</v>
      </c>
      <c r="B96" vm="173">
        <v>10.48</v>
      </c>
      <c r="C96" s="7">
        <f t="shared" si="4"/>
        <v>10.382000000000001</v>
      </c>
      <c r="D96">
        <f t="shared" si="2"/>
        <v>9.9846000000000004</v>
      </c>
      <c r="E96">
        <f t="shared" si="5"/>
        <v>10.697142857142859</v>
      </c>
      <c r="F96">
        <f t="shared" si="3"/>
        <v>10.078632221495598</v>
      </c>
    </row>
    <row r="97" spans="1:6" hidden="1" x14ac:dyDescent="0.25">
      <c r="A97" vm="174">
        <v>45799</v>
      </c>
      <c r="B97" vm="154">
        <v>10.44</v>
      </c>
      <c r="C97" s="7">
        <f t="shared" si="4"/>
        <v>10.401</v>
      </c>
      <c r="D97">
        <f t="shared" si="2"/>
        <v>10.001599999999998</v>
      </c>
      <c r="E97">
        <f t="shared" si="5"/>
        <v>10.476190476190476</v>
      </c>
      <c r="F97">
        <f t="shared" si="3"/>
        <v>10.092803506927144</v>
      </c>
    </row>
    <row r="98" spans="1:6" hidden="1" x14ac:dyDescent="0.25">
      <c r="A98" vm="175">
        <v>45800</v>
      </c>
      <c r="B98" vm="176">
        <v>10.36</v>
      </c>
      <c r="C98" s="7">
        <f t="shared" si="4"/>
        <v>10.416999999999998</v>
      </c>
      <c r="D98">
        <f t="shared" si="2"/>
        <v>10.0182</v>
      </c>
      <c r="E98">
        <f t="shared" si="5"/>
        <v>10.432380952380951</v>
      </c>
      <c r="F98">
        <f t="shared" si="3"/>
        <v>10.103281800773138</v>
      </c>
    </row>
    <row r="99" spans="1:6" hidden="1" x14ac:dyDescent="0.25">
      <c r="A99" vm="177">
        <v>45804</v>
      </c>
      <c r="B99" vm="178">
        <v>10.31</v>
      </c>
      <c r="C99" s="7">
        <f t="shared" si="4"/>
        <v>10.4315</v>
      </c>
      <c r="D99">
        <f t="shared" si="2"/>
        <v>10.0298</v>
      </c>
      <c r="E99">
        <f t="shared" si="5"/>
        <v>10.355238095238095</v>
      </c>
      <c r="F99">
        <f t="shared" si="3"/>
        <v>10.111388396821249</v>
      </c>
    </row>
    <row r="100" spans="1:6" hidden="1" x14ac:dyDescent="0.25">
      <c r="A100" vm="179">
        <v>45805</v>
      </c>
      <c r="B100" vm="95">
        <v>10.17</v>
      </c>
      <c r="C100" s="7">
        <f t="shared" si="4"/>
        <v>10.432499999999997</v>
      </c>
      <c r="D100">
        <f t="shared" si="2"/>
        <v>10.034800000000001</v>
      </c>
      <c r="E100">
        <f t="shared" si="5"/>
        <v>10.296666666666667</v>
      </c>
      <c r="F100">
        <f t="shared" si="3"/>
        <v>10.113686891063553</v>
      </c>
    </row>
    <row r="101" spans="1:6" hidden="1" x14ac:dyDescent="0.25">
      <c r="A101" vm="180">
        <v>45806</v>
      </c>
      <c r="B101" vm="181">
        <v>10.220000000000001</v>
      </c>
      <c r="C101" s="7">
        <f t="shared" si="4"/>
        <v>10.442999999999998</v>
      </c>
      <c r="D101">
        <f t="shared" si="2"/>
        <v>10.040200000000002</v>
      </c>
      <c r="E101">
        <f t="shared" si="5"/>
        <v>10.174761904761905</v>
      </c>
      <c r="F101">
        <f t="shared" si="3"/>
        <v>10.117856032590472</v>
      </c>
    </row>
    <row r="102" spans="1:6" hidden="1" x14ac:dyDescent="0.25">
      <c r="A102" vm="182">
        <v>45807</v>
      </c>
      <c r="B102" vm="183">
        <v>10.38</v>
      </c>
      <c r="C102" s="7">
        <f t="shared" si="4"/>
        <v>10.452999999999999</v>
      </c>
      <c r="D102">
        <f t="shared" si="2"/>
        <v>10.044400000000001</v>
      </c>
      <c r="E102">
        <f t="shared" si="5"/>
        <v>10.235238095238097</v>
      </c>
      <c r="F102">
        <f t="shared" si="3"/>
        <v>10.128136188175159</v>
      </c>
    </row>
    <row r="103" spans="1:6" hidden="1" x14ac:dyDescent="0.25">
      <c r="A103" vm="184">
        <v>45810</v>
      </c>
      <c r="B103" vm="185">
        <v>9.98</v>
      </c>
      <c r="C103" s="7">
        <f t="shared" si="4"/>
        <v>10.437999999999999</v>
      </c>
      <c r="D103">
        <f t="shared" si="2"/>
        <v>10.043800000000001</v>
      </c>
      <c r="E103">
        <f t="shared" si="5"/>
        <v>10.341904761904761</v>
      </c>
      <c r="F103">
        <f t="shared" si="3"/>
        <v>10.122326925893779</v>
      </c>
    </row>
    <row r="104" spans="1:6" hidden="1" x14ac:dyDescent="0.25">
      <c r="A104" vm="186">
        <v>45811</v>
      </c>
      <c r="B104" vm="187">
        <v>10.19</v>
      </c>
      <c r="C104" s="7">
        <f t="shared" si="4"/>
        <v>10.439</v>
      </c>
      <c r="D104">
        <f t="shared" si="2"/>
        <v>10.047600000000003</v>
      </c>
      <c r="E104">
        <f t="shared" si="5"/>
        <v>10.000000000000002</v>
      </c>
      <c r="F104">
        <f t="shared" si="3"/>
        <v>10.12498077193716</v>
      </c>
    </row>
    <row r="105" spans="1:6" hidden="1" x14ac:dyDescent="0.25">
      <c r="A105" vm="188">
        <v>45812</v>
      </c>
      <c r="B105" vm="189">
        <v>10.24</v>
      </c>
      <c r="C105" s="7">
        <f t="shared" si="4"/>
        <v>10.428999999999998</v>
      </c>
      <c r="D105">
        <f t="shared" si="2"/>
        <v>10.047400000000001</v>
      </c>
      <c r="E105">
        <f t="shared" si="5"/>
        <v>10.194761904761904</v>
      </c>
      <c r="F105">
        <f t="shared" si="3"/>
        <v>10.129491329900409</v>
      </c>
    </row>
    <row r="106" spans="1:6" hidden="1" x14ac:dyDescent="0.25">
      <c r="A106" vm="190">
        <v>45813</v>
      </c>
      <c r="B106" vm="191">
        <v>10.1</v>
      </c>
      <c r="C106" s="7">
        <f t="shared" si="4"/>
        <v>10.419999999999998</v>
      </c>
      <c r="D106">
        <f t="shared" si="2"/>
        <v>10.043600000000003</v>
      </c>
      <c r="E106">
        <f t="shared" si="5"/>
        <v>10.226666666666667</v>
      </c>
      <c r="F106">
        <f t="shared" si="3"/>
        <v>10.128334807159217</v>
      </c>
    </row>
    <row r="107" spans="1:6" hidden="1" x14ac:dyDescent="0.25">
      <c r="A107" vm="192">
        <v>45814</v>
      </c>
      <c r="B107" vm="193">
        <v>10.26</v>
      </c>
      <c r="C107" s="7">
        <f t="shared" si="4"/>
        <v>10.418999999999999</v>
      </c>
      <c r="D107">
        <f t="shared" si="2"/>
        <v>10.042800000000002</v>
      </c>
      <c r="E107">
        <f t="shared" si="5"/>
        <v>10.115238095238094</v>
      </c>
      <c r="F107">
        <f t="shared" si="3"/>
        <v>10.133498148054933</v>
      </c>
    </row>
    <row r="108" spans="1:6" hidden="1" x14ac:dyDescent="0.25">
      <c r="A108" vm="194">
        <v>45817</v>
      </c>
      <c r="B108" vm="195">
        <v>10.34</v>
      </c>
      <c r="C108" s="7">
        <f t="shared" si="4"/>
        <v>10.4145</v>
      </c>
      <c r="D108">
        <f t="shared" si="2"/>
        <v>10.051600000000002</v>
      </c>
      <c r="E108">
        <f t="shared" si="5"/>
        <v>10.267619047619048</v>
      </c>
      <c r="F108">
        <f t="shared" si="3"/>
        <v>10.141596259895918</v>
      </c>
    </row>
    <row r="109" spans="1:6" hidden="1" x14ac:dyDescent="0.25">
      <c r="A109" vm="196">
        <v>45818</v>
      </c>
      <c r="B109" vm="162">
        <v>10.6</v>
      </c>
      <c r="C109" s="7">
        <f t="shared" si="4"/>
        <v>10.416999999999998</v>
      </c>
      <c r="D109">
        <f t="shared" si="2"/>
        <v>10.069200000000002</v>
      </c>
      <c r="E109">
        <f t="shared" si="5"/>
        <v>10.364761904761904</v>
      </c>
      <c r="F109">
        <f t="shared" si="3"/>
        <v>10.159572877154902</v>
      </c>
    </row>
    <row r="110" spans="1:6" hidden="1" x14ac:dyDescent="0.25">
      <c r="A110" vm="197">
        <v>45819</v>
      </c>
      <c r="B110" vm="198">
        <v>10.66</v>
      </c>
      <c r="C110" s="7">
        <f t="shared" si="4"/>
        <v>10.419999999999998</v>
      </c>
      <c r="D110">
        <f t="shared" si="2"/>
        <v>10.081800000000005</v>
      </c>
      <c r="E110">
        <f t="shared" si="5"/>
        <v>10.605714285714285</v>
      </c>
      <c r="F110">
        <f t="shared" si="3"/>
        <v>10.179197470207651</v>
      </c>
    </row>
    <row r="111" spans="1:6" hidden="1" x14ac:dyDescent="0.25">
      <c r="A111" vm="199">
        <v>45820</v>
      </c>
      <c r="B111" vm="200">
        <v>10.53</v>
      </c>
      <c r="C111" s="7">
        <f t="shared" si="4"/>
        <v>10.414</v>
      </c>
      <c r="D111">
        <f t="shared" si="2"/>
        <v>10.093600000000002</v>
      </c>
      <c r="E111">
        <f t="shared" si="5"/>
        <v>10.647619047619049</v>
      </c>
      <c r="F111">
        <f t="shared" si="3"/>
        <v>10.192954432160292</v>
      </c>
    </row>
    <row r="112" spans="1:6" hidden="1" x14ac:dyDescent="0.25">
      <c r="A112" vm="201">
        <v>45821</v>
      </c>
      <c r="B112" vm="158">
        <v>10.43</v>
      </c>
      <c r="C112" s="7">
        <f t="shared" si="4"/>
        <v>10.398</v>
      </c>
      <c r="D112">
        <f t="shared" si="2"/>
        <v>10.099200000000003</v>
      </c>
      <c r="E112">
        <f t="shared" si="5"/>
        <v>10.52047619047619</v>
      </c>
      <c r="F112">
        <f t="shared" si="3"/>
        <v>10.202250336781457</v>
      </c>
    </row>
    <row r="113" spans="1:6" hidden="1" x14ac:dyDescent="0.25">
      <c r="A113" vm="202">
        <v>45824</v>
      </c>
      <c r="B113" vm="203">
        <v>10.62</v>
      </c>
      <c r="C113" s="7">
        <f t="shared" si="4"/>
        <v>10.388999999999999</v>
      </c>
      <c r="D113">
        <f t="shared" si="2"/>
        <v>10.120800000000003</v>
      </c>
      <c r="E113">
        <f t="shared" si="5"/>
        <v>10.448095238095236</v>
      </c>
      <c r="F113">
        <f t="shared" si="3"/>
        <v>10.218632676515517</v>
      </c>
    </row>
    <row r="114" spans="1:6" hidden="1" x14ac:dyDescent="0.25">
      <c r="A114" vm="204">
        <v>45825</v>
      </c>
      <c r="B114" vm="205">
        <v>10.42</v>
      </c>
      <c r="C114" s="7">
        <f t="shared" si="4"/>
        <v>10.372499999999999</v>
      </c>
      <c r="D114">
        <f t="shared" si="2"/>
        <v>10.137600000000003</v>
      </c>
      <c r="E114">
        <f t="shared" si="5"/>
        <v>10.60095238095238</v>
      </c>
      <c r="F114">
        <f t="shared" si="3"/>
        <v>10.226529434299222</v>
      </c>
    </row>
    <row r="115" spans="1:6" hidden="1" x14ac:dyDescent="0.25">
      <c r="A115" vm="206">
        <v>45826</v>
      </c>
      <c r="B115" vm="158">
        <v>10.43</v>
      </c>
      <c r="C115" s="7">
        <f t="shared" si="4"/>
        <v>10.358000000000001</v>
      </c>
      <c r="D115">
        <f t="shared" si="2"/>
        <v>10.161400000000004</v>
      </c>
      <c r="E115">
        <f t="shared" si="5"/>
        <v>10.420952380952382</v>
      </c>
      <c r="F115">
        <f t="shared" si="3"/>
        <v>10.23450867216984</v>
      </c>
    </row>
    <row r="116" spans="1:6" hidden="1" x14ac:dyDescent="0.25">
      <c r="A116" vm="207">
        <v>45828</v>
      </c>
      <c r="B116" vm="208">
        <v>10.59</v>
      </c>
      <c r="C116" s="7">
        <f t="shared" si="4"/>
        <v>10.3635</v>
      </c>
      <c r="D116">
        <f t="shared" ref="D116:D179" si="6">AVERAGE(B67:B116)</f>
        <v>10.199400000000002</v>
      </c>
      <c r="E116">
        <f t="shared" si="5"/>
        <v>10.445238095238095</v>
      </c>
      <c r="F116">
        <f t="shared" ref="F116:F179" si="7">(B116 * (2/51)) + (F115 * (1 - (2/51)))</f>
        <v>10.248449508555337</v>
      </c>
    </row>
    <row r="117" spans="1:6" hidden="1" x14ac:dyDescent="0.25">
      <c r="A117" vm="209">
        <v>45831</v>
      </c>
      <c r="B117" vm="166">
        <v>10.75</v>
      </c>
      <c r="C117" s="7">
        <f t="shared" si="4"/>
        <v>10.379000000000001</v>
      </c>
      <c r="D117">
        <f t="shared" si="6"/>
        <v>10.224400000000003</v>
      </c>
      <c r="E117">
        <f t="shared" si="5"/>
        <v>10.605238095238095</v>
      </c>
      <c r="F117">
        <f t="shared" si="7"/>
        <v>10.268118155278659</v>
      </c>
    </row>
    <row r="118" spans="1:6" hidden="1" x14ac:dyDescent="0.25">
      <c r="A118" vm="210">
        <v>45832</v>
      </c>
      <c r="B118" vm="211">
        <v>10.73</v>
      </c>
      <c r="C118" s="7">
        <f t="shared" si="4"/>
        <v>10.397499999999999</v>
      </c>
      <c r="D118">
        <f t="shared" si="6"/>
        <v>10.256200000000003</v>
      </c>
      <c r="E118">
        <f t="shared" si="5"/>
        <v>10.748095238095239</v>
      </c>
      <c r="F118">
        <f t="shared" si="7"/>
        <v>10.286231168797142</v>
      </c>
    </row>
    <row r="119" spans="1:6" hidden="1" x14ac:dyDescent="0.25">
      <c r="A119" vm="212">
        <v>45833</v>
      </c>
      <c r="B119" vm="173">
        <v>10.48</v>
      </c>
      <c r="C119" s="7">
        <f t="shared" si="4"/>
        <v>10.405999999999999</v>
      </c>
      <c r="D119">
        <f t="shared" si="6"/>
        <v>10.279200000000003</v>
      </c>
      <c r="E119">
        <f t="shared" si="5"/>
        <v>10.706190476190477</v>
      </c>
      <c r="F119">
        <f t="shared" si="7"/>
        <v>10.293829946491371</v>
      </c>
    </row>
    <row r="120" spans="1:6" hidden="1" x14ac:dyDescent="0.25">
      <c r="A120" vm="213">
        <v>45834</v>
      </c>
      <c r="B120" vm="214">
        <v>10.63</v>
      </c>
      <c r="C120" s="7">
        <f t="shared" si="4"/>
        <v>10.428999999999998</v>
      </c>
      <c r="D120">
        <f t="shared" si="6"/>
        <v>10.297600000000005</v>
      </c>
      <c r="E120">
        <f t="shared" si="5"/>
        <v>10.494285714285715</v>
      </c>
      <c r="F120">
        <f t="shared" si="7"/>
        <v>10.30701308584465</v>
      </c>
    </row>
    <row r="121" spans="1:6" hidden="1" x14ac:dyDescent="0.25">
      <c r="A121" vm="215">
        <v>45835</v>
      </c>
      <c r="B121" vm="168">
        <v>10.8</v>
      </c>
      <c r="C121" s="7">
        <f t="shared" si="4"/>
        <v>10.457999999999998</v>
      </c>
      <c r="D121">
        <f t="shared" si="6"/>
        <v>10.324600000000002</v>
      </c>
      <c r="E121">
        <f t="shared" si="5"/>
        <v>10.646190476190476</v>
      </c>
      <c r="F121">
        <f t="shared" si="7"/>
        <v>10.326345906007605</v>
      </c>
    </row>
    <row r="122" spans="1:6" hidden="1" x14ac:dyDescent="0.25">
      <c r="A122" vm="216">
        <v>45838</v>
      </c>
      <c r="B122" vm="217">
        <v>10.85</v>
      </c>
      <c r="C122" s="7">
        <f t="shared" si="4"/>
        <v>10.481499999999999</v>
      </c>
      <c r="D122">
        <f t="shared" si="6"/>
        <v>10.353600000000004</v>
      </c>
      <c r="E122">
        <f t="shared" si="5"/>
        <v>10.804761904761905</v>
      </c>
      <c r="F122">
        <f t="shared" si="7"/>
        <v>10.346881360673974</v>
      </c>
    </row>
    <row r="123" spans="1:6" hidden="1" x14ac:dyDescent="0.25">
      <c r="A123" vm="218">
        <v>45839</v>
      </c>
      <c r="B123" vm="219">
        <v>11.35</v>
      </c>
      <c r="C123" s="7">
        <f t="shared" si="4"/>
        <v>10.549999999999999</v>
      </c>
      <c r="D123">
        <f t="shared" si="6"/>
        <v>10.388000000000003</v>
      </c>
      <c r="E123">
        <f t="shared" si="5"/>
        <v>10.897619047619047</v>
      </c>
      <c r="F123">
        <f t="shared" si="7"/>
        <v>10.386219346529897</v>
      </c>
    </row>
    <row r="124" spans="1:6" hidden="1" x14ac:dyDescent="0.25">
      <c r="A124" vm="220">
        <v>45840</v>
      </c>
      <c r="B124" vm="221">
        <v>11.77</v>
      </c>
      <c r="C124" s="7">
        <f t="shared" si="4"/>
        <v>10.629</v>
      </c>
      <c r="D124">
        <f t="shared" si="6"/>
        <v>10.434000000000003</v>
      </c>
      <c r="E124">
        <f t="shared" si="5"/>
        <v>11.39</v>
      </c>
      <c r="F124">
        <f t="shared" si="7"/>
        <v>10.440485254509117</v>
      </c>
    </row>
    <row r="125" spans="1:6" hidden="1" x14ac:dyDescent="0.25">
      <c r="A125" vm="222">
        <v>45841</v>
      </c>
      <c r="B125" vm="223">
        <v>11.81</v>
      </c>
      <c r="C125" s="7">
        <f t="shared" si="4"/>
        <v>10.7075</v>
      </c>
      <c r="D125">
        <f t="shared" si="6"/>
        <v>10.477200000000003</v>
      </c>
      <c r="E125">
        <f t="shared" si="5"/>
        <v>11.773809523809522</v>
      </c>
      <c r="F125">
        <f t="shared" si="7"/>
        <v>10.494191715116603</v>
      </c>
    </row>
    <row r="126" spans="1:6" hidden="1" x14ac:dyDescent="0.25">
      <c r="A126" vm="224">
        <v>45845</v>
      </c>
      <c r="B126" vm="225">
        <v>11.59</v>
      </c>
      <c r="C126" s="7">
        <f t="shared" si="4"/>
        <v>10.782</v>
      </c>
      <c r="D126">
        <f t="shared" si="6"/>
        <v>10.513400000000001</v>
      </c>
      <c r="E126">
        <f t="shared" si="5"/>
        <v>11.78904761904762</v>
      </c>
      <c r="F126">
        <f t="shared" si="7"/>
        <v>10.537164589033599</v>
      </c>
    </row>
    <row r="127" spans="1:6" hidden="1" x14ac:dyDescent="0.25">
      <c r="A127" vm="226">
        <v>45846</v>
      </c>
      <c r="B127" vm="227">
        <v>11.68</v>
      </c>
      <c r="C127" s="7">
        <f t="shared" si="4"/>
        <v>10.853000000000002</v>
      </c>
      <c r="D127">
        <f t="shared" si="6"/>
        <v>10.545800000000002</v>
      </c>
      <c r="E127">
        <f t="shared" si="5"/>
        <v>11.598571428571429</v>
      </c>
      <c r="F127">
        <f t="shared" si="7"/>
        <v>10.581981663973458</v>
      </c>
    </row>
    <row r="128" spans="1:6" hidden="1" x14ac:dyDescent="0.25">
      <c r="A128" vm="228">
        <v>45847</v>
      </c>
      <c r="B128" vm="229">
        <v>11.83</v>
      </c>
      <c r="C128" s="7">
        <f t="shared" si="4"/>
        <v>10.927500000000002</v>
      </c>
      <c r="D128">
        <f t="shared" si="6"/>
        <v>10.581600000000002</v>
      </c>
      <c r="E128">
        <f t="shared" si="5"/>
        <v>11.694285714285714</v>
      </c>
      <c r="F128">
        <f t="shared" si="7"/>
        <v>10.630923559503913</v>
      </c>
    </row>
    <row r="129" spans="1:6" hidden="1" x14ac:dyDescent="0.25">
      <c r="A129" vm="230">
        <v>45848</v>
      </c>
      <c r="B129" vm="231">
        <v>11.91</v>
      </c>
      <c r="C129" s="7">
        <f t="shared" si="4"/>
        <v>10.993</v>
      </c>
      <c r="D129">
        <f t="shared" si="6"/>
        <v>10.619400000000001</v>
      </c>
      <c r="E129">
        <f t="shared" si="5"/>
        <v>11.837619047619047</v>
      </c>
      <c r="F129">
        <f t="shared" si="7"/>
        <v>10.681083419915524</v>
      </c>
    </row>
    <row r="130" spans="1:6" hidden="1" x14ac:dyDescent="0.25">
      <c r="A130" vm="232">
        <v>45849</v>
      </c>
      <c r="B130" vm="233">
        <v>11.78</v>
      </c>
      <c r="C130" s="7">
        <f t="shared" si="4"/>
        <v>11.049000000000001</v>
      </c>
      <c r="D130">
        <f t="shared" si="6"/>
        <v>10.651999999999997</v>
      </c>
      <c r="E130">
        <f t="shared" si="5"/>
        <v>11.897619047619049</v>
      </c>
      <c r="F130">
        <f t="shared" si="7"/>
        <v>10.724178187761975</v>
      </c>
    </row>
    <row r="131" spans="1:6" hidden="1" x14ac:dyDescent="0.25">
      <c r="A131" vm="234">
        <v>45852</v>
      </c>
      <c r="B131" vm="235">
        <v>11.88</v>
      </c>
      <c r="C131" s="7">
        <f t="shared" si="4"/>
        <v>11.1165</v>
      </c>
      <c r="D131">
        <f t="shared" si="6"/>
        <v>10.689400000000001</v>
      </c>
      <c r="E131">
        <f t="shared" si="5"/>
        <v>11.789523809523809</v>
      </c>
      <c r="F131">
        <f t="shared" si="7"/>
        <v>10.769504533339939</v>
      </c>
    </row>
    <row r="132" spans="1:6" hidden="1" x14ac:dyDescent="0.25">
      <c r="A132" vm="236">
        <v>45853</v>
      </c>
      <c r="B132" vm="237">
        <v>11.57</v>
      </c>
      <c r="C132" s="7">
        <f t="shared" si="4"/>
        <v>11.173500000000001</v>
      </c>
      <c r="D132">
        <f t="shared" si="6"/>
        <v>10.717200000000002</v>
      </c>
      <c r="E132">
        <f t="shared" si="5"/>
        <v>11.850476190476192</v>
      </c>
      <c r="F132">
        <f t="shared" si="7"/>
        <v>10.800896512424647</v>
      </c>
    </row>
    <row r="133" spans="1:6" hidden="1" x14ac:dyDescent="0.25">
      <c r="A133" vm="238">
        <v>45854</v>
      </c>
      <c r="B133" vm="239">
        <v>11.24</v>
      </c>
      <c r="C133" s="7">
        <f t="shared" si="4"/>
        <v>11.204499999999999</v>
      </c>
      <c r="D133">
        <f t="shared" si="6"/>
        <v>10.736400000000001</v>
      </c>
      <c r="E133">
        <f t="shared" si="5"/>
        <v>11.538571428571428</v>
      </c>
      <c r="F133">
        <f t="shared" si="7"/>
        <v>10.818116257035445</v>
      </c>
    </row>
    <row r="134" spans="1:6" hidden="1" x14ac:dyDescent="0.25">
      <c r="A134" vm="240">
        <v>45855</v>
      </c>
      <c r="B134" vm="241">
        <v>11.15</v>
      </c>
      <c r="C134" s="7">
        <f t="shared" si="4"/>
        <v>11.241000000000001</v>
      </c>
      <c r="D134">
        <f t="shared" si="6"/>
        <v>10.756000000000002</v>
      </c>
      <c r="E134">
        <f t="shared" si="5"/>
        <v>11.231428571428571</v>
      </c>
      <c r="F134">
        <f t="shared" si="7"/>
        <v>10.831131305779154</v>
      </c>
    </row>
    <row r="135" spans="1:6" hidden="1" x14ac:dyDescent="0.25">
      <c r="A135" vm="242">
        <v>45856</v>
      </c>
      <c r="B135" vm="243">
        <v>11.16</v>
      </c>
      <c r="C135" s="7">
        <f t="shared" si="4"/>
        <v>11.2775</v>
      </c>
      <c r="D135">
        <f t="shared" si="6"/>
        <v>10.770399999999997</v>
      </c>
      <c r="E135">
        <f t="shared" si="5"/>
        <v>11.150952380952381</v>
      </c>
      <c r="F135">
        <f t="shared" si="7"/>
        <v>10.844028117317226</v>
      </c>
    </row>
    <row r="136" spans="1:6" hidden="1" x14ac:dyDescent="0.25">
      <c r="A136" vm="244">
        <v>45859</v>
      </c>
      <c r="B136" vm="245">
        <v>11.31</v>
      </c>
      <c r="C136" s="7">
        <f t="shared" si="4"/>
        <v>11.313500000000001</v>
      </c>
      <c r="D136">
        <f t="shared" si="6"/>
        <v>10.790999999999999</v>
      </c>
      <c r="E136">
        <f t="shared" si="5"/>
        <v>11.174285714285714</v>
      </c>
      <c r="F136">
        <f t="shared" si="7"/>
        <v>10.862301524481257</v>
      </c>
    </row>
    <row r="137" spans="1:6" hidden="1" x14ac:dyDescent="0.25">
      <c r="A137" vm="246">
        <v>45860</v>
      </c>
      <c r="B137" vm="247">
        <v>11.19</v>
      </c>
      <c r="C137" s="7">
        <f t="shared" si="4"/>
        <v>11.3355</v>
      </c>
      <c r="D137">
        <f t="shared" si="6"/>
        <v>10.809199999999999</v>
      </c>
      <c r="E137">
        <f t="shared" si="5"/>
        <v>11.29857142857143</v>
      </c>
      <c r="F137">
        <f t="shared" si="7"/>
        <v>10.875152445089837</v>
      </c>
    </row>
    <row r="138" spans="1:6" hidden="1" x14ac:dyDescent="0.25">
      <c r="A138" vm="248">
        <v>45861</v>
      </c>
      <c r="B138" vm="249">
        <v>11.38</v>
      </c>
      <c r="C138" s="7">
        <f t="shared" si="4"/>
        <v>11.367999999999999</v>
      </c>
      <c r="D138">
        <f t="shared" si="6"/>
        <v>10.828200000000002</v>
      </c>
      <c r="E138">
        <f t="shared" si="5"/>
        <v>11.208095238095238</v>
      </c>
      <c r="F138">
        <f t="shared" si="7"/>
        <v>10.894950388419648</v>
      </c>
    </row>
    <row r="139" spans="1:6" hidden="1" x14ac:dyDescent="0.25">
      <c r="A139" vm="250">
        <v>45862</v>
      </c>
      <c r="B139" vm="251">
        <v>11.26</v>
      </c>
      <c r="C139" s="7">
        <f t="shared" si="4"/>
        <v>11.407</v>
      </c>
      <c r="D139">
        <f t="shared" si="6"/>
        <v>10.8424</v>
      </c>
      <c r="E139">
        <f t="shared" si="5"/>
        <v>11.368571428571428</v>
      </c>
      <c r="F139">
        <f t="shared" si="7"/>
        <v>10.909266059462015</v>
      </c>
    </row>
    <row r="140" spans="1:6" hidden="1" x14ac:dyDescent="0.25">
      <c r="A140" vm="252">
        <v>45863</v>
      </c>
      <c r="B140" vm="253">
        <v>11.47</v>
      </c>
      <c r="C140" s="7">
        <f t="shared" si="4"/>
        <v>11.449</v>
      </c>
      <c r="D140">
        <f t="shared" si="6"/>
        <v>10.8598</v>
      </c>
      <c r="E140">
        <f t="shared" si="5"/>
        <v>11.280000000000001</v>
      </c>
      <c r="F140">
        <f t="shared" si="7"/>
        <v>10.931255625757622</v>
      </c>
    </row>
    <row r="141" spans="1:6" hidden="1" x14ac:dyDescent="0.25">
      <c r="A141" vm="254">
        <v>45866</v>
      </c>
      <c r="B141" vm="255">
        <v>11.28</v>
      </c>
      <c r="C141" s="7">
        <f t="shared" si="4"/>
        <v>11.473000000000001</v>
      </c>
      <c r="D141">
        <f t="shared" si="6"/>
        <v>10.872400000000001</v>
      </c>
      <c r="E141">
        <f t="shared" si="5"/>
        <v>11.451904761904762</v>
      </c>
      <c r="F141">
        <f t="shared" si="7"/>
        <v>10.94493187572791</v>
      </c>
    </row>
    <row r="142" spans="1:6" hidden="1" x14ac:dyDescent="0.25">
      <c r="A142" vm="256">
        <v>45867</v>
      </c>
      <c r="B142" vm="257">
        <v>11.08</v>
      </c>
      <c r="C142" s="7">
        <f t="shared" si="4"/>
        <v>11.484500000000001</v>
      </c>
      <c r="D142">
        <f t="shared" si="6"/>
        <v>10.879000000000001</v>
      </c>
      <c r="E142">
        <f t="shared" si="5"/>
        <v>11.26095238095238</v>
      </c>
      <c r="F142">
        <f t="shared" si="7"/>
        <v>10.95022866491505</v>
      </c>
    </row>
    <row r="143" spans="1:6" hidden="1" x14ac:dyDescent="0.25">
      <c r="A143" vm="258">
        <v>45868</v>
      </c>
      <c r="B143" vm="259">
        <v>10.87</v>
      </c>
      <c r="C143" s="7">
        <f t="shared" si="4"/>
        <v>11.4605</v>
      </c>
      <c r="D143">
        <f t="shared" si="6"/>
        <v>10.880400000000002</v>
      </c>
      <c r="E143">
        <f t="shared" si="5"/>
        <v>11.059999999999999</v>
      </c>
      <c r="F143">
        <f t="shared" si="7"/>
        <v>10.947082442761518</v>
      </c>
    </row>
    <row r="144" spans="1:6" hidden="1" x14ac:dyDescent="0.25">
      <c r="A144" vm="260">
        <v>45869</v>
      </c>
      <c r="B144" vm="261">
        <v>11.07</v>
      </c>
      <c r="C144" s="7">
        <f t="shared" si="4"/>
        <v>11.425499999999998</v>
      </c>
      <c r="D144">
        <f t="shared" si="6"/>
        <v>10.886800000000001</v>
      </c>
      <c r="E144">
        <f t="shared" si="5"/>
        <v>10.88904761904762</v>
      </c>
      <c r="F144">
        <f t="shared" si="7"/>
        <v>10.951902739123812</v>
      </c>
    </row>
    <row r="145" spans="1:6" hidden="1" x14ac:dyDescent="0.25">
      <c r="A145" vm="262">
        <v>45870</v>
      </c>
      <c r="B145" vm="263">
        <v>10.82</v>
      </c>
      <c r="C145" s="7">
        <f t="shared" si="4"/>
        <v>11.376000000000001</v>
      </c>
      <c r="D145">
        <f t="shared" si="6"/>
        <v>10.888800000000002</v>
      </c>
      <c r="E145">
        <f t="shared" si="5"/>
        <v>11.046190476190478</v>
      </c>
      <c r="F145">
        <f t="shared" si="7"/>
        <v>10.946730082687584</v>
      </c>
    </row>
    <row r="146" spans="1:6" hidden="1" x14ac:dyDescent="0.25">
      <c r="A146" vm="264">
        <v>45873</v>
      </c>
      <c r="B146" vm="265">
        <v>10.95</v>
      </c>
      <c r="C146" s="7">
        <f t="shared" si="4"/>
        <v>11.343999999999999</v>
      </c>
      <c r="D146">
        <f t="shared" si="6"/>
        <v>10.898200000000001</v>
      </c>
      <c r="E146">
        <f t="shared" si="5"/>
        <v>10.832380952380953</v>
      </c>
      <c r="F146">
        <f t="shared" si="7"/>
        <v>10.946858314739051</v>
      </c>
    </row>
    <row r="147" spans="1:6" hidden="1" x14ac:dyDescent="0.25">
      <c r="A147" vm="266">
        <v>45874</v>
      </c>
      <c r="B147" vm="267">
        <v>11.06</v>
      </c>
      <c r="C147" s="7">
        <f t="shared" si="4"/>
        <v>11.312999999999999</v>
      </c>
      <c r="D147">
        <f t="shared" si="6"/>
        <v>10.910599999999999</v>
      </c>
      <c r="E147">
        <f t="shared" si="5"/>
        <v>10.960476190476189</v>
      </c>
      <c r="F147">
        <f t="shared" si="7"/>
        <v>10.951295243572813</v>
      </c>
    </row>
    <row r="148" spans="1:6" hidden="1" x14ac:dyDescent="0.25">
      <c r="A148" vm="268">
        <v>45875</v>
      </c>
      <c r="B148" vm="269">
        <v>11.21</v>
      </c>
      <c r="C148" s="7">
        <f t="shared" si="4"/>
        <v>11.282</v>
      </c>
      <c r="D148">
        <f t="shared" si="6"/>
        <v>10.9276</v>
      </c>
      <c r="E148">
        <f t="shared" si="5"/>
        <v>11.074285714285715</v>
      </c>
      <c r="F148">
        <f t="shared" si="7"/>
        <v>10.961440528138585</v>
      </c>
    </row>
    <row r="149" spans="1:6" hidden="1" x14ac:dyDescent="0.25">
      <c r="A149" vm="270">
        <v>45876</v>
      </c>
      <c r="B149" vm="255">
        <v>11.28</v>
      </c>
      <c r="C149" s="7">
        <f t="shared" si="4"/>
        <v>11.250499999999999</v>
      </c>
      <c r="D149">
        <f t="shared" si="6"/>
        <v>10.946999999999997</v>
      </c>
      <c r="E149">
        <f t="shared" si="5"/>
        <v>11.216666666666669</v>
      </c>
      <c r="F149">
        <f t="shared" si="7"/>
        <v>10.973933056446874</v>
      </c>
    </row>
    <row r="150" spans="1:6" hidden="1" x14ac:dyDescent="0.25">
      <c r="A150" vm="271">
        <v>45877</v>
      </c>
      <c r="B150" vm="272">
        <v>11.32</v>
      </c>
      <c r="C150" s="7">
        <f t="shared" ref="C150:C213" si="8">AVERAGE(B131:B150)</f>
        <v>11.227499999999999</v>
      </c>
      <c r="D150">
        <f t="shared" si="6"/>
        <v>10.969999999999997</v>
      </c>
      <c r="E150">
        <f t="shared" ref="E150:E213" si="9">(B150 * (2/21)) + (B149 * (1 - (2/21)))</f>
        <v>11.283809523809524</v>
      </c>
      <c r="F150">
        <f t="shared" si="7"/>
        <v>10.987504309135232</v>
      </c>
    </row>
    <row r="151" spans="1:6" hidden="1" x14ac:dyDescent="0.25">
      <c r="A151" vm="273">
        <v>45880</v>
      </c>
      <c r="B151" vm="274">
        <v>11.14</v>
      </c>
      <c r="C151" s="7">
        <f t="shared" si="8"/>
        <v>11.1905</v>
      </c>
      <c r="D151">
        <f t="shared" si="6"/>
        <v>10.988399999999999</v>
      </c>
      <c r="E151">
        <f t="shared" si="9"/>
        <v>11.302857142857142</v>
      </c>
      <c r="F151">
        <f t="shared" si="7"/>
        <v>10.9934845323064</v>
      </c>
    </row>
    <row r="152" spans="1:6" hidden="1" x14ac:dyDescent="0.25">
      <c r="A152" vm="275">
        <v>45881</v>
      </c>
      <c r="B152" vm="276">
        <v>11.25</v>
      </c>
      <c r="C152" s="7">
        <f t="shared" si="8"/>
        <v>11.1745</v>
      </c>
      <c r="D152">
        <f t="shared" si="6"/>
        <v>11.005799999999999</v>
      </c>
      <c r="E152">
        <f t="shared" si="9"/>
        <v>11.150476190476191</v>
      </c>
      <c r="F152">
        <f t="shared" si="7"/>
        <v>11.003543962412031</v>
      </c>
    </row>
    <row r="153" spans="1:6" hidden="1" x14ac:dyDescent="0.25">
      <c r="A153" vm="277">
        <v>45882</v>
      </c>
      <c r="B153" vm="278">
        <v>11.44</v>
      </c>
      <c r="C153" s="7">
        <f t="shared" si="8"/>
        <v>11.1845</v>
      </c>
      <c r="D153">
        <f t="shared" si="6"/>
        <v>11.034999999999998</v>
      </c>
      <c r="E153">
        <f t="shared" si="9"/>
        <v>11.268095238095238</v>
      </c>
      <c r="F153">
        <f t="shared" si="7"/>
        <v>11.020659885454698</v>
      </c>
    </row>
    <row r="154" spans="1:6" hidden="1" x14ac:dyDescent="0.25">
      <c r="A154" vm="279">
        <v>45883</v>
      </c>
      <c r="B154" vm="278">
        <v>11.44</v>
      </c>
      <c r="C154" s="7">
        <f t="shared" si="8"/>
        <v>11.198999999999998</v>
      </c>
      <c r="D154">
        <f t="shared" si="6"/>
        <v>11.06</v>
      </c>
      <c r="E154">
        <f t="shared" si="9"/>
        <v>11.44</v>
      </c>
      <c r="F154">
        <f t="shared" si="7"/>
        <v>11.037104595829025</v>
      </c>
    </row>
    <row r="155" spans="1:6" hidden="1" x14ac:dyDescent="0.25">
      <c r="A155" vm="280">
        <v>45884</v>
      </c>
      <c r="B155" vm="278">
        <v>11.44</v>
      </c>
      <c r="C155" s="7">
        <f t="shared" si="8"/>
        <v>11.212999999999999</v>
      </c>
      <c r="D155">
        <f t="shared" si="6"/>
        <v>11.084000000000001</v>
      </c>
      <c r="E155">
        <f t="shared" si="9"/>
        <v>11.44</v>
      </c>
      <c r="F155">
        <f t="shared" si="7"/>
        <v>11.052904415600436</v>
      </c>
    </row>
    <row r="156" spans="1:6" hidden="1" x14ac:dyDescent="0.25">
      <c r="A156" vm="281">
        <v>45887</v>
      </c>
      <c r="B156" vm="282">
        <v>11.46</v>
      </c>
      <c r="C156" s="7">
        <f t="shared" si="8"/>
        <v>11.220499999999999</v>
      </c>
      <c r="D156">
        <f t="shared" si="6"/>
        <v>11.111200000000002</v>
      </c>
      <c r="E156">
        <f t="shared" si="9"/>
        <v>11.441904761904761</v>
      </c>
      <c r="F156">
        <f t="shared" si="7"/>
        <v>11.068868948321988</v>
      </c>
    </row>
    <row r="157" spans="1:6" hidden="1" x14ac:dyDescent="0.25">
      <c r="A157" vm="283">
        <v>45888</v>
      </c>
      <c r="B157" vm="284">
        <v>11.58</v>
      </c>
      <c r="C157" s="7">
        <f t="shared" si="8"/>
        <v>11.24</v>
      </c>
      <c r="D157">
        <f t="shared" si="6"/>
        <v>11.137600000000003</v>
      </c>
      <c r="E157">
        <f t="shared" si="9"/>
        <v>11.471428571428573</v>
      </c>
      <c r="F157">
        <f t="shared" si="7"/>
        <v>11.088913303289754</v>
      </c>
    </row>
    <row r="158" spans="1:6" hidden="1" x14ac:dyDescent="0.25">
      <c r="A158" vm="285">
        <v>45889</v>
      </c>
      <c r="B158" vm="286">
        <v>11.49</v>
      </c>
      <c r="C158" s="7">
        <f t="shared" si="8"/>
        <v>11.245500000000002</v>
      </c>
      <c r="D158">
        <f t="shared" si="6"/>
        <v>11.160600000000002</v>
      </c>
      <c r="E158">
        <f t="shared" si="9"/>
        <v>11.571428571428571</v>
      </c>
      <c r="F158">
        <f t="shared" si="7"/>
        <v>11.104642193356824</v>
      </c>
    </row>
    <row r="159" spans="1:6" hidden="1" x14ac:dyDescent="0.25">
      <c r="A159" vm="287">
        <v>45890</v>
      </c>
      <c r="B159" vm="288">
        <v>11.33</v>
      </c>
      <c r="C159" s="7">
        <f t="shared" si="8"/>
        <v>11.249000000000002</v>
      </c>
      <c r="D159">
        <f t="shared" si="6"/>
        <v>11.1752</v>
      </c>
      <c r="E159">
        <f t="shared" si="9"/>
        <v>11.474761904761905</v>
      </c>
      <c r="F159">
        <f t="shared" si="7"/>
        <v>11.113479754401656</v>
      </c>
    </row>
    <row r="160" spans="1:6" hidden="1" x14ac:dyDescent="0.25">
      <c r="A160" vm="289">
        <v>45891</v>
      </c>
      <c r="B160" vm="290">
        <v>11.74</v>
      </c>
      <c r="C160" s="7">
        <f t="shared" si="8"/>
        <v>11.262500000000001</v>
      </c>
      <c r="D160">
        <f t="shared" si="6"/>
        <v>11.196800000000001</v>
      </c>
      <c r="E160">
        <f t="shared" si="9"/>
        <v>11.369047619047619</v>
      </c>
      <c r="F160">
        <f t="shared" si="7"/>
        <v>11.13804917579767</v>
      </c>
    </row>
    <row r="161" spans="1:6" hidden="1" x14ac:dyDescent="0.25">
      <c r="A161" vm="291">
        <v>45894</v>
      </c>
      <c r="B161" vm="292">
        <v>11.82</v>
      </c>
      <c r="C161" s="7">
        <f t="shared" si="8"/>
        <v>11.289500000000002</v>
      </c>
      <c r="D161">
        <f t="shared" si="6"/>
        <v>11.2226</v>
      </c>
      <c r="E161">
        <f t="shared" si="9"/>
        <v>11.747619047619049</v>
      </c>
      <c r="F161">
        <f t="shared" si="7"/>
        <v>11.164792345374233</v>
      </c>
    </row>
    <row r="162" spans="1:6" hidden="1" x14ac:dyDescent="0.25">
      <c r="A162" vm="293">
        <v>45895</v>
      </c>
      <c r="B162" vm="294">
        <v>11.84</v>
      </c>
      <c r="C162" s="7">
        <f t="shared" si="8"/>
        <v>11.327500000000002</v>
      </c>
      <c r="D162">
        <f t="shared" si="6"/>
        <v>11.2508</v>
      </c>
      <c r="E162">
        <f t="shared" si="9"/>
        <v>11.821904761904761</v>
      </c>
      <c r="F162">
        <f t="shared" si="7"/>
        <v>11.191271076928185</v>
      </c>
    </row>
    <row r="163" spans="1:6" hidden="1" x14ac:dyDescent="0.25">
      <c r="A163" vm="295">
        <v>45896</v>
      </c>
      <c r="B163" vm="231">
        <v>11.91</v>
      </c>
      <c r="C163" s="7">
        <f t="shared" si="8"/>
        <v>11.379500000000004</v>
      </c>
      <c r="D163">
        <f t="shared" si="6"/>
        <v>11.276599999999998</v>
      </c>
      <c r="E163">
        <f t="shared" si="9"/>
        <v>11.846666666666668</v>
      </c>
      <c r="F163">
        <f t="shared" si="7"/>
        <v>11.219456524891786</v>
      </c>
    </row>
    <row r="164" spans="1:6" hidden="1" x14ac:dyDescent="0.25">
      <c r="A164" vm="296">
        <v>45897</v>
      </c>
      <c r="B164" vm="297">
        <v>11.71</v>
      </c>
      <c r="C164" s="7">
        <f t="shared" si="8"/>
        <v>11.411500000000002</v>
      </c>
      <c r="D164">
        <f t="shared" si="6"/>
        <v>11.302399999999999</v>
      </c>
      <c r="E164">
        <f t="shared" si="9"/>
        <v>11.890952380952381</v>
      </c>
      <c r="F164">
        <f t="shared" si="7"/>
        <v>11.238693523915638</v>
      </c>
    </row>
    <row r="165" spans="1:6" hidden="1" x14ac:dyDescent="0.25">
      <c r="A165" vm="298">
        <v>45898</v>
      </c>
      <c r="B165" vm="221">
        <v>11.77</v>
      </c>
      <c r="C165" s="7">
        <f t="shared" si="8"/>
        <v>11.459000000000003</v>
      </c>
      <c r="D165">
        <f t="shared" si="6"/>
        <v>11.329199999999998</v>
      </c>
      <c r="E165">
        <f t="shared" si="9"/>
        <v>11.715714285714288</v>
      </c>
      <c r="F165">
        <f t="shared" si="7"/>
        <v>11.259529071997378</v>
      </c>
    </row>
    <row r="166" spans="1:6" x14ac:dyDescent="0.25">
      <c r="A166" vm="299">
        <v>45902</v>
      </c>
      <c r="B166" vm="300">
        <v>11.72</v>
      </c>
      <c r="C166" s="7">
        <f t="shared" si="8"/>
        <v>11.4975</v>
      </c>
      <c r="D166">
        <f t="shared" si="6"/>
        <v>11.351799999999999</v>
      </c>
      <c r="E166">
        <f t="shared" si="9"/>
        <v>11.765238095238095</v>
      </c>
      <c r="F166">
        <f t="shared" si="7"/>
        <v>11.277586755448461</v>
      </c>
    </row>
    <row r="167" spans="1:6" x14ac:dyDescent="0.25">
      <c r="A167" vm="301">
        <v>45903</v>
      </c>
      <c r="B167" vm="302">
        <v>11.62</v>
      </c>
      <c r="C167" s="7">
        <f t="shared" si="8"/>
        <v>11.525500000000001</v>
      </c>
      <c r="D167">
        <f t="shared" si="6"/>
        <v>11.369199999999996</v>
      </c>
      <c r="E167">
        <f t="shared" si="9"/>
        <v>11.710476190476189</v>
      </c>
      <c r="F167">
        <f t="shared" si="7"/>
        <v>11.291014725823031</v>
      </c>
    </row>
    <row r="168" spans="1:6" x14ac:dyDescent="0.25">
      <c r="A168" vm="303">
        <v>45904</v>
      </c>
      <c r="B168" vm="227">
        <v>11.68</v>
      </c>
      <c r="C168" s="7">
        <f t="shared" si="8"/>
        <v>11.549000000000001</v>
      </c>
      <c r="D168">
        <f t="shared" si="6"/>
        <v>11.388199999999994</v>
      </c>
      <c r="E168">
        <f t="shared" si="9"/>
        <v>11.625714285714285</v>
      </c>
      <c r="F168">
        <f t="shared" si="7"/>
        <v>11.306269050300561</v>
      </c>
    </row>
    <row r="169" spans="1:6" x14ac:dyDescent="0.25">
      <c r="A169" vm="304">
        <v>45905</v>
      </c>
      <c r="B169" vm="290">
        <v>11.74</v>
      </c>
      <c r="C169" s="7">
        <f t="shared" si="8"/>
        <v>11.572000000000001</v>
      </c>
      <c r="D169">
        <f t="shared" si="6"/>
        <v>11.413399999999998</v>
      </c>
      <c r="E169">
        <f t="shared" si="9"/>
        <v>11.685714285714285</v>
      </c>
      <c r="F169">
        <f t="shared" si="7"/>
        <v>11.32327810715152</v>
      </c>
    </row>
    <row r="170" spans="1:6" x14ac:dyDescent="0.25">
      <c r="A170" vm="305">
        <v>45908</v>
      </c>
      <c r="B170" vm="306">
        <v>11.69</v>
      </c>
      <c r="C170" s="7">
        <f t="shared" si="8"/>
        <v>11.5905</v>
      </c>
      <c r="D170">
        <f t="shared" si="6"/>
        <v>11.434599999999998</v>
      </c>
      <c r="E170">
        <f t="shared" si="9"/>
        <v>11.735238095238095</v>
      </c>
      <c r="F170">
        <f t="shared" si="7"/>
        <v>11.337659357851461</v>
      </c>
    </row>
    <row r="171" spans="1:6" x14ac:dyDescent="0.25">
      <c r="A171" vm="307">
        <v>45909</v>
      </c>
      <c r="B171" vm="286">
        <v>11.49</v>
      </c>
      <c r="C171" s="7">
        <f t="shared" si="8"/>
        <v>11.608000000000001</v>
      </c>
      <c r="D171">
        <f t="shared" si="6"/>
        <v>11.448399999999998</v>
      </c>
      <c r="E171">
        <f t="shared" si="9"/>
        <v>11.670952380952381</v>
      </c>
      <c r="F171">
        <f t="shared" si="7"/>
        <v>11.343633500680816</v>
      </c>
    </row>
    <row r="172" spans="1:6" x14ac:dyDescent="0.25">
      <c r="A172" vm="308">
        <v>45910</v>
      </c>
      <c r="B172" vm="309">
        <v>11.42</v>
      </c>
      <c r="C172" s="7">
        <f t="shared" si="8"/>
        <v>11.6165</v>
      </c>
      <c r="D172">
        <f t="shared" si="6"/>
        <v>11.459799999999996</v>
      </c>
      <c r="E172">
        <f t="shared" si="9"/>
        <v>11.483333333333334</v>
      </c>
      <c r="F172">
        <f t="shared" si="7"/>
        <v>11.34662826536</v>
      </c>
    </row>
    <row r="173" spans="1:6" x14ac:dyDescent="0.25">
      <c r="A173" vm="310">
        <v>45911</v>
      </c>
      <c r="B173" vm="311">
        <v>11.76</v>
      </c>
      <c r="C173" s="7">
        <f t="shared" si="8"/>
        <v>11.632500000000002</v>
      </c>
      <c r="D173">
        <f t="shared" si="6"/>
        <v>11.467999999999996</v>
      </c>
      <c r="E173">
        <f t="shared" si="9"/>
        <v>11.452380952380951</v>
      </c>
      <c r="F173">
        <f t="shared" si="7"/>
        <v>11.362838921620392</v>
      </c>
    </row>
    <row r="174" spans="1:6" x14ac:dyDescent="0.25">
      <c r="A174" vm="312">
        <v>45912</v>
      </c>
      <c r="B174" vm="227">
        <v>11.68</v>
      </c>
      <c r="C174" s="7">
        <f t="shared" si="8"/>
        <v>11.644500000000001</v>
      </c>
      <c r="D174">
        <f t="shared" si="6"/>
        <v>11.466199999999994</v>
      </c>
      <c r="E174">
        <f t="shared" si="9"/>
        <v>11.752380952380953</v>
      </c>
      <c r="F174">
        <f t="shared" si="7"/>
        <v>11.375276610968612</v>
      </c>
    </row>
    <row r="175" spans="1:6" x14ac:dyDescent="0.25">
      <c r="A175" vm="313">
        <v>45915</v>
      </c>
      <c r="B175" vm="227">
        <v>11.68</v>
      </c>
      <c r="C175" s="7">
        <f t="shared" si="8"/>
        <v>11.656500000000001</v>
      </c>
      <c r="D175">
        <f t="shared" si="6"/>
        <v>11.463599999999996</v>
      </c>
      <c r="E175">
        <f t="shared" si="9"/>
        <v>11.68</v>
      </c>
      <c r="F175">
        <f t="shared" si="7"/>
        <v>11.387226547793372</v>
      </c>
    </row>
    <row r="176" spans="1:6" x14ac:dyDescent="0.25">
      <c r="A176" vm="314">
        <v>45916</v>
      </c>
      <c r="B176" vm="315">
        <v>11.61</v>
      </c>
      <c r="C176" s="7">
        <f t="shared" si="8"/>
        <v>11.663999999999998</v>
      </c>
      <c r="D176">
        <f t="shared" si="6"/>
        <v>11.463999999999997</v>
      </c>
      <c r="E176">
        <f t="shared" si="9"/>
        <v>11.673333333333332</v>
      </c>
      <c r="F176">
        <f t="shared" si="7"/>
        <v>11.395962761605396</v>
      </c>
    </row>
    <row r="177" spans="1:6" x14ac:dyDescent="0.25">
      <c r="A177" vm="316">
        <v>45917</v>
      </c>
      <c r="B177" vm="317">
        <v>11.66</v>
      </c>
      <c r="C177" s="7">
        <f t="shared" si="8"/>
        <v>11.667999999999999</v>
      </c>
      <c r="D177">
        <f t="shared" si="6"/>
        <v>11.463599999999996</v>
      </c>
      <c r="E177">
        <f t="shared" si="9"/>
        <v>11.614761904761904</v>
      </c>
      <c r="F177">
        <f t="shared" si="7"/>
        <v>11.406317163111067</v>
      </c>
    </row>
    <row r="178" spans="1:6" x14ac:dyDescent="0.25">
      <c r="A178" vm="318">
        <v>45918</v>
      </c>
      <c r="B178" vm="290">
        <v>11.74</v>
      </c>
      <c r="C178" s="7">
        <f t="shared" si="8"/>
        <v>11.680499999999999</v>
      </c>
      <c r="D178">
        <f t="shared" si="6"/>
        <v>11.461799999999998</v>
      </c>
      <c r="E178">
        <f t="shared" si="9"/>
        <v>11.667619047619048</v>
      </c>
      <c r="F178">
        <f t="shared" si="7"/>
        <v>11.419402764557693</v>
      </c>
    </row>
    <row r="179" spans="1:6" x14ac:dyDescent="0.25">
      <c r="A179" vm="319">
        <v>45919</v>
      </c>
      <c r="B179" vm="302">
        <v>11.62</v>
      </c>
      <c r="C179" s="7">
        <f t="shared" si="8"/>
        <v>11.695</v>
      </c>
      <c r="D179">
        <f t="shared" si="6"/>
        <v>11.455999999999996</v>
      </c>
      <c r="E179">
        <f t="shared" si="9"/>
        <v>11.728571428571428</v>
      </c>
      <c r="F179">
        <f t="shared" si="7"/>
        <v>11.427269322810332</v>
      </c>
    </row>
    <row r="180" spans="1:6" x14ac:dyDescent="0.25">
      <c r="A180" vm="320">
        <v>45922</v>
      </c>
      <c r="B180" vm="317">
        <v>11.66</v>
      </c>
      <c r="C180" s="7">
        <f t="shared" si="8"/>
        <v>11.690999999999999</v>
      </c>
      <c r="D180">
        <f t="shared" ref="D180:D228" si="10">AVERAGE(B131:B180)</f>
        <v>11.4536</v>
      </c>
      <c r="E180">
        <f t="shared" si="9"/>
        <v>11.623809523809522</v>
      </c>
      <c r="F180">
        <f t="shared" ref="F180:F228" si="11">(B180 * (2/51)) + (F179 * (1 - (2/51)))</f>
        <v>11.436396016033456</v>
      </c>
    </row>
    <row r="181" spans="1:6" x14ac:dyDescent="0.25">
      <c r="A181" vm="321">
        <v>45923</v>
      </c>
      <c r="B181" vm="322">
        <v>11.73</v>
      </c>
      <c r="C181" s="7">
        <f t="shared" si="8"/>
        <v>11.686499999999999</v>
      </c>
      <c r="D181">
        <f t="shared" si="10"/>
        <v>11.4506</v>
      </c>
      <c r="E181">
        <f t="shared" si="9"/>
        <v>11.666666666666668</v>
      </c>
      <c r="F181">
        <f t="shared" si="11"/>
        <v>11.447909897757635</v>
      </c>
    </row>
    <row r="182" spans="1:6" x14ac:dyDescent="0.25">
      <c r="A182" vm="323">
        <v>45924</v>
      </c>
      <c r="B182" vm="324">
        <v>11.63</v>
      </c>
      <c r="C182" s="7">
        <f t="shared" si="8"/>
        <v>11.676</v>
      </c>
      <c r="D182">
        <f t="shared" si="10"/>
        <v>11.4518</v>
      </c>
      <c r="E182">
        <f t="shared" si="9"/>
        <v>11.720476190476191</v>
      </c>
      <c r="F182">
        <f t="shared" si="11"/>
        <v>11.455050686080865</v>
      </c>
    </row>
    <row r="183" spans="1:6" x14ac:dyDescent="0.25">
      <c r="A183" vm="325">
        <v>45925</v>
      </c>
      <c r="B183" vm="302">
        <v>11.62</v>
      </c>
      <c r="C183" s="7">
        <f t="shared" si="8"/>
        <v>11.6615</v>
      </c>
      <c r="D183">
        <f t="shared" si="10"/>
        <v>11.4594</v>
      </c>
      <c r="E183">
        <f t="shared" si="9"/>
        <v>11.629047619047618</v>
      </c>
      <c r="F183">
        <f t="shared" si="11"/>
        <v>11.461519286626713</v>
      </c>
    </row>
    <row r="184" spans="1:6" x14ac:dyDescent="0.25">
      <c r="A184" vm="326">
        <v>45926</v>
      </c>
      <c r="B184" vm="327">
        <v>12.01</v>
      </c>
      <c r="C184" s="7">
        <f t="shared" si="8"/>
        <v>11.676500000000001</v>
      </c>
      <c r="D184">
        <f t="shared" si="10"/>
        <v>11.476600000000001</v>
      </c>
      <c r="E184">
        <f t="shared" si="9"/>
        <v>11.657142857142855</v>
      </c>
      <c r="F184">
        <f t="shared" si="11"/>
        <v>11.48302833420998</v>
      </c>
    </row>
    <row r="185" spans="1:6" x14ac:dyDescent="0.25">
      <c r="A185" vm="328">
        <v>45929</v>
      </c>
      <c r="B185" vm="329">
        <v>12.09</v>
      </c>
      <c r="C185" s="7">
        <f t="shared" si="8"/>
        <v>11.692500000000001</v>
      </c>
      <c r="D185">
        <f t="shared" si="10"/>
        <v>11.495200000000002</v>
      </c>
      <c r="E185">
        <f t="shared" si="9"/>
        <v>12.017619047619048</v>
      </c>
      <c r="F185">
        <f t="shared" si="11"/>
        <v>11.506831144633118</v>
      </c>
    </row>
    <row r="186" spans="1:6" x14ac:dyDescent="0.25">
      <c r="A186" vm="330">
        <v>45930</v>
      </c>
      <c r="B186" vm="331">
        <v>11.96</v>
      </c>
      <c r="C186" s="7">
        <f t="shared" si="8"/>
        <v>11.704500000000001</v>
      </c>
      <c r="D186">
        <f t="shared" si="10"/>
        <v>11.508200000000004</v>
      </c>
      <c r="E186">
        <f t="shared" si="9"/>
        <v>12.077619047619049</v>
      </c>
      <c r="F186">
        <f t="shared" si="11"/>
        <v>11.524602472294564</v>
      </c>
    </row>
    <row r="187" spans="1:6" x14ac:dyDescent="0.25">
      <c r="A187" vm="332">
        <v>45931</v>
      </c>
      <c r="B187" vm="333">
        <v>12.27</v>
      </c>
      <c r="C187" s="7">
        <f t="shared" si="8"/>
        <v>11.737</v>
      </c>
      <c r="D187">
        <f t="shared" si="10"/>
        <v>11.529800000000005</v>
      </c>
      <c r="E187">
        <f t="shared" si="9"/>
        <v>11.989523809523812</v>
      </c>
      <c r="F187">
        <f t="shared" si="11"/>
        <v>11.553833747890856</v>
      </c>
    </row>
    <row r="188" spans="1:6" x14ac:dyDescent="0.25">
      <c r="A188" vm="334">
        <v>45932</v>
      </c>
      <c r="B188" vm="335">
        <v>12.22</v>
      </c>
      <c r="C188" s="7">
        <f t="shared" si="8"/>
        <v>11.763999999999999</v>
      </c>
      <c r="D188">
        <f t="shared" si="10"/>
        <v>11.546600000000005</v>
      </c>
      <c r="E188">
        <f t="shared" si="9"/>
        <v>12.265238095238095</v>
      </c>
      <c r="F188">
        <f t="shared" si="11"/>
        <v>11.579957914640234</v>
      </c>
    </row>
    <row r="189" spans="1:6" x14ac:dyDescent="0.25">
      <c r="A189" vm="336">
        <v>45933</v>
      </c>
      <c r="B189" vm="337">
        <v>12.67</v>
      </c>
      <c r="C189" s="7">
        <f t="shared" si="8"/>
        <v>11.810499999999999</v>
      </c>
      <c r="D189">
        <f t="shared" si="10"/>
        <v>11.574800000000005</v>
      </c>
      <c r="E189">
        <f t="shared" si="9"/>
        <v>12.262857142857143</v>
      </c>
      <c r="F189">
        <f t="shared" si="11"/>
        <v>11.622704663085715</v>
      </c>
    </row>
    <row r="190" spans="1:6" x14ac:dyDescent="0.25">
      <c r="A190" vm="338">
        <v>45936</v>
      </c>
      <c r="B190" vm="339">
        <v>12.7</v>
      </c>
      <c r="C190" s="7">
        <f t="shared" si="8"/>
        <v>11.860999999999999</v>
      </c>
      <c r="D190">
        <f t="shared" si="10"/>
        <v>11.599400000000005</v>
      </c>
      <c r="E190">
        <f t="shared" si="9"/>
        <v>12.672857142857142</v>
      </c>
      <c r="F190">
        <f t="shared" si="11"/>
        <v>11.664951539043138</v>
      </c>
    </row>
    <row r="191" spans="1:6" x14ac:dyDescent="0.25">
      <c r="A191" vm="340">
        <v>45937</v>
      </c>
      <c r="B191" vm="341">
        <v>11.92</v>
      </c>
      <c r="C191" s="7">
        <f t="shared" si="8"/>
        <v>11.882499999999999</v>
      </c>
      <c r="D191">
        <f t="shared" si="10"/>
        <v>11.612200000000003</v>
      </c>
      <c r="E191">
        <f t="shared" si="9"/>
        <v>12.625714285714286</v>
      </c>
      <c r="F191">
        <f t="shared" si="11"/>
        <v>11.674953439472818</v>
      </c>
    </row>
    <row r="192" spans="1:6" x14ac:dyDescent="0.25">
      <c r="A192" vm="342">
        <v>45938</v>
      </c>
      <c r="B192" vm="290">
        <v>11.74</v>
      </c>
      <c r="C192" s="7">
        <f t="shared" si="8"/>
        <v>11.898499999999999</v>
      </c>
      <c r="D192">
        <f t="shared" si="10"/>
        <v>11.625400000000004</v>
      </c>
      <c r="E192">
        <f t="shared" si="9"/>
        <v>11.902857142857142</v>
      </c>
      <c r="F192">
        <f t="shared" si="11"/>
        <v>11.677504284983689</v>
      </c>
    </row>
    <row r="193" spans="1:6" x14ac:dyDescent="0.25">
      <c r="A193" vm="343">
        <v>45939</v>
      </c>
      <c r="B193" vm="344">
        <v>11.5</v>
      </c>
      <c r="C193" s="7">
        <f t="shared" si="8"/>
        <v>11.885499999999999</v>
      </c>
      <c r="D193">
        <f t="shared" si="10"/>
        <v>11.638000000000002</v>
      </c>
      <c r="E193">
        <f t="shared" si="9"/>
        <v>11.717142857142857</v>
      </c>
      <c r="F193">
        <f t="shared" si="11"/>
        <v>11.670543332631388</v>
      </c>
    </row>
    <row r="194" spans="1:6" x14ac:dyDescent="0.25">
      <c r="A194" vm="345">
        <v>45940</v>
      </c>
      <c r="B194" vm="346">
        <v>11.41</v>
      </c>
      <c r="C194" s="7">
        <f t="shared" si="8"/>
        <v>11.872</v>
      </c>
      <c r="D194">
        <f t="shared" si="10"/>
        <v>11.644800000000002</v>
      </c>
      <c r="E194">
        <f t="shared" si="9"/>
        <v>11.491428571428571</v>
      </c>
      <c r="F194">
        <f t="shared" si="11"/>
        <v>11.660325947038</v>
      </c>
    </row>
    <row r="195" spans="1:6" x14ac:dyDescent="0.25">
      <c r="A195" vm="347">
        <v>45943</v>
      </c>
      <c r="B195" vm="348">
        <v>11.54</v>
      </c>
      <c r="C195" s="7">
        <f t="shared" si="8"/>
        <v>11.864999999999998</v>
      </c>
      <c r="D195">
        <f t="shared" si="10"/>
        <v>11.6592</v>
      </c>
      <c r="E195">
        <f t="shared" si="9"/>
        <v>11.422380952380953</v>
      </c>
      <c r="F195">
        <f t="shared" si="11"/>
        <v>11.655607282448276</v>
      </c>
    </row>
    <row r="196" spans="1:6" x14ac:dyDescent="0.25">
      <c r="A196" vm="349">
        <v>45944</v>
      </c>
      <c r="B196" vm="350">
        <v>11.65</v>
      </c>
      <c r="C196" s="7">
        <f t="shared" si="8"/>
        <v>11.866999999999999</v>
      </c>
      <c r="D196">
        <f t="shared" si="10"/>
        <v>11.6732</v>
      </c>
      <c r="E196">
        <f t="shared" si="9"/>
        <v>11.550476190476189</v>
      </c>
      <c r="F196">
        <f t="shared" si="11"/>
        <v>11.655387389018932</v>
      </c>
    </row>
    <row r="197" spans="1:6" x14ac:dyDescent="0.25">
      <c r="A197" vm="351">
        <v>45945</v>
      </c>
      <c r="B197" vm="311">
        <v>11.76</v>
      </c>
      <c r="C197" s="7">
        <f t="shared" si="8"/>
        <v>11.871999999999998</v>
      </c>
      <c r="D197">
        <f t="shared" si="10"/>
        <v>11.687200000000001</v>
      </c>
      <c r="E197">
        <f t="shared" si="9"/>
        <v>11.66047619047619</v>
      </c>
      <c r="F197">
        <f t="shared" si="11"/>
        <v>11.659489844351523</v>
      </c>
    </row>
    <row r="198" spans="1:6" x14ac:dyDescent="0.25">
      <c r="A198" vm="352">
        <v>45946</v>
      </c>
      <c r="B198" vm="290">
        <v>11.74</v>
      </c>
      <c r="C198" s="7">
        <f t="shared" si="8"/>
        <v>11.872</v>
      </c>
      <c r="D198">
        <f t="shared" si="10"/>
        <v>11.697799999999999</v>
      </c>
      <c r="E198">
        <f t="shared" si="9"/>
        <v>11.758095238095239</v>
      </c>
      <c r="F198">
        <f t="shared" si="11"/>
        <v>11.662647105357346</v>
      </c>
    </row>
    <row r="199" spans="1:6" x14ac:dyDescent="0.25">
      <c r="A199" vm="353">
        <v>45947</v>
      </c>
      <c r="B199" vm="341">
        <v>11.92</v>
      </c>
      <c r="C199" s="7">
        <f t="shared" si="8"/>
        <v>11.886999999999997</v>
      </c>
      <c r="D199">
        <f t="shared" si="10"/>
        <v>11.710599999999999</v>
      </c>
      <c r="E199">
        <f t="shared" si="9"/>
        <v>11.757142857142858</v>
      </c>
      <c r="F199">
        <f t="shared" si="11"/>
        <v>11.672739375735489</v>
      </c>
    </row>
    <row r="200" spans="1:6" x14ac:dyDescent="0.25">
      <c r="A200" vm="354">
        <v>45950</v>
      </c>
      <c r="B200" vm="355">
        <v>11.99</v>
      </c>
      <c r="C200" s="7">
        <f t="shared" si="8"/>
        <v>11.903499999999999</v>
      </c>
      <c r="D200">
        <f t="shared" si="10"/>
        <v>11.724</v>
      </c>
      <c r="E200">
        <f t="shared" si="9"/>
        <v>11.926666666666666</v>
      </c>
      <c r="F200">
        <f t="shared" si="11"/>
        <v>11.685180968843902</v>
      </c>
    </row>
    <row r="201" spans="1:6" x14ac:dyDescent="0.25">
      <c r="A201" vm="356">
        <v>45951</v>
      </c>
      <c r="B201" vm="357">
        <v>12.56</v>
      </c>
      <c r="C201" s="7">
        <f t="shared" si="8"/>
        <v>11.945</v>
      </c>
      <c r="D201">
        <f t="shared" si="10"/>
        <v>11.7524</v>
      </c>
      <c r="E201">
        <f t="shared" si="9"/>
        <v>12.044285714285715</v>
      </c>
      <c r="F201">
        <f t="shared" si="11"/>
        <v>11.719487597516689</v>
      </c>
    </row>
    <row r="202" spans="1:6" x14ac:dyDescent="0.25">
      <c r="A202" vm="358">
        <v>45952</v>
      </c>
      <c r="B202" vm="359">
        <v>12.43</v>
      </c>
      <c r="C202" s="7">
        <f t="shared" si="8"/>
        <v>11.984999999999999</v>
      </c>
      <c r="D202">
        <f t="shared" si="10"/>
        <v>11.776</v>
      </c>
      <c r="E202">
        <f t="shared" si="9"/>
        <v>12.547619047619047</v>
      </c>
      <c r="F202">
        <f t="shared" si="11"/>
        <v>11.747350828986624</v>
      </c>
    </row>
    <row r="203" spans="1:6" x14ac:dyDescent="0.25">
      <c r="A203" vm="360">
        <v>45953</v>
      </c>
      <c r="B203" vm="361">
        <v>12.34</v>
      </c>
      <c r="C203" s="7">
        <f t="shared" si="8"/>
        <v>12.021000000000001</v>
      </c>
      <c r="D203">
        <f t="shared" si="10"/>
        <v>11.794</v>
      </c>
      <c r="E203">
        <f t="shared" si="9"/>
        <v>12.421428571428571</v>
      </c>
      <c r="F203">
        <f t="shared" si="11"/>
        <v>11.770591972947933</v>
      </c>
    </row>
    <row r="204" spans="1:6" x14ac:dyDescent="0.25">
      <c r="A204" vm="362">
        <v>45954</v>
      </c>
      <c r="B204" vm="363">
        <v>13.84</v>
      </c>
      <c r="C204" s="7">
        <f t="shared" si="8"/>
        <v>12.112500000000001</v>
      </c>
      <c r="D204">
        <f t="shared" si="10"/>
        <v>11.842000000000001</v>
      </c>
      <c r="E204">
        <f t="shared" si="9"/>
        <v>12.482857142857142</v>
      </c>
      <c r="F204">
        <f t="shared" si="11"/>
        <v>11.85174522891076</v>
      </c>
    </row>
    <row r="205" spans="1:6" x14ac:dyDescent="0.25">
      <c r="A205" vm="364">
        <v>45957</v>
      </c>
      <c r="B205" vm="365">
        <v>13.26</v>
      </c>
      <c r="C205" s="7">
        <f t="shared" si="8"/>
        <v>12.171000000000001</v>
      </c>
      <c r="D205">
        <f t="shared" si="10"/>
        <v>11.878400000000001</v>
      </c>
      <c r="E205">
        <f t="shared" si="9"/>
        <v>13.784761904761906</v>
      </c>
      <c r="F205">
        <f t="shared" si="11"/>
        <v>11.906970906208377</v>
      </c>
    </row>
    <row r="206" spans="1:6" x14ac:dyDescent="0.25">
      <c r="A206" vm="366">
        <v>45958</v>
      </c>
      <c r="B206" vm="367">
        <v>13.13</v>
      </c>
      <c r="C206" s="7">
        <f t="shared" si="8"/>
        <v>12.2295</v>
      </c>
      <c r="D206">
        <f t="shared" si="10"/>
        <v>11.911799999999998</v>
      </c>
      <c r="E206">
        <f t="shared" si="9"/>
        <v>13.247619047619047</v>
      </c>
      <c r="F206">
        <f t="shared" si="11"/>
        <v>11.954932831455109</v>
      </c>
    </row>
    <row r="207" spans="1:6" x14ac:dyDescent="0.25">
      <c r="A207" vm="368">
        <v>45959</v>
      </c>
      <c r="B207" vm="369">
        <v>13.24</v>
      </c>
      <c r="C207" s="7">
        <f t="shared" si="8"/>
        <v>12.278</v>
      </c>
      <c r="D207">
        <f t="shared" si="10"/>
        <v>11.945</v>
      </c>
      <c r="E207">
        <f t="shared" si="9"/>
        <v>13.140476190476191</v>
      </c>
      <c r="F207">
        <f t="shared" si="11"/>
        <v>12.005327622378438</v>
      </c>
    </row>
    <row r="208" spans="1:6" x14ac:dyDescent="0.25">
      <c r="A208" vm="370">
        <v>45960</v>
      </c>
      <c r="B208" vm="371">
        <v>13.06</v>
      </c>
      <c r="C208" s="7">
        <f t="shared" si="8"/>
        <v>12.32</v>
      </c>
      <c r="D208">
        <f t="shared" si="10"/>
        <v>11.976400000000002</v>
      </c>
      <c r="E208">
        <f t="shared" si="9"/>
        <v>13.222857142857144</v>
      </c>
      <c r="F208">
        <f t="shared" si="11"/>
        <v>12.046687323461637</v>
      </c>
    </row>
    <row r="209" spans="1:6" x14ac:dyDescent="0.25">
      <c r="A209" vm="372">
        <v>45961</v>
      </c>
      <c r="B209" vm="367">
        <v>13.13</v>
      </c>
      <c r="C209" s="7">
        <f t="shared" si="8"/>
        <v>12.343</v>
      </c>
      <c r="D209">
        <f t="shared" si="10"/>
        <v>12.0124</v>
      </c>
      <c r="E209">
        <f t="shared" si="9"/>
        <v>13.066666666666666</v>
      </c>
      <c r="F209">
        <f t="shared" si="11"/>
        <v>12.089170173521966</v>
      </c>
    </row>
    <row r="210" spans="1:6" x14ac:dyDescent="0.25">
      <c r="A210" vm="373">
        <v>45964</v>
      </c>
      <c r="B210" vm="374">
        <v>13.01</v>
      </c>
      <c r="C210" s="7">
        <f t="shared" si="8"/>
        <v>12.358499999999999</v>
      </c>
      <c r="D210">
        <f t="shared" si="10"/>
        <v>12.037799999999999</v>
      </c>
      <c r="E210">
        <f t="shared" si="9"/>
        <v>13.11857142857143</v>
      </c>
      <c r="F210">
        <f t="shared" si="11"/>
        <v>12.125281147109339</v>
      </c>
    </row>
    <row r="211" spans="1:6" x14ac:dyDescent="0.25">
      <c r="A211" vm="375">
        <v>45965</v>
      </c>
      <c r="B211" vm="376">
        <v>12.79</v>
      </c>
      <c r="C211" s="7">
        <f t="shared" si="8"/>
        <v>12.401999999999999</v>
      </c>
      <c r="D211">
        <f t="shared" si="10"/>
        <v>12.057199999999998</v>
      </c>
      <c r="E211">
        <f t="shared" si="9"/>
        <v>12.989047619047618</v>
      </c>
      <c r="F211">
        <f t="shared" si="11"/>
        <v>12.151348553105052</v>
      </c>
    </row>
    <row r="212" spans="1:6" x14ac:dyDescent="0.25">
      <c r="A212" vm="377">
        <v>45966</v>
      </c>
      <c r="B212" vm="378">
        <v>13.11</v>
      </c>
      <c r="C212" s="7">
        <f t="shared" si="8"/>
        <v>12.470499999999998</v>
      </c>
      <c r="D212">
        <f t="shared" si="10"/>
        <v>12.082599999999999</v>
      </c>
      <c r="E212">
        <f t="shared" si="9"/>
        <v>12.820476190476191</v>
      </c>
      <c r="F212">
        <f t="shared" si="11"/>
        <v>12.188942727493089</v>
      </c>
    </row>
    <row r="213" spans="1:6" x14ac:dyDescent="0.25">
      <c r="A213" vm="379">
        <v>45967</v>
      </c>
      <c r="B213" vm="380">
        <v>13.12</v>
      </c>
      <c r="C213" s="7">
        <f t="shared" si="8"/>
        <v>12.551499999999999</v>
      </c>
      <c r="D213">
        <f t="shared" si="10"/>
        <v>12.106799999999998</v>
      </c>
      <c r="E213">
        <f t="shared" si="9"/>
        <v>13.11095238095238</v>
      </c>
      <c r="F213">
        <f t="shared" si="11"/>
        <v>12.225454777395321</v>
      </c>
    </row>
    <row r="214" spans="1:6" x14ac:dyDescent="0.25">
      <c r="A214" vm="381">
        <v>45968</v>
      </c>
      <c r="B214" vm="382">
        <v>13.21</v>
      </c>
      <c r="C214" s="7">
        <f t="shared" ref="C214:C228" si="12">AVERAGE(B195:B214)</f>
        <v>12.641500000000001</v>
      </c>
      <c r="D214">
        <f t="shared" si="10"/>
        <v>12.136799999999999</v>
      </c>
      <c r="E214">
        <f t="shared" ref="E214:E228" si="13">(B214 * (2/21)) + (B213 * (1 - (2/21)))</f>
        <v>13.128571428571428</v>
      </c>
      <c r="F214">
        <f t="shared" si="11"/>
        <v>12.264064393968052</v>
      </c>
    </row>
    <row r="215" spans="1:6" x14ac:dyDescent="0.25">
      <c r="A215" vm="383">
        <v>45971</v>
      </c>
      <c r="B215" vm="384">
        <v>13.16</v>
      </c>
      <c r="C215" s="7">
        <f t="shared" si="12"/>
        <v>12.722500000000002</v>
      </c>
      <c r="D215">
        <f t="shared" si="10"/>
        <v>12.1646</v>
      </c>
      <c r="E215">
        <f t="shared" si="13"/>
        <v>13.205238095238096</v>
      </c>
      <c r="F215">
        <f t="shared" si="11"/>
        <v>12.299199123616363</v>
      </c>
    </row>
    <row r="216" spans="1:6" x14ac:dyDescent="0.25">
      <c r="A216" vm="385">
        <v>45972</v>
      </c>
      <c r="B216" vm="386">
        <v>13.3</v>
      </c>
      <c r="C216" s="7">
        <f t="shared" si="12"/>
        <v>12.805000000000001</v>
      </c>
      <c r="D216">
        <f t="shared" si="10"/>
        <v>12.196200000000001</v>
      </c>
      <c r="E216">
        <f t="shared" si="13"/>
        <v>13.173333333333332</v>
      </c>
      <c r="F216">
        <f t="shared" si="11"/>
        <v>12.338446216807879</v>
      </c>
    </row>
    <row r="217" spans="1:6" x14ac:dyDescent="0.25">
      <c r="A217" vm="387">
        <v>45973</v>
      </c>
      <c r="B217" vm="388">
        <v>13.45</v>
      </c>
      <c r="C217" s="7">
        <f t="shared" si="12"/>
        <v>12.889499999999998</v>
      </c>
      <c r="D217">
        <f t="shared" si="10"/>
        <v>12.232799999999999</v>
      </c>
      <c r="E217">
        <f t="shared" si="13"/>
        <v>13.314285714285713</v>
      </c>
      <c r="F217">
        <f t="shared" si="11"/>
        <v>12.382036561246787</v>
      </c>
    </row>
    <row r="218" spans="1:6" x14ac:dyDescent="0.25">
      <c r="A218" vm="389">
        <v>45974</v>
      </c>
      <c r="B218" vm="390">
        <v>13.28</v>
      </c>
      <c r="C218" s="7">
        <f t="shared" si="12"/>
        <v>12.9665</v>
      </c>
      <c r="D218">
        <f t="shared" si="10"/>
        <v>12.264800000000001</v>
      </c>
      <c r="E218">
        <f t="shared" si="13"/>
        <v>13.433809523809524</v>
      </c>
      <c r="F218">
        <f t="shared" si="11"/>
        <v>12.417250813746914</v>
      </c>
    </row>
    <row r="219" spans="1:6" x14ac:dyDescent="0.25">
      <c r="A219" vm="391">
        <v>45975</v>
      </c>
      <c r="B219" vm="392">
        <v>13.19</v>
      </c>
      <c r="C219" s="7">
        <f t="shared" si="12"/>
        <v>13.030000000000001</v>
      </c>
      <c r="D219">
        <f t="shared" si="10"/>
        <v>12.293800000000001</v>
      </c>
      <c r="E219">
        <f t="shared" si="13"/>
        <v>13.27142857142857</v>
      </c>
      <c r="F219">
        <f t="shared" si="11"/>
        <v>12.447554703403899</v>
      </c>
    </row>
    <row r="220" spans="1:6" x14ac:dyDescent="0.25">
      <c r="A220" vm="393">
        <v>45978</v>
      </c>
      <c r="B220" vm="394">
        <v>12.88</v>
      </c>
      <c r="C220" s="7">
        <f t="shared" si="12"/>
        <v>13.0745</v>
      </c>
      <c r="D220">
        <f t="shared" si="10"/>
        <v>12.317600000000001</v>
      </c>
      <c r="E220">
        <f t="shared" si="13"/>
        <v>13.16047619047619</v>
      </c>
      <c r="F220">
        <f t="shared" si="11"/>
        <v>12.4645133424861</v>
      </c>
    </row>
    <row r="221" spans="1:6" x14ac:dyDescent="0.25">
      <c r="A221" vm="395">
        <v>45979</v>
      </c>
      <c r="B221" vm="396">
        <v>13.02</v>
      </c>
      <c r="C221" s="7">
        <f t="shared" si="12"/>
        <v>13.0975</v>
      </c>
      <c r="D221">
        <f t="shared" si="10"/>
        <v>12.348199999999999</v>
      </c>
      <c r="E221">
        <f t="shared" si="13"/>
        <v>12.893333333333334</v>
      </c>
      <c r="F221">
        <f t="shared" si="11"/>
        <v>12.486297132976841</v>
      </c>
    </row>
    <row r="222" spans="1:6" x14ac:dyDescent="0.25">
      <c r="A222" vm="397">
        <v>45980</v>
      </c>
      <c r="B222" vm="398">
        <v>12.9</v>
      </c>
      <c r="C222" s="7">
        <f t="shared" si="12"/>
        <v>13.121</v>
      </c>
      <c r="D222">
        <f t="shared" si="10"/>
        <v>12.377800000000001</v>
      </c>
      <c r="E222">
        <f t="shared" si="13"/>
        <v>13.008571428571429</v>
      </c>
      <c r="F222">
        <f t="shared" si="11"/>
        <v>12.502520774820887</v>
      </c>
    </row>
    <row r="223" spans="1:6" x14ac:dyDescent="0.25">
      <c r="A223" vm="399">
        <v>45981</v>
      </c>
      <c r="B223" vm="400">
        <v>12.41</v>
      </c>
      <c r="C223" s="7">
        <f t="shared" si="12"/>
        <v>13.124500000000001</v>
      </c>
      <c r="D223">
        <f t="shared" si="10"/>
        <v>12.390799999999997</v>
      </c>
      <c r="E223">
        <f t="shared" si="13"/>
        <v>12.853333333333335</v>
      </c>
      <c r="F223">
        <f t="shared" si="11"/>
        <v>12.498892509141637</v>
      </c>
    </row>
    <row r="224" spans="1:6" x14ac:dyDescent="0.25">
      <c r="A224" vm="401">
        <v>45982</v>
      </c>
      <c r="B224" vm="402">
        <v>12.83</v>
      </c>
      <c r="C224" s="7">
        <f t="shared" si="12"/>
        <v>13.074000000000002</v>
      </c>
      <c r="D224">
        <f t="shared" si="10"/>
        <v>12.413800000000002</v>
      </c>
      <c r="E224">
        <f t="shared" si="13"/>
        <v>12.45</v>
      </c>
      <c r="F224">
        <f t="shared" si="11"/>
        <v>12.51187711662628</v>
      </c>
    </row>
    <row r="225" spans="1:6" x14ac:dyDescent="0.25">
      <c r="A225" vm="403">
        <v>45985</v>
      </c>
      <c r="B225" vm="404">
        <v>12.96</v>
      </c>
      <c r="C225" s="7">
        <f t="shared" si="12"/>
        <v>13.059000000000001</v>
      </c>
      <c r="D225">
        <f t="shared" si="10"/>
        <v>12.439400000000001</v>
      </c>
      <c r="E225">
        <f t="shared" si="13"/>
        <v>12.842380952380953</v>
      </c>
      <c r="F225">
        <f t="shared" si="11"/>
        <v>12.529450563033093</v>
      </c>
    </row>
    <row r="226" spans="1:6" x14ac:dyDescent="0.25">
      <c r="A226" vm="405">
        <v>45986</v>
      </c>
      <c r="B226" vm="406">
        <v>13.17</v>
      </c>
      <c r="C226" s="7">
        <f t="shared" si="12"/>
        <v>13.061000000000002</v>
      </c>
      <c r="D226">
        <f t="shared" si="10"/>
        <v>12.470599999999999</v>
      </c>
      <c r="E226">
        <f t="shared" si="13"/>
        <v>12.98</v>
      </c>
      <c r="F226">
        <f t="shared" si="11"/>
        <v>12.5545701487965</v>
      </c>
    </row>
    <row r="227" spans="1:6" x14ac:dyDescent="0.25">
      <c r="A227" vm="407">
        <v>45987</v>
      </c>
      <c r="B227" vm="392">
        <v>13.19</v>
      </c>
      <c r="C227" s="7">
        <f t="shared" si="12"/>
        <v>13.0585</v>
      </c>
      <c r="D227">
        <f t="shared" si="10"/>
        <v>12.501199999999999</v>
      </c>
      <c r="E227">
        <f t="shared" si="13"/>
        <v>13.171904761904761</v>
      </c>
      <c r="F227">
        <f t="shared" si="11"/>
        <v>12.579488966490755</v>
      </c>
    </row>
    <row r="228" spans="1:6" x14ac:dyDescent="0.25">
      <c r="A228" vm="408">
        <v>45989</v>
      </c>
      <c r="B228" vm="390">
        <v>13.28</v>
      </c>
      <c r="C228" s="7">
        <f t="shared" si="12"/>
        <v>13.0695</v>
      </c>
      <c r="D228">
        <f t="shared" si="10"/>
        <v>12.531999999999998</v>
      </c>
      <c r="E228">
        <f t="shared" si="13"/>
        <v>13.198571428571428</v>
      </c>
      <c r="F228">
        <f t="shared" si="11"/>
        <v>12.606959987412688</v>
      </c>
    </row>
  </sheetData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B0232-464A-4E0F-A704-C6310162C0BF}">
  <dimension ref="A1:C54"/>
  <sheetViews>
    <sheetView workbookViewId="0">
      <selection activeCell="E1" sqref="E1"/>
    </sheetView>
  </sheetViews>
  <sheetFormatPr defaultRowHeight="15" x14ac:dyDescent="0.25"/>
  <cols>
    <col min="1" max="1" width="10.42578125" bestFit="1" customWidth="1"/>
    <col min="2" max="2" width="8" bestFit="1" customWidth="1"/>
    <col min="3" max="4" width="12.7109375" bestFit="1" customWidth="1"/>
  </cols>
  <sheetData>
    <row r="1" spans="1:3" x14ac:dyDescent="0.25">
      <c r="A1" t="str" cm="1">
        <f t="array" aca="1" ref="A1:C54" ca="1">_xlfn.STOCKHISTORY("F","2024-11-30",TODAY(),1,1,0,1,5)</f>
        <v>Date</v>
      </c>
      <c r="B1" t="str">
        <f ca="1"/>
        <v>Close</v>
      </c>
      <c r="C1" t="str">
        <f ca="1"/>
        <v>Volume</v>
      </c>
    </row>
    <row r="2" spans="1:3" x14ac:dyDescent="0.25">
      <c r="A2" vm="409">
        <f ca="1"/>
        <v>45621</v>
      </c>
      <c r="B2" vm="410">
        <f ca="1"/>
        <v>10.953900000000001</v>
      </c>
      <c r="C2" vm="411">
        <f ca="1"/>
        <v>171043339</v>
      </c>
    </row>
    <row r="3" spans="1:3" x14ac:dyDescent="0.25">
      <c r="A3" vm="412">
        <f ca="1"/>
        <v>45628</v>
      </c>
      <c r="B3" vm="413">
        <f ca="1"/>
        <v>10.3437</v>
      </c>
      <c r="C3" vm="414">
        <f ca="1"/>
        <v>289691308</v>
      </c>
    </row>
    <row r="4" spans="1:3" x14ac:dyDescent="0.25">
      <c r="A4" vm="415">
        <f ca="1"/>
        <v>45635</v>
      </c>
      <c r="B4" vm="416">
        <f ca="1"/>
        <v>10.2256</v>
      </c>
      <c r="C4" vm="417">
        <f ca="1"/>
        <v>241617133</v>
      </c>
    </row>
    <row r="5" spans="1:3" x14ac:dyDescent="0.25">
      <c r="A5" vm="418">
        <f ca="1"/>
        <v>45642</v>
      </c>
      <c r="B5" vm="4">
        <f ca="1"/>
        <v>9.7236999999999991</v>
      </c>
      <c r="C5" vm="419">
        <f ca="1"/>
        <v>432885292</v>
      </c>
    </row>
    <row r="6" spans="1:3" x14ac:dyDescent="0.25">
      <c r="A6" vm="420">
        <f ca="1"/>
        <v>45649</v>
      </c>
      <c r="B6" vm="25">
        <f ca="1"/>
        <v>9.8712999999999997</v>
      </c>
      <c r="C6" vm="421">
        <f ca="1"/>
        <v>171295692</v>
      </c>
    </row>
    <row r="7" spans="1:3" x14ac:dyDescent="0.25">
      <c r="A7" vm="422">
        <f ca="1"/>
        <v>45656</v>
      </c>
      <c r="B7" vm="4">
        <f ca="1"/>
        <v>9.7236999999999991</v>
      </c>
      <c r="C7" vm="423">
        <f ca="1"/>
        <v>249571203</v>
      </c>
    </row>
    <row r="8" spans="1:3" x14ac:dyDescent="0.25">
      <c r="A8" vm="5">
        <f ca="1"/>
        <v>45663</v>
      </c>
      <c r="B8" vm="2">
        <f ca="1"/>
        <v>9.4972999999999992</v>
      </c>
      <c r="C8" vm="424">
        <f ca="1"/>
        <v>265497295</v>
      </c>
    </row>
    <row r="9" spans="1:3" x14ac:dyDescent="0.25">
      <c r="A9" vm="12">
        <f ca="1"/>
        <v>45670</v>
      </c>
      <c r="B9" vm="21">
        <f ca="1"/>
        <v>10.019</v>
      </c>
      <c r="C9" vm="425">
        <f ca="1"/>
        <v>291298482</v>
      </c>
    </row>
    <row r="10" spans="1:3" x14ac:dyDescent="0.25">
      <c r="A10" vm="22">
        <f ca="1"/>
        <v>45678</v>
      </c>
      <c r="B10" vm="29">
        <f ca="1"/>
        <v>9.9598999999999993</v>
      </c>
      <c r="C10" vm="426">
        <f ca="1"/>
        <v>233463537</v>
      </c>
    </row>
    <row r="11" spans="1:3" x14ac:dyDescent="0.25">
      <c r="A11" vm="30">
        <f ca="1"/>
        <v>45684</v>
      </c>
      <c r="B11" vm="33">
        <f ca="1"/>
        <v>9.9205000000000005</v>
      </c>
      <c r="C11" vm="427">
        <f ca="1"/>
        <v>415204963</v>
      </c>
    </row>
    <row r="12" spans="1:3" x14ac:dyDescent="0.25">
      <c r="A12" vm="37">
        <f ca="1"/>
        <v>45691</v>
      </c>
      <c r="B12" vm="44">
        <f ca="1"/>
        <v>9.0937999999999999</v>
      </c>
      <c r="C12" vm="428">
        <f ca="1"/>
        <v>699003888</v>
      </c>
    </row>
    <row r="13" spans="1:3" x14ac:dyDescent="0.25">
      <c r="A13" vm="45">
        <f ca="1"/>
        <v>45698</v>
      </c>
      <c r="B13" vm="53">
        <f ca="1"/>
        <v>9.33</v>
      </c>
      <c r="C13" vm="429">
        <f ca="1"/>
        <v>325337135</v>
      </c>
    </row>
    <row r="14" spans="1:3" x14ac:dyDescent="0.25">
      <c r="A14" vm="54">
        <f ca="1"/>
        <v>45706</v>
      </c>
      <c r="B14" vm="61">
        <f ca="1"/>
        <v>9.2799999999999994</v>
      </c>
      <c r="C14" vm="430">
        <f ca="1"/>
        <v>210592944</v>
      </c>
    </row>
    <row r="15" spans="1:3" x14ac:dyDescent="0.25">
      <c r="A15" vm="62">
        <f ca="1"/>
        <v>45712</v>
      </c>
      <c r="B15" vm="70">
        <f ca="1"/>
        <v>9.5500000000000007</v>
      </c>
      <c r="C15" vm="431">
        <f ca="1"/>
        <v>457898876</v>
      </c>
    </row>
    <row r="16" spans="1:3" x14ac:dyDescent="0.25">
      <c r="A16" vm="71">
        <f ca="1"/>
        <v>45719</v>
      </c>
      <c r="B16" vm="79">
        <f ca="1"/>
        <v>9.9</v>
      </c>
      <c r="C16" vm="432">
        <f ca="1"/>
        <v>767036393</v>
      </c>
    </row>
    <row r="17" spans="1:3" x14ac:dyDescent="0.25">
      <c r="A17" vm="80">
        <f ca="1"/>
        <v>45726</v>
      </c>
      <c r="B17" vm="89">
        <f ca="1"/>
        <v>9.73</v>
      </c>
      <c r="C17" vm="433">
        <f ca="1"/>
        <v>736366766</v>
      </c>
    </row>
    <row r="18" spans="1:3" x14ac:dyDescent="0.25">
      <c r="A18" vm="90">
        <f ca="1"/>
        <v>45733</v>
      </c>
      <c r="B18" vm="99">
        <f ca="1"/>
        <v>10</v>
      </c>
      <c r="C18" vm="434">
        <f ca="1"/>
        <v>675753741</v>
      </c>
    </row>
    <row r="19" spans="1:3" x14ac:dyDescent="0.25">
      <c r="A19" vm="100">
        <f ca="1"/>
        <v>45740</v>
      </c>
      <c r="B19" vm="108">
        <f ca="1"/>
        <v>9.7200000000000006</v>
      </c>
      <c r="C19" vm="435">
        <f ca="1"/>
        <v>693398425</v>
      </c>
    </row>
    <row r="20" spans="1:3" x14ac:dyDescent="0.25">
      <c r="A20" vm="109">
        <f ca="1"/>
        <v>45747</v>
      </c>
      <c r="B20" vm="118">
        <f ca="1"/>
        <v>9.58</v>
      </c>
      <c r="C20" vm="436">
        <f ca="1"/>
        <v>809986245</v>
      </c>
    </row>
    <row r="21" spans="1:3" x14ac:dyDescent="0.25">
      <c r="A21" vm="119">
        <f ca="1"/>
        <v>45754</v>
      </c>
      <c r="B21" vm="53">
        <f ca="1"/>
        <v>9.33</v>
      </c>
      <c r="C21" vm="437">
        <f ca="1"/>
        <v>983497398</v>
      </c>
    </row>
    <row r="22" spans="1:3" x14ac:dyDescent="0.25">
      <c r="A22" vm="128">
        <f ca="1"/>
        <v>45761</v>
      </c>
      <c r="B22" vm="135">
        <f ca="1"/>
        <v>9.6300000000000008</v>
      </c>
      <c r="C22" vm="438">
        <f ca="1"/>
        <v>578433532</v>
      </c>
    </row>
    <row r="23" spans="1:3" x14ac:dyDescent="0.25">
      <c r="A23" vm="136">
        <f ca="1"/>
        <v>45768</v>
      </c>
      <c r="B23" vm="143">
        <f ca="1"/>
        <v>10.039999999999999</v>
      </c>
      <c r="C23" vm="439">
        <f ca="1"/>
        <v>549930964</v>
      </c>
    </row>
    <row r="24" spans="1:3" x14ac:dyDescent="0.25">
      <c r="A24" vm="144">
        <f ca="1"/>
        <v>45775</v>
      </c>
      <c r="B24" vm="151">
        <f ca="1"/>
        <v>10.28</v>
      </c>
      <c r="C24" vm="440">
        <f ca="1"/>
        <v>564199213</v>
      </c>
    </row>
    <row r="25" spans="1:3" x14ac:dyDescent="0.25">
      <c r="A25" vm="152">
        <f ca="1"/>
        <v>45782</v>
      </c>
      <c r="B25" vm="158">
        <f ca="1"/>
        <v>10.43</v>
      </c>
      <c r="C25" vm="441">
        <f ca="1"/>
        <v>538041055</v>
      </c>
    </row>
    <row r="26" spans="1:3" x14ac:dyDescent="0.25">
      <c r="A26" vm="159">
        <f ca="1"/>
        <v>45789</v>
      </c>
      <c r="B26" vm="168">
        <f ca="1"/>
        <v>10.8</v>
      </c>
      <c r="C26" vm="442">
        <f ca="1"/>
        <v>406169398</v>
      </c>
    </row>
    <row r="27" spans="1:3" x14ac:dyDescent="0.25">
      <c r="A27" vm="169">
        <f ca="1"/>
        <v>45796</v>
      </c>
      <c r="B27" vm="176">
        <f ca="1"/>
        <v>10.36</v>
      </c>
      <c r="C27" vm="443">
        <f ca="1"/>
        <v>384950227</v>
      </c>
    </row>
    <row r="28" spans="1:3" x14ac:dyDescent="0.25">
      <c r="A28" vm="177">
        <f ca="1"/>
        <v>45804</v>
      </c>
      <c r="B28" vm="183">
        <f ca="1"/>
        <v>10.38</v>
      </c>
      <c r="C28" vm="444">
        <f ca="1"/>
        <v>445282935</v>
      </c>
    </row>
    <row r="29" spans="1:3" x14ac:dyDescent="0.25">
      <c r="A29" vm="184">
        <f ca="1"/>
        <v>45810</v>
      </c>
      <c r="B29" vm="193">
        <f ca="1"/>
        <v>10.26</v>
      </c>
      <c r="C29" vm="445">
        <f ca="1"/>
        <v>654302478</v>
      </c>
    </row>
    <row r="30" spans="1:3" x14ac:dyDescent="0.25">
      <c r="A30" vm="194">
        <f ca="1"/>
        <v>45817</v>
      </c>
      <c r="B30" vm="158">
        <f ca="1"/>
        <v>10.43</v>
      </c>
      <c r="C30" vm="446">
        <f ca="1"/>
        <v>411188768</v>
      </c>
    </row>
    <row r="31" spans="1:3" x14ac:dyDescent="0.25">
      <c r="A31" vm="202">
        <f ca="1"/>
        <v>45824</v>
      </c>
      <c r="B31" vm="208">
        <f ca="1"/>
        <v>10.59</v>
      </c>
      <c r="C31" vm="447">
        <f ca="1"/>
        <v>375678124</v>
      </c>
    </row>
    <row r="32" spans="1:3" x14ac:dyDescent="0.25">
      <c r="A32" vm="209">
        <f ca="1"/>
        <v>45831</v>
      </c>
      <c r="B32" vm="168">
        <f ca="1"/>
        <v>10.8</v>
      </c>
      <c r="C32" vm="448">
        <f ca="1"/>
        <v>517172850</v>
      </c>
    </row>
    <row r="33" spans="1:3" x14ac:dyDescent="0.25">
      <c r="A33" vm="216">
        <f ca="1"/>
        <v>45838</v>
      </c>
      <c r="B33" vm="223">
        <f ca="1"/>
        <v>11.81</v>
      </c>
      <c r="C33" vm="449">
        <f ca="1"/>
        <v>411266020</v>
      </c>
    </row>
    <row r="34" spans="1:3" x14ac:dyDescent="0.25">
      <c r="A34" vm="224">
        <f ca="1"/>
        <v>45845</v>
      </c>
      <c r="B34" vm="233">
        <f ca="1"/>
        <v>11.78</v>
      </c>
      <c r="C34" vm="450">
        <f ca="1"/>
        <v>344522957</v>
      </c>
    </row>
    <row r="35" spans="1:3" x14ac:dyDescent="0.25">
      <c r="A35" vm="234">
        <f ca="1"/>
        <v>45852</v>
      </c>
      <c r="B35" vm="243">
        <f ca="1"/>
        <v>11.16</v>
      </c>
      <c r="C35" vm="451">
        <f ca="1"/>
        <v>374335931</v>
      </c>
    </row>
    <row r="36" spans="1:3" x14ac:dyDescent="0.25">
      <c r="A36" vm="244">
        <f ca="1"/>
        <v>45859</v>
      </c>
      <c r="B36" vm="253">
        <f ca="1"/>
        <v>11.47</v>
      </c>
      <c r="C36" vm="452">
        <f ca="1"/>
        <v>336952645</v>
      </c>
    </row>
    <row r="37" spans="1:3" x14ac:dyDescent="0.25">
      <c r="A37" vm="254">
        <f ca="1"/>
        <v>45866</v>
      </c>
      <c r="B37" vm="263">
        <f ca="1"/>
        <v>10.82</v>
      </c>
      <c r="C37" vm="453">
        <f ca="1"/>
        <v>367044361</v>
      </c>
    </row>
    <row r="38" spans="1:3" x14ac:dyDescent="0.25">
      <c r="A38" vm="264">
        <f ca="1"/>
        <v>45873</v>
      </c>
      <c r="B38" vm="272">
        <f ca="1"/>
        <v>11.32</v>
      </c>
      <c r="C38" vm="454">
        <f ca="1"/>
        <v>295321212</v>
      </c>
    </row>
    <row r="39" spans="1:3" x14ac:dyDescent="0.25">
      <c r="A39" vm="273">
        <f ca="1"/>
        <v>45880</v>
      </c>
      <c r="B39" vm="278">
        <f ca="1"/>
        <v>11.44</v>
      </c>
      <c r="C39" vm="455">
        <f ca="1"/>
        <v>310787949</v>
      </c>
    </row>
    <row r="40" spans="1:3" x14ac:dyDescent="0.25">
      <c r="A40" vm="281">
        <f ca="1"/>
        <v>45887</v>
      </c>
      <c r="B40" vm="290">
        <f ca="1"/>
        <v>11.74</v>
      </c>
      <c r="C40" vm="456">
        <f ca="1"/>
        <v>251921840</v>
      </c>
    </row>
    <row r="41" spans="1:3" x14ac:dyDescent="0.25">
      <c r="A41" vm="291">
        <f ca="1"/>
        <v>45894</v>
      </c>
      <c r="B41" vm="221">
        <f ca="1"/>
        <v>11.77</v>
      </c>
      <c r="C41" vm="457">
        <f ca="1"/>
        <v>225826906</v>
      </c>
    </row>
    <row r="42" spans="1:3" x14ac:dyDescent="0.25">
      <c r="A42" vm="299">
        <f ca="1"/>
        <v>45902</v>
      </c>
      <c r="B42" vm="290">
        <f ca="1"/>
        <v>11.74</v>
      </c>
      <c r="C42" vm="458">
        <f ca="1"/>
        <v>186117323</v>
      </c>
    </row>
    <row r="43" spans="1:3" x14ac:dyDescent="0.25">
      <c r="A43" vm="305">
        <f ca="1"/>
        <v>45908</v>
      </c>
      <c r="B43" vm="227">
        <f ca="1"/>
        <v>11.68</v>
      </c>
      <c r="C43" vm="459">
        <f ca="1"/>
        <v>242315520</v>
      </c>
    </row>
    <row r="44" spans="1:3" x14ac:dyDescent="0.25">
      <c r="A44" vm="313">
        <f ca="1"/>
        <v>45915</v>
      </c>
      <c r="B44" vm="302">
        <f ca="1"/>
        <v>11.62</v>
      </c>
      <c r="C44" vm="460">
        <f ca="1"/>
        <v>301309750</v>
      </c>
    </row>
    <row r="45" spans="1:3" x14ac:dyDescent="0.25">
      <c r="A45" vm="320">
        <f ca="1"/>
        <v>45922</v>
      </c>
      <c r="B45" vm="327">
        <f ca="1"/>
        <v>12.01</v>
      </c>
      <c r="C45" vm="461">
        <f ca="1"/>
        <v>359632227</v>
      </c>
    </row>
    <row r="46" spans="1:3" x14ac:dyDescent="0.25">
      <c r="A46" vm="328">
        <f ca="1"/>
        <v>45929</v>
      </c>
      <c r="B46" vm="337">
        <f ca="1"/>
        <v>12.67</v>
      </c>
      <c r="C46" vm="462">
        <f ca="1"/>
        <v>402977577</v>
      </c>
    </row>
    <row r="47" spans="1:3" x14ac:dyDescent="0.25">
      <c r="A47" vm="338">
        <f ca="1"/>
        <v>45936</v>
      </c>
      <c r="B47" vm="346">
        <f ca="1"/>
        <v>11.41</v>
      </c>
      <c r="C47" vm="463">
        <f ca="1"/>
        <v>478320629</v>
      </c>
    </row>
    <row r="48" spans="1:3" x14ac:dyDescent="0.25">
      <c r="A48" vm="347">
        <f ca="1"/>
        <v>45943</v>
      </c>
      <c r="B48" vm="341">
        <f ca="1"/>
        <v>11.92</v>
      </c>
      <c r="C48" vm="464">
        <f ca="1"/>
        <v>468352780</v>
      </c>
    </row>
    <row r="49" spans="1:3" x14ac:dyDescent="0.25">
      <c r="A49" vm="354">
        <f ca="1"/>
        <v>45950</v>
      </c>
      <c r="B49" vm="363">
        <f ca="1"/>
        <v>13.84</v>
      </c>
      <c r="C49" vm="465">
        <f ca="1"/>
        <v>1568301441</v>
      </c>
    </row>
    <row r="50" spans="1:3" x14ac:dyDescent="0.25">
      <c r="A50" vm="364">
        <f ca="1"/>
        <v>45957</v>
      </c>
      <c r="B50" vm="367">
        <f ca="1"/>
        <v>13.13</v>
      </c>
      <c r="C50" vm="466">
        <f ca="1"/>
        <v>514737984</v>
      </c>
    </row>
    <row r="51" spans="1:3" x14ac:dyDescent="0.25">
      <c r="A51" vm="373">
        <f ca="1"/>
        <v>45964</v>
      </c>
      <c r="B51" vm="382">
        <f ca="1"/>
        <v>13.21</v>
      </c>
      <c r="C51" vm="467">
        <f ca="1"/>
        <v>392216688</v>
      </c>
    </row>
    <row r="52" spans="1:3" x14ac:dyDescent="0.25">
      <c r="A52" vm="383">
        <f ca="1"/>
        <v>45971</v>
      </c>
      <c r="B52" vm="392">
        <f ca="1"/>
        <v>13.19</v>
      </c>
      <c r="C52" vm="468">
        <f ca="1"/>
        <v>343048058</v>
      </c>
    </row>
    <row r="53" spans="1:3" x14ac:dyDescent="0.25">
      <c r="A53" vm="393">
        <f ca="1"/>
        <v>45978</v>
      </c>
      <c r="B53" vm="402">
        <f ca="1"/>
        <v>12.83</v>
      </c>
      <c r="C53" vm="469">
        <f ca="1"/>
        <v>363149764</v>
      </c>
    </row>
    <row r="54" spans="1:3" x14ac:dyDescent="0.25">
      <c r="A54" vm="403">
        <f ca="1"/>
        <v>45985</v>
      </c>
      <c r="B54" vm="390">
        <f ca="1"/>
        <v>13.28</v>
      </c>
      <c r="C54" vm="470">
        <f ca="1"/>
        <v>180299593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BFCC3-12E7-4DD1-AEB0-393BFA94FA0A}">
  <dimension ref="A1:D229"/>
  <sheetViews>
    <sheetView workbookViewId="0">
      <selection activeCell="D7" sqref="D7"/>
    </sheetView>
  </sheetViews>
  <sheetFormatPr defaultRowHeight="15" x14ac:dyDescent="0.25"/>
  <cols>
    <col min="1" max="1" width="10.42578125" bestFit="1" customWidth="1"/>
    <col min="2" max="2" width="8" bestFit="1" customWidth="1"/>
    <col min="3" max="3" width="12.7109375" bestFit="1" customWidth="1"/>
  </cols>
  <sheetData>
    <row r="1" spans="1:4" x14ac:dyDescent="0.25">
      <c r="A1" t="str" cm="1">
        <f t="array" aca="1" ref="A1:B229" ca="1">_xlfn.STOCKHISTORY("F",DATE(YEAR(TODAY()),1,1),TODAY(),0,1,0,1)</f>
        <v>Date</v>
      </c>
      <c r="B1" t="str">
        <f ca="1"/>
        <v>Close</v>
      </c>
      <c r="C1" t="s">
        <v>14</v>
      </c>
      <c r="D1" t="s">
        <v>15</v>
      </c>
    </row>
    <row r="2" spans="1:4" x14ac:dyDescent="0.25">
      <c r="A2" vm="1">
        <f ca="1"/>
        <v>45659</v>
      </c>
      <c r="B2" vm="2">
        <f ca="1"/>
        <v>9.4972999999999992</v>
      </c>
    </row>
    <row r="3" spans="1:4" x14ac:dyDescent="0.25">
      <c r="A3" vm="3">
        <f ca="1"/>
        <v>45660</v>
      </c>
      <c r="B3" vm="4">
        <f ca="1"/>
        <v>9.7236999999999991</v>
      </c>
    </row>
    <row r="4" spans="1:4" x14ac:dyDescent="0.25">
      <c r="A4" vm="5">
        <f ca="1"/>
        <v>45663</v>
      </c>
      <c r="B4" vm="6">
        <f ca="1"/>
        <v>9.7630999999999997</v>
      </c>
    </row>
    <row r="5" spans="1:4" x14ac:dyDescent="0.25">
      <c r="A5" vm="7">
        <f ca="1"/>
        <v>45664</v>
      </c>
      <c r="B5" vm="8">
        <f ca="1"/>
        <v>9.6056000000000008</v>
      </c>
    </row>
    <row r="6" spans="1:4" x14ac:dyDescent="0.25">
      <c r="A6" vm="9">
        <f ca="1"/>
        <v>45665</v>
      </c>
      <c r="B6" vm="10">
        <f ca="1"/>
        <v>9.5859000000000005</v>
      </c>
    </row>
    <row r="7" spans="1:4" x14ac:dyDescent="0.25">
      <c r="A7" vm="11">
        <f ca="1"/>
        <v>45667</v>
      </c>
      <c r="B7" vm="2">
        <f ca="1"/>
        <v>9.4972999999999992</v>
      </c>
    </row>
    <row r="8" spans="1:4" x14ac:dyDescent="0.25">
      <c r="A8" vm="12">
        <f ca="1"/>
        <v>45670</v>
      </c>
      <c r="B8" vm="13">
        <f ca="1"/>
        <v>9.5564</v>
      </c>
    </row>
    <row r="9" spans="1:4" x14ac:dyDescent="0.25">
      <c r="A9" vm="14">
        <f ca="1"/>
        <v>45671</v>
      </c>
      <c r="B9" vm="15">
        <f ca="1"/>
        <v>9.6252999999999993</v>
      </c>
    </row>
    <row r="10" spans="1:4" x14ac:dyDescent="0.25">
      <c r="A10" vm="16">
        <f ca="1"/>
        <v>45672</v>
      </c>
      <c r="B10" vm="17">
        <f ca="1"/>
        <v>9.7926000000000002</v>
      </c>
    </row>
    <row r="11" spans="1:4" x14ac:dyDescent="0.25">
      <c r="A11" vm="18">
        <f ca="1"/>
        <v>45673</v>
      </c>
      <c r="B11" vm="19">
        <f ca="1"/>
        <v>9.8515999999999995</v>
      </c>
    </row>
    <row r="12" spans="1:4" x14ac:dyDescent="0.25">
      <c r="A12" vm="20">
        <f ca="1"/>
        <v>45674</v>
      </c>
      <c r="B12" vm="21">
        <f ca="1"/>
        <v>10.019</v>
      </c>
    </row>
    <row r="13" spans="1:4" x14ac:dyDescent="0.25">
      <c r="A13" vm="22">
        <f ca="1"/>
        <v>45678</v>
      </c>
      <c r="B13" vm="23">
        <f ca="1"/>
        <v>10.265000000000001</v>
      </c>
    </row>
    <row r="14" spans="1:4" x14ac:dyDescent="0.25">
      <c r="A14" vm="24">
        <f ca="1"/>
        <v>45679</v>
      </c>
      <c r="B14" vm="25">
        <f ca="1"/>
        <v>9.8712999999999997</v>
      </c>
    </row>
    <row r="15" spans="1:4" x14ac:dyDescent="0.25">
      <c r="A15" vm="26">
        <f ca="1"/>
        <v>45680</v>
      </c>
      <c r="B15" vm="27">
        <f ca="1"/>
        <v>9.9992999999999999</v>
      </c>
    </row>
    <row r="16" spans="1:4" x14ac:dyDescent="0.25">
      <c r="A16" vm="28">
        <f ca="1"/>
        <v>45681</v>
      </c>
      <c r="B16" vm="29">
        <f ca="1"/>
        <v>9.9598999999999993</v>
      </c>
    </row>
    <row r="17" spans="1:2" x14ac:dyDescent="0.25">
      <c r="A17" vm="30">
        <f ca="1"/>
        <v>45684</v>
      </c>
      <c r="B17" vm="31">
        <f ca="1"/>
        <v>10.2158</v>
      </c>
    </row>
    <row r="18" spans="1:2" x14ac:dyDescent="0.25">
      <c r="A18" vm="32">
        <f ca="1"/>
        <v>45685</v>
      </c>
      <c r="B18" vm="33">
        <f ca="1"/>
        <v>9.9205000000000005</v>
      </c>
    </row>
    <row r="19" spans="1:2" x14ac:dyDescent="0.25">
      <c r="A19" vm="34">
        <f ca="1"/>
        <v>45686</v>
      </c>
      <c r="B19" vm="35">
        <f ca="1"/>
        <v>10.048500000000001</v>
      </c>
    </row>
    <row r="20" spans="1:2" x14ac:dyDescent="0.25">
      <c r="A20" vm="471">
        <f ca="1"/>
        <v>45687</v>
      </c>
      <c r="B20" vm="27">
        <f ca="1"/>
        <v>9.9992999999999999</v>
      </c>
    </row>
    <row r="21" spans="1:2" x14ac:dyDescent="0.25">
      <c r="A21" vm="36">
        <f ca="1"/>
        <v>45688</v>
      </c>
      <c r="B21" vm="33">
        <f ca="1"/>
        <v>9.9205000000000005</v>
      </c>
    </row>
    <row r="22" spans="1:2" x14ac:dyDescent="0.25">
      <c r="A22" vm="37">
        <f ca="1"/>
        <v>45691</v>
      </c>
      <c r="B22" vm="38">
        <f ca="1"/>
        <v>9.7334999999999994</v>
      </c>
    </row>
    <row r="23" spans="1:2" x14ac:dyDescent="0.25">
      <c r="A23" vm="39">
        <f ca="1"/>
        <v>45692</v>
      </c>
      <c r="B23" vm="27">
        <f ca="1"/>
        <v>9.9992999999999999</v>
      </c>
    </row>
    <row r="24" spans="1:2" x14ac:dyDescent="0.25">
      <c r="A24" vm="40">
        <f ca="1"/>
        <v>45693</v>
      </c>
      <c r="B24" vm="19">
        <f ca="1"/>
        <v>9.8515999999999995</v>
      </c>
    </row>
    <row r="25" spans="1:2" x14ac:dyDescent="0.25">
      <c r="A25" vm="41">
        <f ca="1"/>
        <v>45694</v>
      </c>
      <c r="B25" vm="42">
        <f ca="1"/>
        <v>9.1135000000000002</v>
      </c>
    </row>
    <row r="26" spans="1:2" x14ac:dyDescent="0.25">
      <c r="A26" vm="43">
        <f ca="1"/>
        <v>45695</v>
      </c>
      <c r="B26" vm="44">
        <f ca="1"/>
        <v>9.0937999999999999</v>
      </c>
    </row>
    <row r="27" spans="1:2" x14ac:dyDescent="0.25">
      <c r="A27" vm="45">
        <f ca="1"/>
        <v>45698</v>
      </c>
      <c r="B27" vm="44">
        <f ca="1"/>
        <v>9.0937999999999999</v>
      </c>
    </row>
    <row r="28" spans="1:2" x14ac:dyDescent="0.25">
      <c r="A28" vm="46">
        <f ca="1"/>
        <v>45699</v>
      </c>
      <c r="B28" vm="47">
        <f ca="1"/>
        <v>9.0642999999999994</v>
      </c>
    </row>
    <row r="29" spans="1:2" x14ac:dyDescent="0.25">
      <c r="A29" vm="48">
        <f ca="1"/>
        <v>45700</v>
      </c>
      <c r="B29" vm="49">
        <f ca="1"/>
        <v>9.0839999999999996</v>
      </c>
    </row>
    <row r="30" spans="1:2" x14ac:dyDescent="0.25">
      <c r="A30" vm="50">
        <f ca="1"/>
        <v>45701</v>
      </c>
      <c r="B30" vm="51">
        <f ca="1"/>
        <v>9.2020999999999997</v>
      </c>
    </row>
    <row r="31" spans="1:2" x14ac:dyDescent="0.25">
      <c r="A31" vm="52">
        <f ca="1"/>
        <v>45702</v>
      </c>
      <c r="B31" vm="53">
        <f ca="1"/>
        <v>9.33</v>
      </c>
    </row>
    <row r="32" spans="1:2" x14ac:dyDescent="0.25">
      <c r="A32" vm="54">
        <f ca="1"/>
        <v>45706</v>
      </c>
      <c r="B32" vm="55">
        <f ca="1"/>
        <v>9.2899999999999991</v>
      </c>
    </row>
    <row r="33" spans="1:2" x14ac:dyDescent="0.25">
      <c r="A33" vm="56">
        <f ca="1"/>
        <v>45707</v>
      </c>
      <c r="B33" vm="57">
        <f ca="1"/>
        <v>9.34</v>
      </c>
    </row>
    <row r="34" spans="1:2" x14ac:dyDescent="0.25">
      <c r="A34" vm="58">
        <f ca="1"/>
        <v>45708</v>
      </c>
      <c r="B34" vm="59">
        <f ca="1"/>
        <v>9.39</v>
      </c>
    </row>
    <row r="35" spans="1:2" x14ac:dyDescent="0.25">
      <c r="A35" vm="60">
        <f ca="1"/>
        <v>45709</v>
      </c>
      <c r="B35" vm="61">
        <f ca="1"/>
        <v>9.2799999999999994</v>
      </c>
    </row>
    <row r="36" spans="1:2" x14ac:dyDescent="0.25">
      <c r="A36" vm="62">
        <f ca="1"/>
        <v>45712</v>
      </c>
      <c r="B36" vm="63">
        <f ca="1"/>
        <v>9.35</v>
      </c>
    </row>
    <row r="37" spans="1:2" x14ac:dyDescent="0.25">
      <c r="A37" vm="64">
        <f ca="1"/>
        <v>45713</v>
      </c>
      <c r="B37" vm="65">
        <f ca="1"/>
        <v>9.42</v>
      </c>
    </row>
    <row r="38" spans="1:2" x14ac:dyDescent="0.25">
      <c r="A38" vm="66">
        <f ca="1"/>
        <v>45714</v>
      </c>
      <c r="B38" vm="67">
        <f ca="1"/>
        <v>9.4700000000000006</v>
      </c>
    </row>
    <row r="39" spans="1:2" x14ac:dyDescent="0.25">
      <c r="A39" vm="68">
        <f ca="1"/>
        <v>45715</v>
      </c>
      <c r="B39" vm="55">
        <f ca="1"/>
        <v>9.2899999999999991</v>
      </c>
    </row>
    <row r="40" spans="1:2" x14ac:dyDescent="0.25">
      <c r="A40" vm="69">
        <f ca="1"/>
        <v>45716</v>
      </c>
      <c r="B40" vm="70">
        <f ca="1"/>
        <v>9.5500000000000007</v>
      </c>
    </row>
    <row r="41" spans="1:2" x14ac:dyDescent="0.25">
      <c r="A41" vm="71">
        <f ca="1"/>
        <v>45719</v>
      </c>
      <c r="B41" vm="59">
        <f ca="1"/>
        <v>9.39</v>
      </c>
    </row>
    <row r="42" spans="1:2" x14ac:dyDescent="0.25">
      <c r="A42" vm="72">
        <f ca="1"/>
        <v>45720</v>
      </c>
      <c r="B42" vm="73">
        <f ca="1"/>
        <v>9.1199999999999992</v>
      </c>
    </row>
    <row r="43" spans="1:2" x14ac:dyDescent="0.25">
      <c r="A43" vm="74">
        <f ca="1"/>
        <v>45721</v>
      </c>
      <c r="B43" vm="75">
        <f ca="1"/>
        <v>9.65</v>
      </c>
    </row>
    <row r="44" spans="1:2" x14ac:dyDescent="0.25">
      <c r="A44" vm="76">
        <f ca="1"/>
        <v>45722</v>
      </c>
      <c r="B44" vm="77">
        <f ca="1"/>
        <v>9.61</v>
      </c>
    </row>
    <row r="45" spans="1:2" x14ac:dyDescent="0.25">
      <c r="A45" vm="78">
        <f ca="1"/>
        <v>45723</v>
      </c>
      <c r="B45" vm="79">
        <f ca="1"/>
        <v>9.9</v>
      </c>
    </row>
    <row r="46" spans="1:2" x14ac:dyDescent="0.25">
      <c r="A46" vm="80">
        <f ca="1"/>
        <v>45726</v>
      </c>
      <c r="B46" vm="81">
        <f ca="1"/>
        <v>9.9600000000000009</v>
      </c>
    </row>
    <row r="47" spans="1:2" x14ac:dyDescent="0.25">
      <c r="A47" vm="82">
        <f ca="1"/>
        <v>45727</v>
      </c>
      <c r="B47" vm="83">
        <f ca="1"/>
        <v>9.69</v>
      </c>
    </row>
    <row r="48" spans="1:2" x14ac:dyDescent="0.25">
      <c r="A48" vm="84">
        <f ca="1"/>
        <v>45728</v>
      </c>
      <c r="B48" vm="85">
        <f ca="1"/>
        <v>9.59</v>
      </c>
    </row>
    <row r="49" spans="1:4" x14ac:dyDescent="0.25">
      <c r="A49" vm="86">
        <f ca="1"/>
        <v>45729</v>
      </c>
      <c r="B49" vm="87">
        <f ca="1"/>
        <v>9.5299999999999994</v>
      </c>
    </row>
    <row r="50" spans="1:4" x14ac:dyDescent="0.25">
      <c r="A50" vm="88">
        <f ca="1"/>
        <v>45730</v>
      </c>
      <c r="B50" vm="89">
        <f ca="1"/>
        <v>9.73</v>
      </c>
      <c r="C50">
        <f ca="1">AVERAGE(B1:B50)</f>
        <v>9.6088530612244867</v>
      </c>
    </row>
    <row r="51" spans="1:4" x14ac:dyDescent="0.25">
      <c r="A51" vm="90">
        <f ca="1"/>
        <v>45733</v>
      </c>
      <c r="B51" vm="91">
        <f ca="1"/>
        <v>9.92</v>
      </c>
      <c r="C51">
        <f ca="1">(B51 * (2/51)) + (C50 * (1 - (2/51)))</f>
        <v>9.6210549019607807</v>
      </c>
      <c r="D51">
        <f ca="1">AVERAGE(B2:B51)</f>
        <v>9.6150759999999984</v>
      </c>
    </row>
    <row r="52" spans="1:4" x14ac:dyDescent="0.25">
      <c r="A52" vm="92">
        <f ca="1"/>
        <v>45734</v>
      </c>
      <c r="B52" vm="93">
        <f ca="1"/>
        <v>9.9499999999999993</v>
      </c>
      <c r="C52">
        <f t="shared" ref="C52:C115" ca="1" si="0">(B52 * (2/51)) + (C51 * (1 - (2/51)))</f>
        <v>9.6339547097270248</v>
      </c>
      <c r="D52">
        <f t="shared" ref="D52:D115" ca="1" si="1">AVERAGE(B3:B52)</f>
        <v>9.6241299999999974</v>
      </c>
    </row>
    <row r="53" spans="1:4" x14ac:dyDescent="0.25">
      <c r="A53" vm="94">
        <f ca="1"/>
        <v>45735</v>
      </c>
      <c r="B53" vm="95">
        <f ca="1"/>
        <v>10.17</v>
      </c>
      <c r="C53">
        <f t="shared" ca="1" si="0"/>
        <v>9.6549760936592985</v>
      </c>
      <c r="D53">
        <f t="shared" ca="1" si="1"/>
        <v>9.6330559999999981</v>
      </c>
    </row>
    <row r="54" spans="1:4" x14ac:dyDescent="0.25">
      <c r="A54" vm="96">
        <f ca="1"/>
        <v>45736</v>
      </c>
      <c r="B54" vm="97">
        <f ca="1"/>
        <v>10.01</v>
      </c>
      <c r="C54">
        <f t="shared" ca="1" si="0"/>
        <v>9.6688985997903067</v>
      </c>
      <c r="D54">
        <f t="shared" ca="1" si="1"/>
        <v>9.6379939999999991</v>
      </c>
    </row>
    <row r="55" spans="1:4" x14ac:dyDescent="0.25">
      <c r="A55" vm="98">
        <f ca="1"/>
        <v>45737</v>
      </c>
      <c r="B55" vm="99">
        <f ca="1"/>
        <v>10</v>
      </c>
      <c r="C55">
        <f t="shared" ca="1" si="0"/>
        <v>9.6818829684259811</v>
      </c>
      <c r="D55">
        <f t="shared" ca="1" si="1"/>
        <v>9.6458819999999985</v>
      </c>
    </row>
    <row r="56" spans="1:4" x14ac:dyDescent="0.25">
      <c r="A56" vm="100">
        <f ca="1"/>
        <v>45740</v>
      </c>
      <c r="B56" vm="101">
        <f ca="1"/>
        <v>10.25</v>
      </c>
      <c r="C56">
        <f t="shared" ca="1" si="0"/>
        <v>9.7041620677033951</v>
      </c>
      <c r="D56">
        <f t="shared" ca="1" si="1"/>
        <v>9.6591639999999988</v>
      </c>
    </row>
    <row r="57" spans="1:4" x14ac:dyDescent="0.25">
      <c r="A57" vm="102">
        <f ca="1"/>
        <v>45741</v>
      </c>
      <c r="B57" vm="103">
        <f ca="1"/>
        <v>10.29</v>
      </c>
      <c r="C57">
        <f t="shared" ca="1" si="0"/>
        <v>9.7271361042640478</v>
      </c>
      <c r="D57">
        <f t="shared" ca="1" si="1"/>
        <v>9.6750179999999997</v>
      </c>
    </row>
    <row r="58" spans="1:4" x14ac:dyDescent="0.25">
      <c r="A58" vm="104">
        <f ca="1"/>
        <v>45742</v>
      </c>
      <c r="B58" vm="105">
        <f ca="1"/>
        <v>10.3</v>
      </c>
      <c r="C58">
        <f t="shared" ca="1" si="0"/>
        <v>9.7496013550772229</v>
      </c>
      <c r="D58">
        <f t="shared" ca="1" si="1"/>
        <v>9.6898900000000001</v>
      </c>
    </row>
    <row r="59" spans="1:4" x14ac:dyDescent="0.25">
      <c r="A59" vm="106">
        <f ca="1"/>
        <v>45743</v>
      </c>
      <c r="B59" vm="79">
        <f ca="1"/>
        <v>9.9</v>
      </c>
      <c r="C59">
        <f t="shared" ca="1" si="0"/>
        <v>9.7554993411526265</v>
      </c>
      <c r="D59">
        <f t="shared" ca="1" si="1"/>
        <v>9.6953839999999989</v>
      </c>
    </row>
    <row r="60" spans="1:4" x14ac:dyDescent="0.25">
      <c r="A60" vm="107">
        <f ca="1"/>
        <v>45744</v>
      </c>
      <c r="B60" vm="108">
        <f ca="1"/>
        <v>9.7200000000000006</v>
      </c>
      <c r="C60">
        <f t="shared" ca="1" si="0"/>
        <v>9.7541072101270334</v>
      </c>
      <c r="D60">
        <f t="shared" ca="1" si="1"/>
        <v>9.6939320000000002</v>
      </c>
    </row>
    <row r="61" spans="1:4" x14ac:dyDescent="0.25">
      <c r="A61" vm="109">
        <f ca="1"/>
        <v>45747</v>
      </c>
      <c r="B61" vm="110">
        <f ca="1"/>
        <v>10.029999999999999</v>
      </c>
      <c r="C61">
        <f t="shared" ca="1" si="0"/>
        <v>9.7649265352200914</v>
      </c>
      <c r="D61">
        <f t="shared" ca="1" si="1"/>
        <v>9.697499999999998</v>
      </c>
    </row>
    <row r="62" spans="1:4" x14ac:dyDescent="0.25">
      <c r="A62" vm="111">
        <f ca="1"/>
        <v>45748</v>
      </c>
      <c r="B62" vm="112">
        <f ca="1"/>
        <v>9.94</v>
      </c>
      <c r="C62">
        <f t="shared" ca="1" si="0"/>
        <v>9.771792161289893</v>
      </c>
      <c r="D62">
        <f t="shared" ca="1" si="1"/>
        <v>9.6959199999999992</v>
      </c>
    </row>
    <row r="63" spans="1:4" x14ac:dyDescent="0.25">
      <c r="A63" vm="113">
        <f ca="1"/>
        <v>45749</v>
      </c>
      <c r="B63" vm="114">
        <f ca="1"/>
        <v>10.15</v>
      </c>
      <c r="C63">
        <f t="shared" ca="1" si="0"/>
        <v>9.7866238412393098</v>
      </c>
      <c r="D63">
        <f t="shared" ca="1" si="1"/>
        <v>9.6936199999999992</v>
      </c>
    </row>
    <row r="64" spans="1:4" x14ac:dyDescent="0.25">
      <c r="A64" vm="115">
        <f ca="1"/>
        <v>45750</v>
      </c>
      <c r="B64" vm="116">
        <f ca="1"/>
        <v>9.5399999999999991</v>
      </c>
      <c r="C64">
        <f t="shared" ca="1" si="0"/>
        <v>9.7769523180534552</v>
      </c>
      <c r="D64">
        <f t="shared" ca="1" si="1"/>
        <v>9.6869940000000003</v>
      </c>
    </row>
    <row r="65" spans="1:4" x14ac:dyDescent="0.25">
      <c r="A65" vm="117">
        <f ca="1"/>
        <v>45751</v>
      </c>
      <c r="B65" vm="118">
        <f ca="1"/>
        <v>9.58</v>
      </c>
      <c r="C65">
        <f t="shared" ca="1" si="0"/>
        <v>9.769228697737633</v>
      </c>
      <c r="D65">
        <f t="shared" ca="1" si="1"/>
        <v>9.6786079999999988</v>
      </c>
    </row>
    <row r="66" spans="1:4" x14ac:dyDescent="0.25">
      <c r="A66" vm="119">
        <f ca="1"/>
        <v>45754</v>
      </c>
      <c r="B66" vm="120">
        <f ca="1"/>
        <v>9.24</v>
      </c>
      <c r="C66">
        <f t="shared" ca="1" si="0"/>
        <v>9.7484746311596879</v>
      </c>
      <c r="D66">
        <f t="shared" ca="1" si="1"/>
        <v>9.6642099999999989</v>
      </c>
    </row>
    <row r="67" spans="1:4" x14ac:dyDescent="0.25">
      <c r="A67" vm="121">
        <f ca="1"/>
        <v>45755</v>
      </c>
      <c r="B67" vm="122">
        <f ca="1"/>
        <v>8.69</v>
      </c>
      <c r="C67">
        <f t="shared" ca="1" si="0"/>
        <v>9.7069658220946007</v>
      </c>
      <c r="D67">
        <f t="shared" ca="1" si="1"/>
        <v>9.6336939999999984</v>
      </c>
    </row>
    <row r="68" spans="1:4" x14ac:dyDescent="0.25">
      <c r="A68" vm="123">
        <f ca="1"/>
        <v>45756</v>
      </c>
      <c r="B68" vm="124">
        <f ca="1"/>
        <v>9.5</v>
      </c>
      <c r="C68">
        <f t="shared" ca="1" si="0"/>
        <v>9.6988495153457936</v>
      </c>
      <c r="D68">
        <f t="shared" ca="1" si="1"/>
        <v>9.6252840000000006</v>
      </c>
    </row>
    <row r="69" spans="1:4" x14ac:dyDescent="0.25">
      <c r="A69" vm="125">
        <f ca="1"/>
        <v>45757</v>
      </c>
      <c r="B69" vm="126">
        <f ca="1"/>
        <v>9.14</v>
      </c>
      <c r="C69">
        <f t="shared" ca="1" si="0"/>
        <v>9.6769338480773328</v>
      </c>
      <c r="D69">
        <f t="shared" ca="1" si="1"/>
        <v>9.6071139999999993</v>
      </c>
    </row>
    <row r="70" spans="1:4" x14ac:dyDescent="0.25">
      <c r="A70" vm="127">
        <f ca="1"/>
        <v>45758</v>
      </c>
      <c r="B70" vm="53">
        <f ca="1"/>
        <v>9.33</v>
      </c>
      <c r="C70">
        <f t="shared" ca="1" si="0"/>
        <v>9.6633285991331235</v>
      </c>
      <c r="D70">
        <f t="shared" ca="1" si="1"/>
        <v>9.5937279999999987</v>
      </c>
    </row>
    <row r="71" spans="1:4" x14ac:dyDescent="0.25">
      <c r="A71" vm="128">
        <f ca="1"/>
        <v>45761</v>
      </c>
      <c r="B71" vm="129">
        <f ca="1"/>
        <v>9.7100000000000009</v>
      </c>
      <c r="C71">
        <f t="shared" ca="1" si="0"/>
        <v>9.6651588501475114</v>
      </c>
      <c r="D71">
        <f t="shared" ca="1" si="1"/>
        <v>9.589518</v>
      </c>
    </row>
    <row r="72" spans="1:4" x14ac:dyDescent="0.25">
      <c r="A72" vm="130">
        <f ca="1"/>
        <v>45762</v>
      </c>
      <c r="B72" vm="131">
        <f ca="1"/>
        <v>9.4499999999999993</v>
      </c>
      <c r="C72">
        <f t="shared" ca="1" si="0"/>
        <v>9.6567212481809435</v>
      </c>
      <c r="D72">
        <f t="shared" ca="1" si="1"/>
        <v>9.5838479999999997</v>
      </c>
    </row>
    <row r="73" spans="1:4" x14ac:dyDescent="0.25">
      <c r="A73" vm="132">
        <f ca="1"/>
        <v>45763</v>
      </c>
      <c r="B73" vm="133">
        <f ca="1"/>
        <v>9.4</v>
      </c>
      <c r="C73">
        <f t="shared" ca="1" si="0"/>
        <v>9.6466537482522803</v>
      </c>
      <c r="D73">
        <f t="shared" ca="1" si="1"/>
        <v>9.5718619999999976</v>
      </c>
    </row>
    <row r="74" spans="1:4" x14ac:dyDescent="0.25">
      <c r="A74" vm="134">
        <f ca="1"/>
        <v>45764</v>
      </c>
      <c r="B74" vm="135">
        <f ca="1"/>
        <v>9.6300000000000008</v>
      </c>
      <c r="C74">
        <f t="shared" ca="1" si="0"/>
        <v>9.646000660085523</v>
      </c>
      <c r="D74">
        <f t="shared" ca="1" si="1"/>
        <v>9.5674299999999981</v>
      </c>
    </row>
    <row r="75" spans="1:4" x14ac:dyDescent="0.25">
      <c r="A75" vm="136">
        <f ca="1"/>
        <v>45768</v>
      </c>
      <c r="B75" vm="67">
        <f ca="1"/>
        <v>9.4700000000000006</v>
      </c>
      <c r="C75">
        <f t="shared" ca="1" si="0"/>
        <v>9.6390986734155018</v>
      </c>
      <c r="D75">
        <f t="shared" ca="1" si="1"/>
        <v>9.5745599999999982</v>
      </c>
    </row>
    <row r="76" spans="1:4" x14ac:dyDescent="0.25">
      <c r="A76" vm="137">
        <f ca="1"/>
        <v>45769</v>
      </c>
      <c r="B76" vm="75">
        <f ca="1"/>
        <v>9.65</v>
      </c>
      <c r="C76">
        <f t="shared" ca="1" si="0"/>
        <v>9.6395261764188156</v>
      </c>
      <c r="D76">
        <f t="shared" ca="1" si="1"/>
        <v>9.585683999999997</v>
      </c>
    </row>
    <row r="77" spans="1:4" x14ac:dyDescent="0.25">
      <c r="A77" vm="138">
        <f ca="1"/>
        <v>45770</v>
      </c>
      <c r="B77" vm="139">
        <f ca="1"/>
        <v>9.7799999999999994</v>
      </c>
      <c r="C77">
        <f t="shared" ca="1" si="0"/>
        <v>9.6450349538141555</v>
      </c>
      <c r="D77">
        <f t="shared" ca="1" si="1"/>
        <v>9.5994079999999968</v>
      </c>
    </row>
    <row r="78" spans="1:4" x14ac:dyDescent="0.25">
      <c r="A78" vm="140">
        <f ca="1"/>
        <v>45771</v>
      </c>
      <c r="B78" vm="141">
        <f ca="1"/>
        <v>10.06</v>
      </c>
      <c r="C78">
        <f t="shared" ca="1" si="0"/>
        <v>9.661308092880267</v>
      </c>
      <c r="D78">
        <f t="shared" ca="1" si="1"/>
        <v>9.6193219999999968</v>
      </c>
    </row>
    <row r="79" spans="1:4" x14ac:dyDescent="0.25">
      <c r="A79" vm="142">
        <f ca="1"/>
        <v>45772</v>
      </c>
      <c r="B79" vm="143">
        <f ca="1"/>
        <v>10.039999999999999</v>
      </c>
      <c r="C79">
        <f t="shared" ca="1" si="0"/>
        <v>9.6761587559045719</v>
      </c>
      <c r="D79">
        <f t="shared" ca="1" si="1"/>
        <v>9.638441999999996</v>
      </c>
    </row>
    <row r="80" spans="1:4" x14ac:dyDescent="0.25">
      <c r="A80" vm="144">
        <f ca="1"/>
        <v>45775</v>
      </c>
      <c r="B80" vm="145">
        <f ca="1"/>
        <v>10.02</v>
      </c>
      <c r="C80">
        <f t="shared" ca="1" si="0"/>
        <v>9.6896427262612548</v>
      </c>
      <c r="D80">
        <f t="shared" ca="1" si="1"/>
        <v>9.6547999999999963</v>
      </c>
    </row>
    <row r="81" spans="1:4" x14ac:dyDescent="0.25">
      <c r="A81" vm="146">
        <f ca="1"/>
        <v>45776</v>
      </c>
      <c r="B81" vm="114">
        <f ca="1"/>
        <v>10.15</v>
      </c>
      <c r="C81">
        <f t="shared" ca="1" si="0"/>
        <v>9.7076959526823821</v>
      </c>
      <c r="D81">
        <f t="shared" ca="1" si="1"/>
        <v>9.6711999999999954</v>
      </c>
    </row>
    <row r="82" spans="1:4" x14ac:dyDescent="0.25">
      <c r="A82" vm="147">
        <f ca="1"/>
        <v>45777</v>
      </c>
      <c r="B82" vm="97">
        <f ca="1"/>
        <v>10.01</v>
      </c>
      <c r="C82">
        <f t="shared" ca="1" si="0"/>
        <v>9.7195510133615048</v>
      </c>
      <c r="D82">
        <f t="shared" ca="1" si="1"/>
        <v>9.6855999999999955</v>
      </c>
    </row>
    <row r="83" spans="1:4" x14ac:dyDescent="0.25">
      <c r="A83" vm="148">
        <f ca="1"/>
        <v>45778</v>
      </c>
      <c r="B83" vm="149">
        <f ca="1"/>
        <v>10.18</v>
      </c>
      <c r="C83">
        <f t="shared" ca="1" si="0"/>
        <v>9.7376078363669354</v>
      </c>
      <c r="D83">
        <f t="shared" ca="1" si="1"/>
        <v>9.7023999999999972</v>
      </c>
    </row>
    <row r="84" spans="1:4" x14ac:dyDescent="0.25">
      <c r="A84" vm="150">
        <f ca="1"/>
        <v>45779</v>
      </c>
      <c r="B84" vm="151">
        <f ca="1"/>
        <v>10.28</v>
      </c>
      <c r="C84">
        <f t="shared" ca="1" si="0"/>
        <v>9.7588781172937225</v>
      </c>
      <c r="D84">
        <f t="shared" ca="1" si="1"/>
        <v>9.7201999999999948</v>
      </c>
    </row>
    <row r="85" spans="1:4" x14ac:dyDescent="0.25">
      <c r="A85" vm="152">
        <f ca="1"/>
        <v>45782</v>
      </c>
      <c r="B85" vm="95">
        <f ca="1"/>
        <v>10.17</v>
      </c>
      <c r="C85">
        <f t="shared" ca="1" si="0"/>
        <v>9.7750005440665184</v>
      </c>
      <c r="D85">
        <f t="shared" ca="1" si="1"/>
        <v>9.737999999999996</v>
      </c>
    </row>
    <row r="86" spans="1:4" x14ac:dyDescent="0.25">
      <c r="A86" vm="153">
        <f ca="1"/>
        <v>45783</v>
      </c>
      <c r="B86" vm="154">
        <f ca="1"/>
        <v>10.44</v>
      </c>
      <c r="C86">
        <f t="shared" ca="1" si="0"/>
        <v>9.8010789541031258</v>
      </c>
      <c r="D86">
        <f t="shared" ca="1" si="1"/>
        <v>9.7597999999999967</v>
      </c>
    </row>
    <row r="87" spans="1:4" x14ac:dyDescent="0.25">
      <c r="A87" vm="155">
        <f ca="1"/>
        <v>45784</v>
      </c>
      <c r="B87" vm="151">
        <f ca="1"/>
        <v>10.28</v>
      </c>
      <c r="C87">
        <f t="shared" ca="1" si="0"/>
        <v>9.8198601715892782</v>
      </c>
      <c r="D87">
        <f t="shared" ca="1" si="1"/>
        <v>9.7769999999999957</v>
      </c>
    </row>
    <row r="88" spans="1:4" x14ac:dyDescent="0.25">
      <c r="A88" vm="156">
        <f ca="1"/>
        <v>45785</v>
      </c>
      <c r="B88" vm="151">
        <f ca="1"/>
        <v>10.28</v>
      </c>
      <c r="C88">
        <f t="shared" ca="1" si="0"/>
        <v>9.8379048707426389</v>
      </c>
      <c r="D88">
        <f t="shared" ca="1" si="1"/>
        <v>9.7931999999999952</v>
      </c>
    </row>
    <row r="89" spans="1:4" x14ac:dyDescent="0.25">
      <c r="A89" vm="157">
        <f ca="1"/>
        <v>45786</v>
      </c>
      <c r="B89" vm="158">
        <f ca="1"/>
        <v>10.43</v>
      </c>
      <c r="C89">
        <f t="shared" ca="1" si="0"/>
        <v>9.8611242875762599</v>
      </c>
      <c r="D89">
        <f t="shared" ca="1" si="1"/>
        <v>9.8159999999999972</v>
      </c>
    </row>
    <row r="90" spans="1:4" x14ac:dyDescent="0.25">
      <c r="A90" vm="159">
        <f ca="1"/>
        <v>45789</v>
      </c>
      <c r="B90" vm="160">
        <f ca="1"/>
        <v>10.55</v>
      </c>
      <c r="C90">
        <f t="shared" ca="1" si="0"/>
        <v>9.8881390213967997</v>
      </c>
      <c r="D90">
        <f t="shared" ca="1" si="1"/>
        <v>9.8359999999999967</v>
      </c>
    </row>
    <row r="91" spans="1:4" x14ac:dyDescent="0.25">
      <c r="A91" vm="161">
        <f ca="1"/>
        <v>45790</v>
      </c>
      <c r="B91" vm="162">
        <f ca="1"/>
        <v>10.6</v>
      </c>
      <c r="C91">
        <f t="shared" ca="1" si="0"/>
        <v>9.9160551382047686</v>
      </c>
      <c r="D91">
        <f t="shared" ca="1" si="1"/>
        <v>9.8601999999999972</v>
      </c>
    </row>
    <row r="92" spans="1:4" x14ac:dyDescent="0.25">
      <c r="A92" vm="163">
        <f ca="1"/>
        <v>45791</v>
      </c>
      <c r="B92" vm="164">
        <f ca="1"/>
        <v>10.65</v>
      </c>
      <c r="C92">
        <f t="shared" ca="1" si="0"/>
        <v>9.9448372896477188</v>
      </c>
      <c r="D92">
        <f t="shared" ca="1" si="1"/>
        <v>9.8907999999999969</v>
      </c>
    </row>
    <row r="93" spans="1:4" x14ac:dyDescent="0.25">
      <c r="A93" vm="165">
        <f ca="1"/>
        <v>45792</v>
      </c>
      <c r="B93" vm="166">
        <f ca="1"/>
        <v>10.75</v>
      </c>
      <c r="C93">
        <f t="shared" ca="1" si="0"/>
        <v>9.9764122978968288</v>
      </c>
      <c r="D93">
        <f t="shared" ca="1" si="1"/>
        <v>9.9127999999999972</v>
      </c>
    </row>
    <row r="94" spans="1:4" x14ac:dyDescent="0.25">
      <c r="A94" vm="167">
        <f ca="1"/>
        <v>45793</v>
      </c>
      <c r="B94" vm="168">
        <f ca="1"/>
        <v>10.8</v>
      </c>
      <c r="C94">
        <f t="shared" ca="1" si="0"/>
        <v>10.008709854842051</v>
      </c>
      <c r="D94">
        <f t="shared" ca="1" si="1"/>
        <v>9.9365999999999985</v>
      </c>
    </row>
    <row r="95" spans="1:4" x14ac:dyDescent="0.25">
      <c r="A95" vm="169">
        <f ca="1"/>
        <v>45796</v>
      </c>
      <c r="B95" vm="166">
        <f ca="1"/>
        <v>10.75</v>
      </c>
      <c r="C95">
        <f t="shared" ca="1" si="0"/>
        <v>10.037780056612952</v>
      </c>
      <c r="D95">
        <f t="shared" ca="1" si="1"/>
        <v>9.9535999999999998</v>
      </c>
    </row>
    <row r="96" spans="1:4" x14ac:dyDescent="0.25">
      <c r="A96" vm="170">
        <f ca="1"/>
        <v>45797</v>
      </c>
      <c r="B96" vm="171">
        <f ca="1"/>
        <v>10.72</v>
      </c>
      <c r="C96">
        <f t="shared" ca="1" si="0"/>
        <v>10.064533779883032</v>
      </c>
      <c r="D96">
        <f t="shared" ca="1" si="1"/>
        <v>9.9687999999999981</v>
      </c>
    </row>
    <row r="97" spans="1:4" x14ac:dyDescent="0.25">
      <c r="A97" vm="172">
        <f ca="1"/>
        <v>45798</v>
      </c>
      <c r="B97" vm="173">
        <f ca="1"/>
        <v>10.48</v>
      </c>
      <c r="C97">
        <f t="shared" ca="1" si="0"/>
        <v>10.080826572828794</v>
      </c>
      <c r="D97">
        <f t="shared" ca="1" si="1"/>
        <v>9.9846000000000004</v>
      </c>
    </row>
    <row r="98" spans="1:4" x14ac:dyDescent="0.25">
      <c r="A98" vm="174">
        <f ca="1"/>
        <v>45799</v>
      </c>
      <c r="B98" vm="154">
        <f ca="1"/>
        <v>10.44</v>
      </c>
      <c r="C98">
        <f t="shared" ca="1" si="0"/>
        <v>10.094911805266882</v>
      </c>
      <c r="D98">
        <f t="shared" ca="1" si="1"/>
        <v>10.001599999999998</v>
      </c>
    </row>
    <row r="99" spans="1:4" x14ac:dyDescent="0.25">
      <c r="A99" vm="175">
        <f ca="1"/>
        <v>45800</v>
      </c>
      <c r="B99" vm="176">
        <f ca="1"/>
        <v>10.36</v>
      </c>
      <c r="C99">
        <f t="shared" ca="1" si="0"/>
        <v>10.105307420746612</v>
      </c>
      <c r="D99">
        <f t="shared" ca="1" si="1"/>
        <v>10.0182</v>
      </c>
    </row>
    <row r="100" spans="1:4" x14ac:dyDescent="0.25">
      <c r="A100" vm="177">
        <f ca="1"/>
        <v>45804</v>
      </c>
      <c r="B100" vm="178">
        <f ca="1"/>
        <v>10.31</v>
      </c>
      <c r="C100">
        <f t="shared" ca="1" si="0"/>
        <v>10.113334580717334</v>
      </c>
      <c r="D100">
        <f t="shared" ca="1" si="1"/>
        <v>10.0298</v>
      </c>
    </row>
    <row r="101" spans="1:4" x14ac:dyDescent="0.25">
      <c r="A101" vm="179">
        <f ca="1"/>
        <v>45805</v>
      </c>
      <c r="B101" vm="95">
        <f ca="1"/>
        <v>10.17</v>
      </c>
      <c r="C101">
        <f t="shared" ca="1" si="0"/>
        <v>10.115556754022537</v>
      </c>
      <c r="D101">
        <f t="shared" ca="1" si="1"/>
        <v>10.034800000000001</v>
      </c>
    </row>
    <row r="102" spans="1:4" x14ac:dyDescent="0.25">
      <c r="A102" vm="180">
        <f ca="1"/>
        <v>45806</v>
      </c>
      <c r="B102" vm="181">
        <f ca="1"/>
        <v>10.220000000000001</v>
      </c>
      <c r="C102">
        <f t="shared" ca="1" si="0"/>
        <v>10.119652567590281</v>
      </c>
      <c r="D102">
        <f t="shared" ca="1" si="1"/>
        <v>10.040200000000002</v>
      </c>
    </row>
    <row r="103" spans="1:4" x14ac:dyDescent="0.25">
      <c r="A103" vm="182">
        <f ca="1"/>
        <v>45807</v>
      </c>
      <c r="B103" vm="183">
        <f ca="1"/>
        <v>10.38</v>
      </c>
      <c r="C103">
        <f t="shared" ca="1" si="0"/>
        <v>10.129862270822034</v>
      </c>
      <c r="D103">
        <f t="shared" ca="1" si="1"/>
        <v>10.044400000000001</v>
      </c>
    </row>
    <row r="104" spans="1:4" x14ac:dyDescent="0.25">
      <c r="A104" vm="184">
        <f ca="1"/>
        <v>45810</v>
      </c>
      <c r="B104" vm="185">
        <f ca="1"/>
        <v>9.98</v>
      </c>
      <c r="C104">
        <f t="shared" ca="1" si="0"/>
        <v>10.123985319025092</v>
      </c>
      <c r="D104">
        <f t="shared" ca="1" si="1"/>
        <v>10.043800000000001</v>
      </c>
    </row>
    <row r="105" spans="1:4" x14ac:dyDescent="0.25">
      <c r="A105" vm="186">
        <f ca="1"/>
        <v>45811</v>
      </c>
      <c r="B105" vm="187">
        <f ca="1"/>
        <v>10.19</v>
      </c>
      <c r="C105">
        <f t="shared" ca="1" si="0"/>
        <v>10.126574130043716</v>
      </c>
      <c r="D105">
        <f t="shared" ca="1" si="1"/>
        <v>10.047600000000003</v>
      </c>
    </row>
    <row r="106" spans="1:4" x14ac:dyDescent="0.25">
      <c r="A106" vm="188">
        <f ca="1"/>
        <v>45812</v>
      </c>
      <c r="B106" vm="189">
        <f ca="1"/>
        <v>10.24</v>
      </c>
      <c r="C106">
        <f t="shared" ca="1" si="0"/>
        <v>10.131022203375336</v>
      </c>
      <c r="D106">
        <f t="shared" ca="1" si="1"/>
        <v>10.047400000000001</v>
      </c>
    </row>
    <row r="107" spans="1:4" x14ac:dyDescent="0.25">
      <c r="A107" vm="190">
        <f ca="1"/>
        <v>45813</v>
      </c>
      <c r="B107" vm="191">
        <f ca="1"/>
        <v>10.1</v>
      </c>
      <c r="C107">
        <f t="shared" ca="1" si="0"/>
        <v>10.129805646380225</v>
      </c>
      <c r="D107">
        <f t="shared" ca="1" si="1"/>
        <v>10.043600000000003</v>
      </c>
    </row>
    <row r="108" spans="1:4" x14ac:dyDescent="0.25">
      <c r="A108" vm="192">
        <f ca="1"/>
        <v>45814</v>
      </c>
      <c r="B108" vm="193">
        <f ca="1"/>
        <v>10.26</v>
      </c>
      <c r="C108">
        <f t="shared" ca="1" si="0"/>
        <v>10.13491130730649</v>
      </c>
      <c r="D108">
        <f t="shared" ca="1" si="1"/>
        <v>10.042800000000002</v>
      </c>
    </row>
    <row r="109" spans="1:4" x14ac:dyDescent="0.25">
      <c r="A109" vm="194">
        <f ca="1"/>
        <v>45817</v>
      </c>
      <c r="B109" vm="195">
        <f ca="1"/>
        <v>10.34</v>
      </c>
      <c r="C109">
        <f t="shared" ca="1" si="0"/>
        <v>10.142954001137609</v>
      </c>
      <c r="D109">
        <f t="shared" ca="1" si="1"/>
        <v>10.051600000000002</v>
      </c>
    </row>
    <row r="110" spans="1:4" x14ac:dyDescent="0.25">
      <c r="A110" vm="196">
        <f ca="1"/>
        <v>45818</v>
      </c>
      <c r="B110" vm="162">
        <f ca="1"/>
        <v>10.6</v>
      </c>
      <c r="C110">
        <f t="shared" ca="1" si="0"/>
        <v>10.160877373642016</v>
      </c>
      <c r="D110">
        <f t="shared" ca="1" si="1"/>
        <v>10.069200000000002</v>
      </c>
    </row>
    <row r="111" spans="1:4" x14ac:dyDescent="0.25">
      <c r="A111" vm="197">
        <f ca="1"/>
        <v>45819</v>
      </c>
      <c r="B111" vm="198">
        <f ca="1"/>
        <v>10.66</v>
      </c>
      <c r="C111">
        <f t="shared" ca="1" si="0"/>
        <v>10.180450809969781</v>
      </c>
      <c r="D111">
        <f t="shared" ca="1" si="1"/>
        <v>10.081800000000005</v>
      </c>
    </row>
    <row r="112" spans="1:4" x14ac:dyDescent="0.25">
      <c r="A112" vm="199">
        <f ca="1"/>
        <v>45820</v>
      </c>
      <c r="B112" vm="200">
        <f ca="1"/>
        <v>10.53</v>
      </c>
      <c r="C112">
        <f t="shared" ca="1" si="0"/>
        <v>10.194158621343513</v>
      </c>
      <c r="D112">
        <f t="shared" ca="1" si="1"/>
        <v>10.093600000000002</v>
      </c>
    </row>
    <row r="113" spans="1:4" x14ac:dyDescent="0.25">
      <c r="A113" vm="201">
        <f ca="1"/>
        <v>45821</v>
      </c>
      <c r="B113" vm="158">
        <f ca="1"/>
        <v>10.43</v>
      </c>
      <c r="C113">
        <f t="shared" ca="1" si="0"/>
        <v>10.203407302859453</v>
      </c>
      <c r="D113">
        <f t="shared" ca="1" si="1"/>
        <v>10.099200000000003</v>
      </c>
    </row>
    <row r="114" spans="1:4" x14ac:dyDescent="0.25">
      <c r="A114" vm="202">
        <f ca="1"/>
        <v>45824</v>
      </c>
      <c r="B114" vm="203">
        <f ca="1"/>
        <v>10.62</v>
      </c>
      <c r="C114">
        <f t="shared" ca="1" si="0"/>
        <v>10.219744271374768</v>
      </c>
      <c r="D114">
        <f t="shared" ca="1" si="1"/>
        <v>10.120800000000003</v>
      </c>
    </row>
    <row r="115" spans="1:4" x14ac:dyDescent="0.25">
      <c r="A115" vm="204">
        <f ca="1"/>
        <v>45825</v>
      </c>
      <c r="B115" vm="205">
        <f ca="1"/>
        <v>10.42</v>
      </c>
      <c r="C115">
        <f t="shared" ca="1" si="0"/>
        <v>10.227597437203208</v>
      </c>
      <c r="D115">
        <f t="shared" ca="1" si="1"/>
        <v>10.137600000000003</v>
      </c>
    </row>
    <row r="116" spans="1:4" x14ac:dyDescent="0.25">
      <c r="A116" vm="206">
        <f ca="1"/>
        <v>45826</v>
      </c>
      <c r="B116" vm="158">
        <f ca="1"/>
        <v>10.43</v>
      </c>
      <c r="C116">
        <f t="shared" ref="C116:C179" ca="1" si="2">(B116 * (2/51)) + (C115 * (1 - (2/51)))</f>
        <v>10.235534792607003</v>
      </c>
      <c r="D116">
        <f t="shared" ref="D116:D179" ca="1" si="3">AVERAGE(B67:B116)</f>
        <v>10.161400000000004</v>
      </c>
    </row>
    <row r="117" spans="1:4" x14ac:dyDescent="0.25">
      <c r="A117" vm="207">
        <f ca="1"/>
        <v>45828</v>
      </c>
      <c r="B117" vm="208">
        <f ca="1"/>
        <v>10.59</v>
      </c>
      <c r="C117">
        <f t="shared" ca="1" si="2"/>
        <v>10.249435388975357</v>
      </c>
      <c r="D117">
        <f t="shared" ca="1" si="3"/>
        <v>10.199400000000002</v>
      </c>
    </row>
    <row r="118" spans="1:4" x14ac:dyDescent="0.25">
      <c r="A118" vm="209">
        <f ca="1"/>
        <v>45831</v>
      </c>
      <c r="B118" vm="166">
        <f ca="1"/>
        <v>10.75</v>
      </c>
      <c r="C118">
        <f t="shared" ca="1" si="2"/>
        <v>10.269065373721421</v>
      </c>
      <c r="D118">
        <f t="shared" ca="1" si="3"/>
        <v>10.224400000000003</v>
      </c>
    </row>
    <row r="119" spans="1:4" x14ac:dyDescent="0.25">
      <c r="A119" vm="210">
        <f ca="1"/>
        <v>45832</v>
      </c>
      <c r="B119" vm="211">
        <f ca="1"/>
        <v>10.73</v>
      </c>
      <c r="C119">
        <f t="shared" ca="1" si="2"/>
        <v>10.28714124141862</v>
      </c>
      <c r="D119">
        <f t="shared" ca="1" si="3"/>
        <v>10.256200000000003</v>
      </c>
    </row>
    <row r="120" spans="1:4" x14ac:dyDescent="0.25">
      <c r="A120" vm="212">
        <f ca="1"/>
        <v>45833</v>
      </c>
      <c r="B120" vm="173">
        <f ca="1"/>
        <v>10.48</v>
      </c>
      <c r="C120">
        <f t="shared" ca="1" si="2"/>
        <v>10.294704329990438</v>
      </c>
      <c r="D120">
        <f t="shared" ca="1" si="3"/>
        <v>10.279200000000003</v>
      </c>
    </row>
    <row r="121" spans="1:4" x14ac:dyDescent="0.25">
      <c r="A121" vm="213">
        <f ca="1"/>
        <v>45834</v>
      </c>
      <c r="B121" vm="214">
        <f ca="1"/>
        <v>10.63</v>
      </c>
      <c r="C121">
        <f t="shared" ca="1" si="2"/>
        <v>10.307853179794733</v>
      </c>
      <c r="D121">
        <f t="shared" ca="1" si="3"/>
        <v>10.297600000000005</v>
      </c>
    </row>
    <row r="122" spans="1:4" x14ac:dyDescent="0.25">
      <c r="A122" vm="215">
        <f ca="1"/>
        <v>45835</v>
      </c>
      <c r="B122" vm="168">
        <f ca="1"/>
        <v>10.8</v>
      </c>
      <c r="C122">
        <f t="shared" ca="1" si="2"/>
        <v>10.327153055096902</v>
      </c>
      <c r="D122">
        <f t="shared" ca="1" si="3"/>
        <v>10.324600000000002</v>
      </c>
    </row>
    <row r="123" spans="1:4" x14ac:dyDescent="0.25">
      <c r="A123" vm="216">
        <f ca="1"/>
        <v>45838</v>
      </c>
      <c r="B123" vm="217">
        <f ca="1"/>
        <v>10.85</v>
      </c>
      <c r="C123">
        <f t="shared" ca="1" si="2"/>
        <v>10.347656856857808</v>
      </c>
      <c r="D123">
        <f t="shared" ca="1" si="3"/>
        <v>10.353600000000004</v>
      </c>
    </row>
    <row r="124" spans="1:4" x14ac:dyDescent="0.25">
      <c r="A124" vm="218">
        <f ca="1"/>
        <v>45839</v>
      </c>
      <c r="B124" vm="219">
        <f ca="1"/>
        <v>11.35</v>
      </c>
      <c r="C124">
        <f t="shared" ca="1" si="2"/>
        <v>10.386964431098679</v>
      </c>
      <c r="D124">
        <f t="shared" ca="1" si="3"/>
        <v>10.388000000000003</v>
      </c>
    </row>
    <row r="125" spans="1:4" x14ac:dyDescent="0.25">
      <c r="A125" vm="220">
        <f ca="1"/>
        <v>45840</v>
      </c>
      <c r="B125" vm="221">
        <f ca="1"/>
        <v>11.77</v>
      </c>
      <c r="C125">
        <f t="shared" ca="1" si="2"/>
        <v>10.441201120075201</v>
      </c>
      <c r="D125">
        <f t="shared" ca="1" si="3"/>
        <v>10.434000000000003</v>
      </c>
    </row>
    <row r="126" spans="1:4" x14ac:dyDescent="0.25">
      <c r="A126" vm="222">
        <f ca="1"/>
        <v>45841</v>
      </c>
      <c r="B126" vm="223">
        <f ca="1"/>
        <v>11.81</v>
      </c>
      <c r="C126">
        <f t="shared" ca="1" si="2"/>
        <v>10.494879507523232</v>
      </c>
      <c r="D126">
        <f t="shared" ca="1" si="3"/>
        <v>10.477200000000003</v>
      </c>
    </row>
    <row r="127" spans="1:4" x14ac:dyDescent="0.25">
      <c r="A127" vm="224">
        <f ca="1"/>
        <v>45845</v>
      </c>
      <c r="B127" vm="225">
        <f ca="1"/>
        <v>11.59</v>
      </c>
      <c r="C127">
        <f t="shared" ca="1" si="2"/>
        <v>10.537825409188988</v>
      </c>
      <c r="D127">
        <f t="shared" ca="1" si="3"/>
        <v>10.513400000000001</v>
      </c>
    </row>
    <row r="128" spans="1:4" x14ac:dyDescent="0.25">
      <c r="A128" vm="226">
        <f ca="1"/>
        <v>45846</v>
      </c>
      <c r="B128" vm="227">
        <f ca="1"/>
        <v>11.68</v>
      </c>
      <c r="C128">
        <f t="shared" ca="1" si="2"/>
        <v>10.582616569612949</v>
      </c>
      <c r="D128">
        <f t="shared" ca="1" si="3"/>
        <v>10.545800000000002</v>
      </c>
    </row>
    <row r="129" spans="1:4" x14ac:dyDescent="0.25">
      <c r="A129" vm="228">
        <f ca="1"/>
        <v>45847</v>
      </c>
      <c r="B129" vm="229">
        <f ca="1"/>
        <v>11.83</v>
      </c>
      <c r="C129">
        <f t="shared" ca="1" si="2"/>
        <v>10.63153356688303</v>
      </c>
      <c r="D129">
        <f t="shared" ca="1" si="3"/>
        <v>10.581600000000002</v>
      </c>
    </row>
    <row r="130" spans="1:4" x14ac:dyDescent="0.25">
      <c r="A130" vm="230">
        <f ca="1"/>
        <v>45848</v>
      </c>
      <c r="B130" vm="231">
        <f ca="1"/>
        <v>11.91</v>
      </c>
      <c r="C130">
        <f t="shared" ca="1" si="2"/>
        <v>10.681669505436638</v>
      </c>
      <c r="D130">
        <f t="shared" ca="1" si="3"/>
        <v>10.619400000000001</v>
      </c>
    </row>
    <row r="131" spans="1:4" x14ac:dyDescent="0.25">
      <c r="A131" vm="232">
        <f ca="1"/>
        <v>45849</v>
      </c>
      <c r="B131" vm="233">
        <f ca="1"/>
        <v>11.78</v>
      </c>
      <c r="C131">
        <f t="shared" ca="1" si="2"/>
        <v>10.72474128953716</v>
      </c>
      <c r="D131">
        <f t="shared" ca="1" si="3"/>
        <v>10.651999999999997</v>
      </c>
    </row>
    <row r="132" spans="1:4" x14ac:dyDescent="0.25">
      <c r="A132" vm="234">
        <f ca="1"/>
        <v>45852</v>
      </c>
      <c r="B132" vm="235">
        <f ca="1"/>
        <v>11.88</v>
      </c>
      <c r="C132">
        <f t="shared" ca="1" si="2"/>
        <v>10.770045552692567</v>
      </c>
      <c r="D132">
        <f t="shared" ca="1" si="3"/>
        <v>10.689400000000001</v>
      </c>
    </row>
    <row r="133" spans="1:4" x14ac:dyDescent="0.25">
      <c r="A133" vm="236">
        <f ca="1"/>
        <v>45853</v>
      </c>
      <c r="B133" vm="237">
        <f ca="1"/>
        <v>11.57</v>
      </c>
      <c r="C133">
        <f t="shared" ca="1" si="2"/>
        <v>10.801416315332073</v>
      </c>
      <c r="D133">
        <f t="shared" ca="1" si="3"/>
        <v>10.717200000000002</v>
      </c>
    </row>
    <row r="134" spans="1:4" x14ac:dyDescent="0.25">
      <c r="A134" vm="238">
        <f ca="1"/>
        <v>45854</v>
      </c>
      <c r="B134" vm="239">
        <f ca="1"/>
        <v>11.24</v>
      </c>
      <c r="C134">
        <f t="shared" ca="1" si="2"/>
        <v>10.818615675515129</v>
      </c>
      <c r="D134">
        <f t="shared" ca="1" si="3"/>
        <v>10.736400000000001</v>
      </c>
    </row>
    <row r="135" spans="1:4" x14ac:dyDescent="0.25">
      <c r="A135" vm="240">
        <f ca="1"/>
        <v>45855</v>
      </c>
      <c r="B135" vm="241">
        <f ca="1"/>
        <v>11.15</v>
      </c>
      <c r="C135">
        <f t="shared" ca="1" si="2"/>
        <v>10.831611139220419</v>
      </c>
      <c r="D135">
        <f t="shared" ca="1" si="3"/>
        <v>10.756000000000002</v>
      </c>
    </row>
    <row r="136" spans="1:4" x14ac:dyDescent="0.25">
      <c r="A136" vm="242">
        <f ca="1"/>
        <v>45856</v>
      </c>
      <c r="B136" vm="243">
        <f ca="1"/>
        <v>11.16</v>
      </c>
      <c r="C136">
        <f t="shared" ca="1" si="2"/>
        <v>10.844489133760796</v>
      </c>
      <c r="D136">
        <f t="shared" ca="1" si="3"/>
        <v>10.770399999999997</v>
      </c>
    </row>
    <row r="137" spans="1:4" x14ac:dyDescent="0.25">
      <c r="A137" vm="244">
        <f ca="1"/>
        <v>45859</v>
      </c>
      <c r="B137" vm="245">
        <f ca="1"/>
        <v>11.31</v>
      </c>
      <c r="C137">
        <f t="shared" ca="1" si="2"/>
        <v>10.862744461848608</v>
      </c>
      <c r="D137">
        <f t="shared" ca="1" si="3"/>
        <v>10.790999999999999</v>
      </c>
    </row>
    <row r="138" spans="1:4" x14ac:dyDescent="0.25">
      <c r="A138" vm="246">
        <f ca="1"/>
        <v>45860</v>
      </c>
      <c r="B138" vm="247">
        <f ca="1"/>
        <v>11.19</v>
      </c>
      <c r="C138">
        <f t="shared" ca="1" si="2"/>
        <v>10.87557801236435</v>
      </c>
      <c r="D138">
        <f t="shared" ca="1" si="3"/>
        <v>10.809199999999999</v>
      </c>
    </row>
    <row r="139" spans="1:4" x14ac:dyDescent="0.25">
      <c r="A139" vm="248">
        <f ca="1"/>
        <v>45861</v>
      </c>
      <c r="B139" vm="249">
        <f ca="1"/>
        <v>11.38</v>
      </c>
      <c r="C139">
        <f t="shared" ca="1" si="2"/>
        <v>10.895359266781433</v>
      </c>
      <c r="D139">
        <f t="shared" ca="1" si="3"/>
        <v>10.828200000000002</v>
      </c>
    </row>
    <row r="140" spans="1:4" x14ac:dyDescent="0.25">
      <c r="A140" vm="250">
        <f ca="1"/>
        <v>45862</v>
      </c>
      <c r="B140" vm="251">
        <f ca="1"/>
        <v>11.26</v>
      </c>
      <c r="C140">
        <f t="shared" ca="1" si="2"/>
        <v>10.90965890337824</v>
      </c>
      <c r="D140">
        <f t="shared" ca="1" si="3"/>
        <v>10.8424</v>
      </c>
    </row>
    <row r="141" spans="1:4" x14ac:dyDescent="0.25">
      <c r="A141" vm="252">
        <f ca="1"/>
        <v>45863</v>
      </c>
      <c r="B141" vm="253">
        <f ca="1"/>
        <v>11.47</v>
      </c>
      <c r="C141">
        <f t="shared" ca="1" si="2"/>
        <v>10.931633064030073</v>
      </c>
      <c r="D141">
        <f t="shared" ca="1" si="3"/>
        <v>10.8598</v>
      </c>
    </row>
    <row r="142" spans="1:4" x14ac:dyDescent="0.25">
      <c r="A142" vm="254">
        <f ca="1"/>
        <v>45866</v>
      </c>
      <c r="B142" vm="255">
        <f ca="1"/>
        <v>11.28</v>
      </c>
      <c r="C142">
        <f t="shared" ca="1" si="2"/>
        <v>10.945294512499482</v>
      </c>
      <c r="D142">
        <f t="shared" ca="1" si="3"/>
        <v>10.872400000000001</v>
      </c>
    </row>
    <row r="143" spans="1:4" x14ac:dyDescent="0.25">
      <c r="A143" vm="256">
        <f ca="1"/>
        <v>45867</v>
      </c>
      <c r="B143" vm="257">
        <f ca="1"/>
        <v>11.08</v>
      </c>
      <c r="C143">
        <f t="shared" ca="1" si="2"/>
        <v>10.950577080636757</v>
      </c>
      <c r="D143">
        <f t="shared" ca="1" si="3"/>
        <v>10.879000000000001</v>
      </c>
    </row>
    <row r="144" spans="1:4" x14ac:dyDescent="0.25">
      <c r="A144" vm="258">
        <f ca="1"/>
        <v>45868</v>
      </c>
      <c r="B144" vm="259">
        <f ca="1"/>
        <v>10.87</v>
      </c>
      <c r="C144">
        <f t="shared" ca="1" si="2"/>
        <v>10.94741719512159</v>
      </c>
      <c r="D144">
        <f t="shared" ca="1" si="3"/>
        <v>10.880400000000002</v>
      </c>
    </row>
    <row r="145" spans="1:4" x14ac:dyDescent="0.25">
      <c r="A145" vm="260">
        <f ca="1"/>
        <v>45869</v>
      </c>
      <c r="B145" vm="261">
        <f ca="1"/>
        <v>11.07</v>
      </c>
      <c r="C145">
        <f t="shared" ca="1" si="2"/>
        <v>10.952224363940351</v>
      </c>
      <c r="D145">
        <f t="shared" ca="1" si="3"/>
        <v>10.886800000000001</v>
      </c>
    </row>
    <row r="146" spans="1:4" x14ac:dyDescent="0.25">
      <c r="A146" vm="262">
        <f ca="1"/>
        <v>45870</v>
      </c>
      <c r="B146" vm="263">
        <f ca="1"/>
        <v>10.82</v>
      </c>
      <c r="C146">
        <f t="shared" ca="1" si="2"/>
        <v>10.94703909476622</v>
      </c>
      <c r="D146">
        <f t="shared" ca="1" si="3"/>
        <v>10.888800000000002</v>
      </c>
    </row>
    <row r="147" spans="1:4" x14ac:dyDescent="0.25">
      <c r="A147" vm="264">
        <f ca="1"/>
        <v>45873</v>
      </c>
      <c r="B147" vm="265">
        <f ca="1"/>
        <v>10.95</v>
      </c>
      <c r="C147">
        <f t="shared" ca="1" si="2"/>
        <v>10.947155208696957</v>
      </c>
      <c r="D147">
        <f t="shared" ca="1" si="3"/>
        <v>10.898200000000001</v>
      </c>
    </row>
    <row r="148" spans="1:4" x14ac:dyDescent="0.25">
      <c r="A148" vm="266">
        <f ca="1"/>
        <v>45874</v>
      </c>
      <c r="B148" vm="267">
        <f ca="1"/>
        <v>11.06</v>
      </c>
      <c r="C148">
        <f t="shared" ca="1" si="2"/>
        <v>10.951580494630409</v>
      </c>
      <c r="D148">
        <f t="shared" ca="1" si="3"/>
        <v>10.910599999999999</v>
      </c>
    </row>
    <row r="149" spans="1:4" x14ac:dyDescent="0.25">
      <c r="A149" vm="268">
        <f ca="1"/>
        <v>45875</v>
      </c>
      <c r="B149" vm="269">
        <f ca="1"/>
        <v>11.21</v>
      </c>
      <c r="C149">
        <f t="shared" ca="1" si="2"/>
        <v>10.961714592880197</v>
      </c>
      <c r="D149">
        <f t="shared" ca="1" si="3"/>
        <v>10.9276</v>
      </c>
    </row>
    <row r="150" spans="1:4" x14ac:dyDescent="0.25">
      <c r="A150" vm="270">
        <f ca="1"/>
        <v>45876</v>
      </c>
      <c r="B150" vm="255">
        <f ca="1"/>
        <v>11.28</v>
      </c>
      <c r="C150">
        <f t="shared" ca="1" si="2"/>
        <v>10.974196373551562</v>
      </c>
      <c r="D150">
        <f t="shared" ca="1" si="3"/>
        <v>10.946999999999997</v>
      </c>
    </row>
    <row r="151" spans="1:4" x14ac:dyDescent="0.25">
      <c r="A151" vm="271">
        <f ca="1"/>
        <v>45877</v>
      </c>
      <c r="B151" vm="272">
        <f ca="1"/>
        <v>11.32</v>
      </c>
      <c r="C151">
        <f t="shared" ca="1" si="2"/>
        <v>10.987757300078952</v>
      </c>
      <c r="D151">
        <f t="shared" ca="1" si="3"/>
        <v>10.969999999999997</v>
      </c>
    </row>
    <row r="152" spans="1:4" x14ac:dyDescent="0.25">
      <c r="A152" vm="273">
        <f ca="1"/>
        <v>45880</v>
      </c>
      <c r="B152" vm="274">
        <f ca="1"/>
        <v>11.14</v>
      </c>
      <c r="C152">
        <f t="shared" ca="1" si="2"/>
        <v>10.993727602036641</v>
      </c>
      <c r="D152">
        <f t="shared" ca="1" si="3"/>
        <v>10.988399999999999</v>
      </c>
    </row>
    <row r="153" spans="1:4" x14ac:dyDescent="0.25">
      <c r="A153" vm="275">
        <f ca="1"/>
        <v>45881</v>
      </c>
      <c r="B153" vm="276">
        <f ca="1"/>
        <v>11.25</v>
      </c>
      <c r="C153">
        <f t="shared" ca="1" si="2"/>
        <v>11.003777499995989</v>
      </c>
      <c r="D153">
        <f t="shared" ca="1" si="3"/>
        <v>11.005799999999999</v>
      </c>
    </row>
    <row r="154" spans="1:4" x14ac:dyDescent="0.25">
      <c r="A154" vm="277">
        <f ca="1"/>
        <v>45882</v>
      </c>
      <c r="B154" vm="278">
        <f ca="1"/>
        <v>11.44</v>
      </c>
      <c r="C154">
        <f t="shared" ca="1" si="2"/>
        <v>11.02088426470203</v>
      </c>
      <c r="D154">
        <f t="shared" ca="1" si="3"/>
        <v>11.034999999999998</v>
      </c>
    </row>
    <row r="155" spans="1:4" x14ac:dyDescent="0.25">
      <c r="A155" vm="279">
        <f ca="1"/>
        <v>45883</v>
      </c>
      <c r="B155" vm="278">
        <f ca="1"/>
        <v>11.44</v>
      </c>
      <c r="C155">
        <f t="shared" ca="1" si="2"/>
        <v>11.037320175890187</v>
      </c>
      <c r="D155">
        <f t="shared" ca="1" si="3"/>
        <v>11.06</v>
      </c>
    </row>
    <row r="156" spans="1:4" x14ac:dyDescent="0.25">
      <c r="A156" vm="280">
        <f ca="1"/>
        <v>45884</v>
      </c>
      <c r="B156" vm="278">
        <f ca="1"/>
        <v>11.44</v>
      </c>
      <c r="C156">
        <f t="shared" ca="1" si="2"/>
        <v>11.053111541541552</v>
      </c>
      <c r="D156">
        <f t="shared" ca="1" si="3"/>
        <v>11.084000000000001</v>
      </c>
    </row>
    <row r="157" spans="1:4" x14ac:dyDescent="0.25">
      <c r="A157" vm="281">
        <f ca="1"/>
        <v>45887</v>
      </c>
      <c r="B157" vm="282">
        <f ca="1"/>
        <v>11.46</v>
      </c>
      <c r="C157">
        <f t="shared" ca="1" si="2"/>
        <v>11.069067951677178</v>
      </c>
      <c r="D157">
        <f t="shared" ca="1" si="3"/>
        <v>11.111200000000002</v>
      </c>
    </row>
    <row r="158" spans="1:4" x14ac:dyDescent="0.25">
      <c r="A158" vm="283">
        <f ca="1"/>
        <v>45888</v>
      </c>
      <c r="B158" vm="284">
        <f ca="1"/>
        <v>11.58</v>
      </c>
      <c r="C158">
        <f t="shared" ca="1" si="2"/>
        <v>11.089104502591798</v>
      </c>
      <c r="D158">
        <f t="shared" ca="1" si="3"/>
        <v>11.137600000000003</v>
      </c>
    </row>
    <row r="159" spans="1:4" x14ac:dyDescent="0.25">
      <c r="A159" vm="285">
        <f ca="1"/>
        <v>45889</v>
      </c>
      <c r="B159" vm="286">
        <f ca="1"/>
        <v>11.49</v>
      </c>
      <c r="C159">
        <f t="shared" ca="1" si="2"/>
        <v>11.104825894647023</v>
      </c>
      <c r="D159">
        <f t="shared" ca="1" si="3"/>
        <v>11.160600000000002</v>
      </c>
    </row>
    <row r="160" spans="1:4" x14ac:dyDescent="0.25">
      <c r="A160" vm="287">
        <f ca="1"/>
        <v>45890</v>
      </c>
      <c r="B160" vm="288">
        <f ca="1"/>
        <v>11.33</v>
      </c>
      <c r="C160">
        <f t="shared" ca="1" si="2"/>
        <v>11.113656251719689</v>
      </c>
      <c r="D160">
        <f t="shared" ca="1" si="3"/>
        <v>11.1752</v>
      </c>
    </row>
    <row r="161" spans="1:4" x14ac:dyDescent="0.25">
      <c r="A161" vm="289">
        <f ca="1"/>
        <v>45891</v>
      </c>
      <c r="B161" vm="290">
        <f ca="1"/>
        <v>11.74</v>
      </c>
      <c r="C161">
        <f t="shared" ca="1" si="2"/>
        <v>11.138218751652252</v>
      </c>
      <c r="D161">
        <f t="shared" ca="1" si="3"/>
        <v>11.196800000000001</v>
      </c>
    </row>
    <row r="162" spans="1:4" x14ac:dyDescent="0.25">
      <c r="A162" vm="291">
        <f ca="1"/>
        <v>45894</v>
      </c>
      <c r="B162" vm="292">
        <f ca="1"/>
        <v>11.82</v>
      </c>
      <c r="C162">
        <f t="shared" ca="1" si="2"/>
        <v>11.1649552711953</v>
      </c>
      <c r="D162">
        <f t="shared" ca="1" si="3"/>
        <v>11.2226</v>
      </c>
    </row>
    <row r="163" spans="1:4" x14ac:dyDescent="0.25">
      <c r="A163" vm="293">
        <f ca="1"/>
        <v>45895</v>
      </c>
      <c r="B163" vm="294">
        <f ca="1"/>
        <v>11.84</v>
      </c>
      <c r="C163">
        <f t="shared" ca="1" si="2"/>
        <v>11.191427613501368</v>
      </c>
      <c r="D163">
        <f t="shared" ca="1" si="3"/>
        <v>11.2508</v>
      </c>
    </row>
    <row r="164" spans="1:4" x14ac:dyDescent="0.25">
      <c r="A164" vm="295">
        <f ca="1"/>
        <v>45896</v>
      </c>
      <c r="B164" vm="231">
        <f ca="1"/>
        <v>11.91</v>
      </c>
      <c r="C164">
        <f t="shared" ca="1" si="2"/>
        <v>11.219606922775824</v>
      </c>
      <c r="D164">
        <f t="shared" ca="1" si="3"/>
        <v>11.276599999999998</v>
      </c>
    </row>
    <row r="165" spans="1:4" x14ac:dyDescent="0.25">
      <c r="A165" vm="296">
        <f ca="1"/>
        <v>45897</v>
      </c>
      <c r="B165" vm="297">
        <f ca="1"/>
        <v>11.71</v>
      </c>
      <c r="C165">
        <f t="shared" ca="1" si="2"/>
        <v>11.238838023843439</v>
      </c>
      <c r="D165">
        <f t="shared" ca="1" si="3"/>
        <v>11.302399999999999</v>
      </c>
    </row>
    <row r="166" spans="1:4" x14ac:dyDescent="0.25">
      <c r="A166" vm="298">
        <f ca="1"/>
        <v>45898</v>
      </c>
      <c r="B166" vm="221">
        <f ca="1"/>
        <v>11.77</v>
      </c>
      <c r="C166">
        <f t="shared" ca="1" si="2"/>
        <v>11.259667905261344</v>
      </c>
      <c r="D166">
        <f t="shared" ca="1" si="3"/>
        <v>11.329199999999998</v>
      </c>
    </row>
    <row r="167" spans="1:4" x14ac:dyDescent="0.25">
      <c r="A167" vm="299">
        <f ca="1"/>
        <v>45902</v>
      </c>
      <c r="B167" vm="300">
        <f ca="1"/>
        <v>11.72</v>
      </c>
      <c r="C167">
        <f t="shared" ca="1" si="2"/>
        <v>11.277720144270702</v>
      </c>
      <c r="D167">
        <f t="shared" ca="1" si="3"/>
        <v>11.351799999999999</v>
      </c>
    </row>
    <row r="168" spans="1:4" x14ac:dyDescent="0.25">
      <c r="A168" vm="301">
        <f ca="1"/>
        <v>45903</v>
      </c>
      <c r="B168" vm="302">
        <f ca="1"/>
        <v>11.62</v>
      </c>
      <c r="C168">
        <f t="shared" ca="1" si="2"/>
        <v>11.291142883711068</v>
      </c>
      <c r="D168">
        <f t="shared" ca="1" si="3"/>
        <v>11.369199999999996</v>
      </c>
    </row>
    <row r="169" spans="1:4" x14ac:dyDescent="0.25">
      <c r="A169" vm="303">
        <f ca="1"/>
        <v>45904</v>
      </c>
      <c r="B169" vm="227">
        <f ca="1"/>
        <v>11.68</v>
      </c>
      <c r="C169">
        <f t="shared" ca="1" si="2"/>
        <v>11.306392182389065</v>
      </c>
      <c r="D169">
        <f t="shared" ca="1" si="3"/>
        <v>11.388199999999994</v>
      </c>
    </row>
    <row r="170" spans="1:4" x14ac:dyDescent="0.25">
      <c r="A170" vm="304">
        <f ca="1"/>
        <v>45905</v>
      </c>
      <c r="B170" vm="290">
        <f ca="1"/>
        <v>11.74</v>
      </c>
      <c r="C170">
        <f t="shared" ca="1" si="2"/>
        <v>11.323396410530671</v>
      </c>
      <c r="D170">
        <f t="shared" ca="1" si="3"/>
        <v>11.413399999999998</v>
      </c>
    </row>
    <row r="171" spans="1:4" x14ac:dyDescent="0.25">
      <c r="A171" vm="305">
        <f ca="1"/>
        <v>45908</v>
      </c>
      <c r="B171" vm="306">
        <f ca="1"/>
        <v>11.69</v>
      </c>
      <c r="C171">
        <f t="shared" ca="1" si="2"/>
        <v>11.337773021882411</v>
      </c>
      <c r="D171">
        <f t="shared" ca="1" si="3"/>
        <v>11.434599999999998</v>
      </c>
    </row>
    <row r="172" spans="1:4" x14ac:dyDescent="0.25">
      <c r="A172" vm="307">
        <f ca="1"/>
        <v>45909</v>
      </c>
      <c r="B172" vm="286">
        <f ca="1"/>
        <v>11.49</v>
      </c>
      <c r="C172">
        <f t="shared" ca="1" si="2"/>
        <v>11.343742707298787</v>
      </c>
      <c r="D172">
        <f t="shared" ca="1" si="3"/>
        <v>11.448399999999998</v>
      </c>
    </row>
    <row r="173" spans="1:4" x14ac:dyDescent="0.25">
      <c r="A173" vm="308">
        <f ca="1"/>
        <v>45910</v>
      </c>
      <c r="B173" vm="309">
        <f ca="1"/>
        <v>11.42</v>
      </c>
      <c r="C173">
        <f t="shared" ca="1" si="2"/>
        <v>11.346733189365501</v>
      </c>
      <c r="D173">
        <f t="shared" ca="1" si="3"/>
        <v>11.459799999999996</v>
      </c>
    </row>
    <row r="174" spans="1:4" x14ac:dyDescent="0.25">
      <c r="A174" vm="310">
        <f ca="1"/>
        <v>45911</v>
      </c>
      <c r="B174" vm="311">
        <f ca="1"/>
        <v>11.76</v>
      </c>
      <c r="C174">
        <f t="shared" ca="1" si="2"/>
        <v>11.362939730959011</v>
      </c>
      <c r="D174">
        <f t="shared" ca="1" si="3"/>
        <v>11.467999999999996</v>
      </c>
    </row>
    <row r="175" spans="1:4" x14ac:dyDescent="0.25">
      <c r="A175" vm="312">
        <f ca="1"/>
        <v>45912</v>
      </c>
      <c r="B175" vm="227">
        <f ca="1"/>
        <v>11.68</v>
      </c>
      <c r="C175">
        <f t="shared" ca="1" si="2"/>
        <v>11.375373466999836</v>
      </c>
      <c r="D175">
        <f t="shared" ca="1" si="3"/>
        <v>11.466199999999994</v>
      </c>
    </row>
    <row r="176" spans="1:4" x14ac:dyDescent="0.25">
      <c r="A176" vm="313">
        <f ca="1"/>
        <v>45915</v>
      </c>
      <c r="B176" vm="227">
        <f ca="1"/>
        <v>11.68</v>
      </c>
      <c r="C176">
        <f t="shared" ca="1" si="2"/>
        <v>11.387319605548861</v>
      </c>
      <c r="D176">
        <f t="shared" ca="1" si="3"/>
        <v>11.463599999999996</v>
      </c>
    </row>
    <row r="177" spans="1:4" x14ac:dyDescent="0.25">
      <c r="A177" vm="314">
        <f ca="1"/>
        <v>45916</v>
      </c>
      <c r="B177" vm="315">
        <f ca="1"/>
        <v>11.61</v>
      </c>
      <c r="C177">
        <f t="shared" ca="1" si="2"/>
        <v>11.396052170037141</v>
      </c>
      <c r="D177">
        <f t="shared" ca="1" si="3"/>
        <v>11.463999999999997</v>
      </c>
    </row>
    <row r="178" spans="1:4" x14ac:dyDescent="0.25">
      <c r="A178" vm="316">
        <f ca="1"/>
        <v>45917</v>
      </c>
      <c r="B178" vm="317">
        <f ca="1"/>
        <v>11.66</v>
      </c>
      <c r="C178">
        <f t="shared" ca="1" si="2"/>
        <v>11.406403065329803</v>
      </c>
      <c r="D178">
        <f t="shared" ca="1" si="3"/>
        <v>11.463599999999996</v>
      </c>
    </row>
    <row r="179" spans="1:4" x14ac:dyDescent="0.25">
      <c r="A179" vm="318">
        <f ca="1"/>
        <v>45918</v>
      </c>
      <c r="B179" vm="290">
        <f ca="1"/>
        <v>11.74</v>
      </c>
      <c r="C179">
        <f t="shared" ca="1" si="2"/>
        <v>11.419485298061968</v>
      </c>
      <c r="D179">
        <f t="shared" ca="1" si="3"/>
        <v>11.461799999999998</v>
      </c>
    </row>
    <row r="180" spans="1:4" x14ac:dyDescent="0.25">
      <c r="A180" vm="319">
        <f ca="1"/>
        <v>45919</v>
      </c>
      <c r="B180" vm="302">
        <f ca="1"/>
        <v>11.62</v>
      </c>
      <c r="C180">
        <f t="shared" ref="C180:C229" ca="1" si="4">(B180 * (2/51)) + (C179 * (1 - (2/51)))</f>
        <v>11.427348619706596</v>
      </c>
      <c r="D180">
        <f t="shared" ref="D180:D229" ca="1" si="5">AVERAGE(B131:B180)</f>
        <v>11.455999999999996</v>
      </c>
    </row>
    <row r="181" spans="1:4" x14ac:dyDescent="0.25">
      <c r="A181" vm="320">
        <f ca="1"/>
        <v>45922</v>
      </c>
      <c r="B181" vm="317">
        <f ca="1"/>
        <v>11.66</v>
      </c>
      <c r="C181">
        <f t="shared" ca="1" si="4"/>
        <v>11.436472203247513</v>
      </c>
      <c r="D181">
        <f t="shared" ca="1" si="5"/>
        <v>11.4536</v>
      </c>
    </row>
    <row r="182" spans="1:4" x14ac:dyDescent="0.25">
      <c r="A182" vm="321">
        <f ca="1"/>
        <v>45923</v>
      </c>
      <c r="B182" vm="322">
        <f ca="1"/>
        <v>11.73</v>
      </c>
      <c r="C182">
        <f t="shared" ca="1" si="4"/>
        <v>11.447983097237808</v>
      </c>
      <c r="D182">
        <f t="shared" ca="1" si="5"/>
        <v>11.4506</v>
      </c>
    </row>
    <row r="183" spans="1:4" x14ac:dyDescent="0.25">
      <c r="A183" vm="323">
        <f ca="1"/>
        <v>45924</v>
      </c>
      <c r="B183" vm="324">
        <f ca="1"/>
        <v>11.63</v>
      </c>
      <c r="C183">
        <f t="shared" ca="1" si="4"/>
        <v>11.455121014993189</v>
      </c>
      <c r="D183">
        <f t="shared" ca="1" si="5"/>
        <v>11.4518</v>
      </c>
    </row>
    <row r="184" spans="1:4" x14ac:dyDescent="0.25">
      <c r="A184" vm="325">
        <f ca="1"/>
        <v>45925</v>
      </c>
      <c r="B184" vm="302">
        <f ca="1"/>
        <v>11.62</v>
      </c>
      <c r="C184">
        <f t="shared" ca="1" si="4"/>
        <v>11.461586857542475</v>
      </c>
      <c r="D184">
        <f t="shared" ca="1" si="5"/>
        <v>11.4594</v>
      </c>
    </row>
    <row r="185" spans="1:4" x14ac:dyDescent="0.25">
      <c r="A185" vm="326">
        <f ca="1"/>
        <v>45926</v>
      </c>
      <c r="B185" vm="327">
        <f ca="1"/>
        <v>12.01</v>
      </c>
      <c r="C185">
        <f t="shared" ca="1" si="4"/>
        <v>11.483093255285906</v>
      </c>
      <c r="D185">
        <f t="shared" ca="1" si="5"/>
        <v>11.476600000000001</v>
      </c>
    </row>
    <row r="186" spans="1:4" x14ac:dyDescent="0.25">
      <c r="A186" vm="328">
        <f ca="1"/>
        <v>45929</v>
      </c>
      <c r="B186" vm="329">
        <f ca="1"/>
        <v>12.09</v>
      </c>
      <c r="C186">
        <f t="shared" ca="1" si="4"/>
        <v>11.5068935197845</v>
      </c>
      <c r="D186">
        <f t="shared" ca="1" si="5"/>
        <v>11.495200000000002</v>
      </c>
    </row>
    <row r="187" spans="1:4" x14ac:dyDescent="0.25">
      <c r="A187" vm="330">
        <f ca="1"/>
        <v>45930</v>
      </c>
      <c r="B187" vm="331">
        <f ca="1"/>
        <v>11.96</v>
      </c>
      <c r="C187">
        <f t="shared" ca="1" si="4"/>
        <v>11.524662401361578</v>
      </c>
      <c r="D187">
        <f t="shared" ca="1" si="5"/>
        <v>11.508200000000004</v>
      </c>
    </row>
    <row r="188" spans="1:4" x14ac:dyDescent="0.25">
      <c r="A188" vm="332">
        <f ca="1"/>
        <v>45931</v>
      </c>
      <c r="B188" vm="333">
        <f ca="1"/>
        <v>12.27</v>
      </c>
      <c r="C188">
        <f t="shared" ca="1" si="4"/>
        <v>11.553891326798379</v>
      </c>
      <c r="D188">
        <f t="shared" ca="1" si="5"/>
        <v>11.529800000000005</v>
      </c>
    </row>
    <row r="189" spans="1:4" x14ac:dyDescent="0.25">
      <c r="A189" vm="334">
        <f ca="1"/>
        <v>45932</v>
      </c>
      <c r="B189" vm="335">
        <f ca="1"/>
        <v>12.22</v>
      </c>
      <c r="C189">
        <f t="shared" ca="1" si="4"/>
        <v>11.580013235551384</v>
      </c>
      <c r="D189">
        <f t="shared" ca="1" si="5"/>
        <v>11.546600000000005</v>
      </c>
    </row>
    <row r="190" spans="1:4" x14ac:dyDescent="0.25">
      <c r="A190" vm="336">
        <f ca="1"/>
        <v>45933</v>
      </c>
      <c r="B190" vm="337">
        <f ca="1"/>
        <v>12.67</v>
      </c>
      <c r="C190">
        <f t="shared" ca="1" si="4"/>
        <v>11.622757814549368</v>
      </c>
      <c r="D190">
        <f t="shared" ca="1" si="5"/>
        <v>11.574800000000005</v>
      </c>
    </row>
    <row r="191" spans="1:4" x14ac:dyDescent="0.25">
      <c r="A191" vm="338">
        <f ca="1"/>
        <v>45936</v>
      </c>
      <c r="B191" vm="339">
        <f ca="1"/>
        <v>12.7</v>
      </c>
      <c r="C191">
        <f t="shared" ca="1" si="4"/>
        <v>11.665002606135667</v>
      </c>
      <c r="D191">
        <f t="shared" ca="1" si="5"/>
        <v>11.599400000000005</v>
      </c>
    </row>
    <row r="192" spans="1:4" x14ac:dyDescent="0.25">
      <c r="A192" vm="340">
        <f ca="1"/>
        <v>45937</v>
      </c>
      <c r="B192" vm="341">
        <f ca="1"/>
        <v>11.92</v>
      </c>
      <c r="C192">
        <f t="shared" ca="1" si="4"/>
        <v>11.675002503934268</v>
      </c>
      <c r="D192">
        <f t="shared" ca="1" si="5"/>
        <v>11.612200000000003</v>
      </c>
    </row>
    <row r="193" spans="1:4" x14ac:dyDescent="0.25">
      <c r="A193" vm="342">
        <f ca="1"/>
        <v>45938</v>
      </c>
      <c r="B193" vm="290">
        <f ca="1"/>
        <v>11.74</v>
      </c>
      <c r="C193">
        <f t="shared" ca="1" si="4"/>
        <v>11.677551425348611</v>
      </c>
      <c r="D193">
        <f t="shared" ca="1" si="5"/>
        <v>11.625400000000004</v>
      </c>
    </row>
    <row r="194" spans="1:4" x14ac:dyDescent="0.25">
      <c r="A194" vm="343">
        <f ca="1"/>
        <v>45939</v>
      </c>
      <c r="B194" vm="344">
        <f ca="1"/>
        <v>11.5</v>
      </c>
      <c r="C194">
        <f t="shared" ca="1" si="4"/>
        <v>11.670588624354549</v>
      </c>
      <c r="D194">
        <f t="shared" ca="1" si="5"/>
        <v>11.638000000000002</v>
      </c>
    </row>
    <row r="195" spans="1:4" x14ac:dyDescent="0.25">
      <c r="A195" vm="345">
        <f ca="1"/>
        <v>45940</v>
      </c>
      <c r="B195" vm="346">
        <f ca="1"/>
        <v>11.41</v>
      </c>
      <c r="C195">
        <f t="shared" ca="1" si="4"/>
        <v>11.660369462615154</v>
      </c>
      <c r="D195">
        <f t="shared" ca="1" si="5"/>
        <v>11.644800000000002</v>
      </c>
    </row>
    <row r="196" spans="1:4" x14ac:dyDescent="0.25">
      <c r="A196" vm="347">
        <f ca="1"/>
        <v>45943</v>
      </c>
      <c r="B196" vm="348">
        <f ca="1"/>
        <v>11.54</v>
      </c>
      <c r="C196">
        <f t="shared" ca="1" si="4"/>
        <v>11.655649091532208</v>
      </c>
      <c r="D196">
        <f t="shared" ca="1" si="5"/>
        <v>11.6592</v>
      </c>
    </row>
    <row r="197" spans="1:4" x14ac:dyDescent="0.25">
      <c r="A197" vm="349">
        <f ca="1"/>
        <v>45944</v>
      </c>
      <c r="B197" vm="350">
        <f ca="1"/>
        <v>11.65</v>
      </c>
      <c r="C197">
        <f t="shared" ca="1" si="4"/>
        <v>11.655427558530945</v>
      </c>
      <c r="D197">
        <f t="shared" ca="1" si="5"/>
        <v>11.6732</v>
      </c>
    </row>
    <row r="198" spans="1:4" x14ac:dyDescent="0.25">
      <c r="A198" vm="351">
        <f ca="1"/>
        <v>45945</v>
      </c>
      <c r="B198" vm="311">
        <f ca="1"/>
        <v>11.76</v>
      </c>
      <c r="C198">
        <f t="shared" ca="1" si="4"/>
        <v>11.659528438588556</v>
      </c>
      <c r="D198">
        <f t="shared" ca="1" si="5"/>
        <v>11.687200000000001</v>
      </c>
    </row>
    <row r="199" spans="1:4" x14ac:dyDescent="0.25">
      <c r="A199" vm="352">
        <f ca="1"/>
        <v>45946</v>
      </c>
      <c r="B199" vm="290">
        <f ca="1"/>
        <v>11.74</v>
      </c>
      <c r="C199">
        <f t="shared" ca="1" si="4"/>
        <v>11.662684186094888</v>
      </c>
      <c r="D199">
        <f t="shared" ca="1" si="5"/>
        <v>11.697799999999999</v>
      </c>
    </row>
    <row r="200" spans="1:4" x14ac:dyDescent="0.25">
      <c r="A200" vm="353">
        <f ca="1"/>
        <v>45947</v>
      </c>
      <c r="B200" vm="341">
        <f ca="1"/>
        <v>11.92</v>
      </c>
      <c r="C200">
        <f t="shared" ca="1" si="4"/>
        <v>11.67277500232646</v>
      </c>
      <c r="D200">
        <f t="shared" ca="1" si="5"/>
        <v>11.710599999999999</v>
      </c>
    </row>
    <row r="201" spans="1:4" x14ac:dyDescent="0.25">
      <c r="A201" vm="354">
        <f ca="1"/>
        <v>45950</v>
      </c>
      <c r="B201" vm="355">
        <f ca="1"/>
        <v>11.99</v>
      </c>
      <c r="C201">
        <f t="shared" ca="1" si="4"/>
        <v>11.685215198313658</v>
      </c>
      <c r="D201">
        <f t="shared" ca="1" si="5"/>
        <v>11.724</v>
      </c>
    </row>
    <row r="202" spans="1:4" x14ac:dyDescent="0.25">
      <c r="A202" vm="356">
        <f ca="1"/>
        <v>45951</v>
      </c>
      <c r="B202" vm="357">
        <f ca="1"/>
        <v>12.56</v>
      </c>
      <c r="C202">
        <f t="shared" ca="1" si="4"/>
        <v>11.7195204846543</v>
      </c>
      <c r="D202">
        <f t="shared" ca="1" si="5"/>
        <v>11.7524</v>
      </c>
    </row>
    <row r="203" spans="1:4" x14ac:dyDescent="0.25">
      <c r="A203" vm="358">
        <f ca="1"/>
        <v>45952</v>
      </c>
      <c r="B203" vm="359">
        <f ca="1"/>
        <v>12.43</v>
      </c>
      <c r="C203">
        <f t="shared" ca="1" si="4"/>
        <v>11.747382426432564</v>
      </c>
      <c r="D203">
        <f t="shared" ca="1" si="5"/>
        <v>11.776</v>
      </c>
    </row>
    <row r="204" spans="1:4" x14ac:dyDescent="0.25">
      <c r="A204" vm="360">
        <f ca="1"/>
        <v>45953</v>
      </c>
      <c r="B204" vm="361">
        <f ca="1"/>
        <v>12.34</v>
      </c>
      <c r="C204">
        <f t="shared" ca="1" si="4"/>
        <v>11.770622331278346</v>
      </c>
      <c r="D204">
        <f t="shared" ca="1" si="5"/>
        <v>11.794</v>
      </c>
    </row>
    <row r="205" spans="1:4" x14ac:dyDescent="0.25">
      <c r="A205" vm="362">
        <f ca="1"/>
        <v>45954</v>
      </c>
      <c r="B205" vm="363">
        <f ca="1"/>
        <v>13.84</v>
      </c>
      <c r="C205">
        <f t="shared" ca="1" si="4"/>
        <v>11.851774396718412</v>
      </c>
      <c r="D205">
        <f t="shared" ca="1" si="5"/>
        <v>11.842000000000001</v>
      </c>
    </row>
    <row r="206" spans="1:4" x14ac:dyDescent="0.25">
      <c r="A206" vm="364">
        <f ca="1"/>
        <v>45957</v>
      </c>
      <c r="B206" vm="365">
        <f ca="1"/>
        <v>13.26</v>
      </c>
      <c r="C206">
        <f t="shared" ca="1" si="4"/>
        <v>11.906998930180436</v>
      </c>
      <c r="D206">
        <f t="shared" ca="1" si="5"/>
        <v>11.878400000000001</v>
      </c>
    </row>
    <row r="207" spans="1:4" x14ac:dyDescent="0.25">
      <c r="A207" vm="366">
        <f ca="1"/>
        <v>45958</v>
      </c>
      <c r="B207" vm="367">
        <f ca="1"/>
        <v>13.13</v>
      </c>
      <c r="C207">
        <f t="shared" ca="1" si="4"/>
        <v>11.95495975644787</v>
      </c>
      <c r="D207">
        <f t="shared" ca="1" si="5"/>
        <v>11.911799999999998</v>
      </c>
    </row>
    <row r="208" spans="1:4" x14ac:dyDescent="0.25">
      <c r="A208" vm="368">
        <f ca="1"/>
        <v>45959</v>
      </c>
      <c r="B208" vm="369">
        <f ca="1"/>
        <v>13.24</v>
      </c>
      <c r="C208">
        <f t="shared" ca="1" si="4"/>
        <v>12.005353491489132</v>
      </c>
      <c r="D208">
        <f t="shared" ca="1" si="5"/>
        <v>11.945</v>
      </c>
    </row>
    <row r="209" spans="1:4" x14ac:dyDescent="0.25">
      <c r="A209" vm="370">
        <f ca="1"/>
        <v>45960</v>
      </c>
      <c r="B209" vm="371">
        <f ca="1"/>
        <v>13.06</v>
      </c>
      <c r="C209">
        <f t="shared" ca="1" si="4"/>
        <v>12.046712178097401</v>
      </c>
      <c r="D209">
        <f t="shared" ca="1" si="5"/>
        <v>11.976400000000002</v>
      </c>
    </row>
    <row r="210" spans="1:4" x14ac:dyDescent="0.25">
      <c r="A210" vm="372">
        <f ca="1"/>
        <v>45961</v>
      </c>
      <c r="B210" vm="367">
        <f ca="1"/>
        <v>13.13</v>
      </c>
      <c r="C210">
        <f t="shared" ca="1" si="4"/>
        <v>12.089194053466132</v>
      </c>
      <c r="D210">
        <f t="shared" ca="1" si="5"/>
        <v>12.0124</v>
      </c>
    </row>
    <row r="211" spans="1:4" x14ac:dyDescent="0.25">
      <c r="A211" vm="373">
        <f ca="1"/>
        <v>45964</v>
      </c>
      <c r="B211" vm="374">
        <f ca="1"/>
        <v>13.01</v>
      </c>
      <c r="C211">
        <f t="shared" ca="1" si="4"/>
        <v>12.125304090585107</v>
      </c>
      <c r="D211">
        <f t="shared" ca="1" si="5"/>
        <v>12.037799999999999</v>
      </c>
    </row>
    <row r="212" spans="1:4" x14ac:dyDescent="0.25">
      <c r="A212" vm="375">
        <f ca="1"/>
        <v>45965</v>
      </c>
      <c r="B212" vm="376">
        <f ca="1"/>
        <v>12.79</v>
      </c>
      <c r="C212">
        <f t="shared" ca="1" si="4"/>
        <v>12.151370596836673</v>
      </c>
      <c r="D212">
        <f t="shared" ca="1" si="5"/>
        <v>12.057199999999998</v>
      </c>
    </row>
    <row r="213" spans="1:4" x14ac:dyDescent="0.25">
      <c r="A213" vm="377">
        <f ca="1"/>
        <v>45966</v>
      </c>
      <c r="B213" vm="378">
        <f ca="1"/>
        <v>13.11</v>
      </c>
      <c r="C213">
        <f t="shared" ca="1" si="4"/>
        <v>12.188963906764647</v>
      </c>
      <c r="D213">
        <f t="shared" ca="1" si="5"/>
        <v>12.082599999999999</v>
      </c>
    </row>
    <row r="214" spans="1:4" x14ac:dyDescent="0.25">
      <c r="A214" vm="379">
        <f ca="1"/>
        <v>45967</v>
      </c>
      <c r="B214" vm="380">
        <f ca="1"/>
        <v>13.12</v>
      </c>
      <c r="C214">
        <f t="shared" ca="1" si="4"/>
        <v>12.225475126107209</v>
      </c>
      <c r="D214">
        <f t="shared" ca="1" si="5"/>
        <v>12.106799999999998</v>
      </c>
    </row>
    <row r="215" spans="1:4" x14ac:dyDescent="0.25">
      <c r="A215" vm="381">
        <f ca="1"/>
        <v>45968</v>
      </c>
      <c r="B215" vm="382">
        <f ca="1"/>
        <v>13.21</v>
      </c>
      <c r="C215">
        <f t="shared" ca="1" si="4"/>
        <v>12.26408394469124</v>
      </c>
      <c r="D215">
        <f t="shared" ca="1" si="5"/>
        <v>12.136799999999999</v>
      </c>
    </row>
    <row r="216" spans="1:4" x14ac:dyDescent="0.25">
      <c r="A216" vm="383">
        <f ca="1"/>
        <v>45971</v>
      </c>
      <c r="B216" vm="384">
        <f ca="1"/>
        <v>13.16</v>
      </c>
      <c r="C216">
        <f t="shared" ca="1" si="4"/>
        <v>12.299217907644525</v>
      </c>
      <c r="D216">
        <f t="shared" ca="1" si="5"/>
        <v>12.1646</v>
      </c>
    </row>
    <row r="217" spans="1:4" x14ac:dyDescent="0.25">
      <c r="A217" vm="385">
        <f ca="1"/>
        <v>45972</v>
      </c>
      <c r="B217" vm="386">
        <f ca="1"/>
        <v>13.3</v>
      </c>
      <c r="C217">
        <f t="shared" ca="1" si="4"/>
        <v>12.338464264207486</v>
      </c>
      <c r="D217">
        <f t="shared" ca="1" si="5"/>
        <v>12.196200000000001</v>
      </c>
    </row>
    <row r="218" spans="1:4" x14ac:dyDescent="0.25">
      <c r="A218" vm="387">
        <f ca="1"/>
        <v>45973</v>
      </c>
      <c r="B218" vm="388">
        <f ca="1"/>
        <v>13.45</v>
      </c>
      <c r="C218">
        <f t="shared" ca="1" si="4"/>
        <v>12.382053900905232</v>
      </c>
      <c r="D218">
        <f t="shared" ca="1" si="5"/>
        <v>12.232799999999999</v>
      </c>
    </row>
    <row r="219" spans="1:4" x14ac:dyDescent="0.25">
      <c r="A219" vm="389">
        <f ca="1"/>
        <v>45974</v>
      </c>
      <c r="B219" vm="390">
        <f ca="1"/>
        <v>13.28</v>
      </c>
      <c r="C219">
        <f t="shared" ca="1" si="4"/>
        <v>12.417267473418754</v>
      </c>
      <c r="D219">
        <f t="shared" ca="1" si="5"/>
        <v>12.264800000000001</v>
      </c>
    </row>
    <row r="220" spans="1:4" x14ac:dyDescent="0.25">
      <c r="A220" vm="391">
        <f ca="1"/>
        <v>45975</v>
      </c>
      <c r="B220" vm="392">
        <f ca="1"/>
        <v>13.19</v>
      </c>
      <c r="C220">
        <f t="shared" ca="1" si="4"/>
        <v>12.447570709755274</v>
      </c>
      <c r="D220">
        <f t="shared" ca="1" si="5"/>
        <v>12.293800000000001</v>
      </c>
    </row>
    <row r="221" spans="1:4" x14ac:dyDescent="0.25">
      <c r="A221" vm="393">
        <f ca="1"/>
        <v>45978</v>
      </c>
      <c r="B221" vm="394">
        <f ca="1"/>
        <v>12.88</v>
      </c>
      <c r="C221">
        <f t="shared" ca="1" si="4"/>
        <v>12.464528721137421</v>
      </c>
      <c r="D221">
        <f t="shared" ca="1" si="5"/>
        <v>12.317600000000001</v>
      </c>
    </row>
    <row r="222" spans="1:4" x14ac:dyDescent="0.25">
      <c r="A222" vm="395">
        <f ca="1"/>
        <v>45979</v>
      </c>
      <c r="B222" vm="396">
        <f ca="1"/>
        <v>13.02</v>
      </c>
      <c r="C222">
        <f t="shared" ca="1" si="4"/>
        <v>12.486311908543797</v>
      </c>
      <c r="D222">
        <f t="shared" ca="1" si="5"/>
        <v>12.348199999999999</v>
      </c>
    </row>
    <row r="223" spans="1:4" x14ac:dyDescent="0.25">
      <c r="A223" vm="397">
        <f ca="1"/>
        <v>45980</v>
      </c>
      <c r="B223" vm="398">
        <f ca="1"/>
        <v>12.9</v>
      </c>
      <c r="C223">
        <f t="shared" ca="1" si="4"/>
        <v>12.502534970953844</v>
      </c>
      <c r="D223">
        <f t="shared" ca="1" si="5"/>
        <v>12.377800000000001</v>
      </c>
    </row>
    <row r="224" spans="1:4" x14ac:dyDescent="0.25">
      <c r="A224" vm="399">
        <f ca="1"/>
        <v>45981</v>
      </c>
      <c r="B224" vm="400">
        <f ca="1"/>
        <v>12.41</v>
      </c>
      <c r="C224">
        <f t="shared" ca="1" si="4"/>
        <v>12.498906148563497</v>
      </c>
      <c r="D224">
        <f t="shared" ca="1" si="5"/>
        <v>12.390799999999997</v>
      </c>
    </row>
    <row r="225" spans="1:4" x14ac:dyDescent="0.25">
      <c r="A225" vm="401">
        <f ca="1"/>
        <v>45982</v>
      </c>
      <c r="B225" vm="402">
        <f ca="1"/>
        <v>12.83</v>
      </c>
      <c r="C225">
        <f t="shared" ca="1" si="4"/>
        <v>12.511890221168851</v>
      </c>
      <c r="D225">
        <f t="shared" ca="1" si="5"/>
        <v>12.413800000000002</v>
      </c>
    </row>
    <row r="226" spans="1:4" x14ac:dyDescent="0.25">
      <c r="A226" vm="403">
        <f ca="1"/>
        <v>45985</v>
      </c>
      <c r="B226" vm="404">
        <f ca="1"/>
        <v>12.96</v>
      </c>
      <c r="C226">
        <f t="shared" ca="1" si="4"/>
        <v>12.529463153672033</v>
      </c>
      <c r="D226">
        <f t="shared" ca="1" si="5"/>
        <v>12.439400000000001</v>
      </c>
    </row>
    <row r="227" spans="1:4" x14ac:dyDescent="0.25">
      <c r="A227" vm="405">
        <f ca="1"/>
        <v>45986</v>
      </c>
      <c r="B227" vm="406">
        <f ca="1"/>
        <v>13.17</v>
      </c>
      <c r="C227">
        <f t="shared" ca="1" si="4"/>
        <v>12.554582245684895</v>
      </c>
      <c r="D227">
        <f t="shared" ca="1" si="5"/>
        <v>12.470599999999999</v>
      </c>
    </row>
    <row r="228" spans="1:4" x14ac:dyDescent="0.25">
      <c r="A228" vm="407">
        <f ca="1"/>
        <v>45987</v>
      </c>
      <c r="B228" vm="392">
        <f ca="1"/>
        <v>13.19</v>
      </c>
      <c r="C228">
        <f t="shared" ca="1" si="4"/>
        <v>12.579500588991371</v>
      </c>
      <c r="D228">
        <f t="shared" ca="1" si="5"/>
        <v>12.501199999999999</v>
      </c>
    </row>
    <row r="229" spans="1:4" x14ac:dyDescent="0.25">
      <c r="A229" vm="408">
        <f ca="1"/>
        <v>45989</v>
      </c>
      <c r="B229" vm="390">
        <f ca="1"/>
        <v>13.28</v>
      </c>
      <c r="C229">
        <f t="shared" ca="1" si="4"/>
        <v>12.606971154128965</v>
      </c>
      <c r="D229">
        <f t="shared" ca="1" si="5"/>
        <v>12.531999999999998</v>
      </c>
    </row>
  </sheetData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C411C2B0-A10B-4F5E-9564-54B96868CA70}">
          <xm:f>Basic!1:1048576</xm:f>
        </x15:webExtension>
      </x15:webExtens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70296-8F62-4C7A-AFA1-0ABB6F8ECB33}">
  <dimension ref="A1:C15"/>
  <sheetViews>
    <sheetView zoomScale="85" zoomScaleNormal="85" workbookViewId="0">
      <selection activeCell="F13" sqref="F13"/>
    </sheetView>
  </sheetViews>
  <sheetFormatPr defaultRowHeight="15" x14ac:dyDescent="0.25"/>
  <sheetData>
    <row r="1" spans="1:3" x14ac:dyDescent="0.25">
      <c r="A1" s="5" t="s">
        <v>13</v>
      </c>
    </row>
    <row r="3" spans="1:3" x14ac:dyDescent="0.25">
      <c r="A3" t="s">
        <v>0</v>
      </c>
    </row>
    <row r="4" spans="1:3" x14ac:dyDescent="0.25">
      <c r="B4" t="s">
        <v>7</v>
      </c>
    </row>
    <row r="5" spans="1:3" x14ac:dyDescent="0.25">
      <c r="B5" t="s">
        <v>8</v>
      </c>
    </row>
    <row r="6" spans="1:3" x14ac:dyDescent="0.25">
      <c r="B6" t="s">
        <v>9</v>
      </c>
    </row>
    <row r="7" spans="1:3" x14ac:dyDescent="0.25">
      <c r="B7" t="s">
        <v>10</v>
      </c>
    </row>
    <row r="8" spans="1:3" x14ac:dyDescent="0.25">
      <c r="B8" t="s">
        <v>11</v>
      </c>
    </row>
    <row r="9" spans="1:3" x14ac:dyDescent="0.25">
      <c r="B9" t="s">
        <v>12</v>
      </c>
    </row>
    <row r="10" spans="1:3" x14ac:dyDescent="0.25">
      <c r="C10" t="s">
        <v>1</v>
      </c>
    </row>
    <row r="11" spans="1:3" x14ac:dyDescent="0.25">
      <c r="C11" t="s">
        <v>2</v>
      </c>
    </row>
    <row r="12" spans="1:3" x14ac:dyDescent="0.25">
      <c r="C12" t="s">
        <v>3</v>
      </c>
    </row>
    <row r="13" spans="1:3" x14ac:dyDescent="0.25">
      <c r="C13" t="s">
        <v>4</v>
      </c>
    </row>
    <row r="14" spans="1:3" x14ac:dyDescent="0.25">
      <c r="C14" t="s">
        <v>5</v>
      </c>
    </row>
    <row r="15" spans="1:3" x14ac:dyDescent="0.25">
      <c r="C15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72142-80B0-48D6-BC25-2FEB5CCD659F}">
  <dimension ref="A1:F229"/>
  <sheetViews>
    <sheetView zoomScale="85" zoomScaleNormal="85" workbookViewId="0"/>
  </sheetViews>
  <sheetFormatPr defaultRowHeight="15" x14ac:dyDescent="0.25"/>
  <cols>
    <col min="1" max="1" width="10.5703125" bestFit="1" customWidth="1"/>
    <col min="6" max="6" width="11.28515625" bestFit="1" customWidth="1"/>
  </cols>
  <sheetData>
    <row r="1" spans="1:6" x14ac:dyDescent="0.25">
      <c r="A1" t="str" cm="1">
        <f t="array" aca="1" ref="A1:F229" ca="1">_xlfn.STOCKHISTORY("F", "2025-01-01", TODAY(), 0, 1, 0, 1, 2, 3, 4, 5)</f>
        <v>Date</v>
      </c>
      <c r="B1" t="str">
        <f ca="1"/>
        <v>Close</v>
      </c>
      <c r="C1" t="str">
        <f ca="1"/>
        <v>Open</v>
      </c>
      <c r="D1" t="str">
        <f ca="1"/>
        <v>High</v>
      </c>
      <c r="E1" t="str">
        <f ca="1"/>
        <v>Low</v>
      </c>
      <c r="F1" t="str">
        <f ca="1"/>
        <v>Volume</v>
      </c>
    </row>
    <row r="2" spans="1:6" x14ac:dyDescent="0.25">
      <c r="A2" vm="1">
        <f ca="1"/>
        <v>45659</v>
      </c>
      <c r="B2" vm="2">
        <f ca="1"/>
        <v>9.4972999999999992</v>
      </c>
      <c r="C2" vm="472">
        <f ca="1"/>
        <v>9.7531999999999996</v>
      </c>
      <c r="D2" vm="473">
        <f ca="1"/>
        <v>9.7974999999999994</v>
      </c>
      <c r="E2" vm="474">
        <f ca="1"/>
        <v>9.4825999999999997</v>
      </c>
      <c r="F2" vm="475">
        <f ca="1"/>
        <v>68235708</v>
      </c>
    </row>
    <row r="3" spans="1:6" x14ac:dyDescent="0.25">
      <c r="A3" vm="3">
        <f ca="1"/>
        <v>45660</v>
      </c>
      <c r="B3" vm="4">
        <f ca="1"/>
        <v>9.7236999999999991</v>
      </c>
      <c r="C3" vm="476">
        <f ca="1"/>
        <v>9.5366999999999997</v>
      </c>
      <c r="D3" vm="17">
        <f ca="1"/>
        <v>9.7926000000000002</v>
      </c>
      <c r="E3" vm="477">
        <f ca="1"/>
        <v>9.3792000000000009</v>
      </c>
      <c r="F3" vm="478">
        <f ca="1"/>
        <v>78487552</v>
      </c>
    </row>
    <row r="4" spans="1:6" x14ac:dyDescent="0.25">
      <c r="A4" vm="5">
        <f ca="1"/>
        <v>45663</v>
      </c>
      <c r="B4" vm="6">
        <f ca="1"/>
        <v>9.7630999999999997</v>
      </c>
      <c r="C4" vm="479">
        <f ca="1"/>
        <v>9.9009</v>
      </c>
      <c r="D4" vm="480">
        <f ca="1"/>
        <v>10.0288</v>
      </c>
      <c r="E4" vm="481">
        <f ca="1"/>
        <v>9.7433999999999994</v>
      </c>
      <c r="F4" vm="482">
        <f ca="1"/>
        <v>64867023</v>
      </c>
    </row>
    <row r="5" spans="1:6" x14ac:dyDescent="0.25">
      <c r="A5" vm="7">
        <f ca="1"/>
        <v>45664</v>
      </c>
      <c r="B5" vm="8">
        <f ca="1"/>
        <v>9.6056000000000008</v>
      </c>
      <c r="C5" vm="17">
        <f ca="1"/>
        <v>9.7926000000000002</v>
      </c>
      <c r="D5" vm="19">
        <f ca="1"/>
        <v>9.8515999999999995</v>
      </c>
      <c r="E5" vm="483">
        <f ca="1"/>
        <v>9.5662000000000003</v>
      </c>
      <c r="F5" vm="484">
        <f ca="1"/>
        <v>63407119</v>
      </c>
    </row>
    <row r="6" spans="1:6" x14ac:dyDescent="0.25">
      <c r="A6" vm="9">
        <f ca="1"/>
        <v>45665</v>
      </c>
      <c r="B6" vm="10">
        <f ca="1"/>
        <v>9.5859000000000005</v>
      </c>
      <c r="C6" vm="10">
        <f ca="1"/>
        <v>9.5859000000000005</v>
      </c>
      <c r="D6" vm="485">
        <f ca="1"/>
        <v>9.5958000000000006</v>
      </c>
      <c r="E6" vm="486">
        <f ca="1"/>
        <v>9.4283999999999999</v>
      </c>
      <c r="F6" vm="487">
        <f ca="1"/>
        <v>62670278</v>
      </c>
    </row>
    <row r="7" spans="1:6" x14ac:dyDescent="0.25">
      <c r="A7" vm="11">
        <f ca="1"/>
        <v>45667</v>
      </c>
      <c r="B7" vm="2">
        <f ca="1"/>
        <v>9.4972999999999992</v>
      </c>
      <c r="C7" vm="488">
        <f ca="1"/>
        <v>9.5169999999999995</v>
      </c>
      <c r="D7" vm="489">
        <f ca="1"/>
        <v>9.6843000000000004</v>
      </c>
      <c r="E7" vm="490">
        <f ca="1"/>
        <v>9.4382999999999999</v>
      </c>
      <c r="F7" vm="491">
        <f ca="1"/>
        <v>74552875</v>
      </c>
    </row>
    <row r="8" spans="1:6" x14ac:dyDescent="0.25">
      <c r="A8" vm="12">
        <f ca="1"/>
        <v>45670</v>
      </c>
      <c r="B8" vm="13">
        <f ca="1"/>
        <v>9.5564</v>
      </c>
      <c r="C8" vm="492">
        <f ca="1"/>
        <v>9.5070999999999994</v>
      </c>
      <c r="D8" vm="483">
        <f ca="1"/>
        <v>9.5662000000000003</v>
      </c>
      <c r="E8" vm="493">
        <f ca="1"/>
        <v>9.4185999999999996</v>
      </c>
      <c r="F8" vm="494">
        <f ca="1"/>
        <v>67084313</v>
      </c>
    </row>
    <row r="9" spans="1:6" x14ac:dyDescent="0.25">
      <c r="A9" vm="14">
        <f ca="1"/>
        <v>45671</v>
      </c>
      <c r="B9" vm="15">
        <f ca="1"/>
        <v>9.6252999999999993</v>
      </c>
      <c r="C9" vm="495">
        <f ca="1"/>
        <v>9.6204000000000001</v>
      </c>
      <c r="D9" vm="496">
        <f ca="1"/>
        <v>9.6646000000000001</v>
      </c>
      <c r="E9" vm="497">
        <f ca="1"/>
        <v>9.5268999999999995</v>
      </c>
      <c r="F9" vm="498">
        <f ca="1"/>
        <v>46150035</v>
      </c>
    </row>
    <row r="10" spans="1:6" x14ac:dyDescent="0.25">
      <c r="A10" vm="16">
        <f ca="1"/>
        <v>45672</v>
      </c>
      <c r="B10" vm="17">
        <f ca="1"/>
        <v>9.7926000000000002</v>
      </c>
      <c r="C10" vm="499">
        <f ca="1"/>
        <v>9.8123000000000005</v>
      </c>
      <c r="D10" vm="479">
        <f ca="1"/>
        <v>9.9009</v>
      </c>
      <c r="E10" vm="38">
        <f ca="1"/>
        <v>9.7334999999999994</v>
      </c>
      <c r="F10" vm="500">
        <f ca="1"/>
        <v>69778271</v>
      </c>
    </row>
    <row r="11" spans="1:6" x14ac:dyDescent="0.25">
      <c r="A11" vm="18">
        <f ca="1"/>
        <v>45673</v>
      </c>
      <c r="B11" vm="19">
        <f ca="1"/>
        <v>9.8515999999999995</v>
      </c>
      <c r="C11" vm="472">
        <f ca="1"/>
        <v>9.7531999999999996</v>
      </c>
      <c r="D11" vm="479">
        <f ca="1"/>
        <v>9.9009</v>
      </c>
      <c r="E11" vm="38">
        <f ca="1"/>
        <v>9.7334999999999994</v>
      </c>
      <c r="F11" vm="501">
        <f ca="1"/>
        <v>46505753</v>
      </c>
    </row>
    <row r="12" spans="1:6" x14ac:dyDescent="0.25">
      <c r="A12" vm="20">
        <f ca="1"/>
        <v>45674</v>
      </c>
      <c r="B12" vm="21">
        <f ca="1"/>
        <v>10.019</v>
      </c>
      <c r="C12" vm="33">
        <f ca="1"/>
        <v>9.9205000000000005</v>
      </c>
      <c r="D12" vm="35">
        <f ca="1"/>
        <v>10.048500000000001</v>
      </c>
      <c r="E12" vm="502">
        <f ca="1"/>
        <v>9.8811999999999998</v>
      </c>
      <c r="F12" vm="503">
        <f ca="1"/>
        <v>61780110</v>
      </c>
    </row>
    <row r="13" spans="1:6" x14ac:dyDescent="0.25">
      <c r="A13" vm="22">
        <f ca="1"/>
        <v>45678</v>
      </c>
      <c r="B13" vm="23">
        <f ca="1"/>
        <v>10.265000000000001</v>
      </c>
      <c r="C13" vm="504">
        <f ca="1"/>
        <v>10.1371</v>
      </c>
      <c r="D13" vm="505">
        <f ca="1"/>
        <v>10.284700000000001</v>
      </c>
      <c r="E13" vm="506">
        <f ca="1"/>
        <v>10.077999999999999</v>
      </c>
      <c r="F13" vm="507">
        <f ca="1"/>
        <v>66726387</v>
      </c>
    </row>
    <row r="14" spans="1:6" x14ac:dyDescent="0.25">
      <c r="A14" vm="24">
        <f ca="1"/>
        <v>45679</v>
      </c>
      <c r="B14" vm="25">
        <f ca="1"/>
        <v>9.8712999999999997</v>
      </c>
      <c r="C14" vm="508">
        <f ca="1"/>
        <v>10.0878</v>
      </c>
      <c r="D14" vm="508">
        <f ca="1"/>
        <v>10.0878</v>
      </c>
      <c r="E14" vm="509">
        <f ca="1"/>
        <v>9.8614999999999995</v>
      </c>
      <c r="F14" vm="510">
        <f ca="1"/>
        <v>65993172</v>
      </c>
    </row>
    <row r="15" spans="1:6" x14ac:dyDescent="0.25">
      <c r="A15" vm="26">
        <f ca="1"/>
        <v>45680</v>
      </c>
      <c r="B15" vm="27">
        <f ca="1"/>
        <v>9.9992999999999999</v>
      </c>
      <c r="C15" vm="511">
        <f ca="1"/>
        <v>9.891</v>
      </c>
      <c r="D15" vm="512">
        <f ca="1"/>
        <v>10.0091</v>
      </c>
      <c r="E15" vm="499">
        <f ca="1"/>
        <v>9.8123000000000005</v>
      </c>
      <c r="F15" vm="513">
        <f ca="1"/>
        <v>57145140</v>
      </c>
    </row>
    <row r="16" spans="1:6" x14ac:dyDescent="0.25">
      <c r="A16" vm="28">
        <f ca="1"/>
        <v>45681</v>
      </c>
      <c r="B16" vm="29">
        <f ca="1"/>
        <v>9.9598999999999993</v>
      </c>
      <c r="C16" vm="27">
        <f ca="1"/>
        <v>9.9992999999999999</v>
      </c>
      <c r="D16" vm="514">
        <f ca="1"/>
        <v>10.1469</v>
      </c>
      <c r="E16" vm="515">
        <f ca="1"/>
        <v>9.9304000000000006</v>
      </c>
      <c r="F16" vm="516">
        <f ca="1"/>
        <v>43598838</v>
      </c>
    </row>
    <row r="17" spans="1:6" x14ac:dyDescent="0.25">
      <c r="A17" vm="30">
        <f ca="1"/>
        <v>45684</v>
      </c>
      <c r="B17" vm="31">
        <f ca="1"/>
        <v>10.2158</v>
      </c>
      <c r="C17" vm="517">
        <f ca="1"/>
        <v>9.9501000000000008</v>
      </c>
      <c r="D17" vm="518">
        <f ca="1"/>
        <v>10.2552</v>
      </c>
      <c r="E17" vm="519">
        <f ca="1"/>
        <v>9.9402000000000008</v>
      </c>
      <c r="F17" vm="520">
        <f ca="1"/>
        <v>74257329</v>
      </c>
    </row>
    <row r="18" spans="1:6" x14ac:dyDescent="0.25">
      <c r="A18" vm="32">
        <f ca="1"/>
        <v>45685</v>
      </c>
      <c r="B18" vm="33">
        <f ca="1"/>
        <v>9.9205000000000005</v>
      </c>
      <c r="C18" vm="521">
        <f ca="1"/>
        <v>10.068199999999999</v>
      </c>
      <c r="D18" vm="521">
        <f ca="1"/>
        <v>10.068199999999999</v>
      </c>
      <c r="E18" vm="6">
        <f ca="1"/>
        <v>9.7630999999999997</v>
      </c>
      <c r="F18" vm="522">
        <f ca="1"/>
        <v>93659287</v>
      </c>
    </row>
    <row r="19" spans="1:6" x14ac:dyDescent="0.25">
      <c r="A19" vm="34">
        <f ca="1"/>
        <v>45686</v>
      </c>
      <c r="B19" vm="35">
        <f ca="1"/>
        <v>10.048500000000001</v>
      </c>
      <c r="C19" vm="519">
        <f ca="1"/>
        <v>9.9402000000000008</v>
      </c>
      <c r="D19" vm="523">
        <f ca="1"/>
        <v>10.1272</v>
      </c>
      <c r="E19" vm="25">
        <f ca="1"/>
        <v>9.8712999999999997</v>
      </c>
      <c r="F19" vm="524">
        <f ca="1"/>
        <v>71111881</v>
      </c>
    </row>
    <row r="20" spans="1:6" x14ac:dyDescent="0.25">
      <c r="A20" vm="471">
        <f ca="1"/>
        <v>45687</v>
      </c>
      <c r="B20" vm="27">
        <f ca="1"/>
        <v>9.9992999999999999</v>
      </c>
      <c r="C20" vm="525">
        <f ca="1"/>
        <v>10.0977</v>
      </c>
      <c r="D20" vm="416">
        <f ca="1"/>
        <v>10.2256</v>
      </c>
      <c r="E20" vm="479">
        <f ca="1"/>
        <v>9.9009</v>
      </c>
      <c r="F20" vm="526">
        <f ca="1"/>
        <v>70782906</v>
      </c>
    </row>
    <row r="21" spans="1:6" x14ac:dyDescent="0.25">
      <c r="A21" vm="36">
        <f ca="1"/>
        <v>45688</v>
      </c>
      <c r="B21" vm="33">
        <f ca="1"/>
        <v>9.9205000000000005</v>
      </c>
      <c r="C21" vm="512">
        <f ca="1"/>
        <v>10.0091</v>
      </c>
      <c r="D21" vm="527">
        <f ca="1"/>
        <v>10.186299999999999</v>
      </c>
      <c r="E21" vm="528">
        <f ca="1"/>
        <v>9.8320000000000007</v>
      </c>
      <c r="F21" vm="529">
        <f ca="1"/>
        <v>105393560</v>
      </c>
    </row>
    <row r="22" spans="1:6" x14ac:dyDescent="0.25">
      <c r="A22" vm="37">
        <f ca="1"/>
        <v>45691</v>
      </c>
      <c r="B22" vm="38">
        <f ca="1"/>
        <v>9.7334999999999994</v>
      </c>
      <c r="C22" vm="483">
        <f ca="1"/>
        <v>9.5662000000000003</v>
      </c>
      <c r="D22" vm="479">
        <f ca="1"/>
        <v>9.9009</v>
      </c>
      <c r="E22" vm="530">
        <f ca="1"/>
        <v>9.4481000000000002</v>
      </c>
      <c r="F22" vm="531">
        <f ca="1"/>
        <v>133542924</v>
      </c>
    </row>
    <row r="23" spans="1:6" x14ac:dyDescent="0.25">
      <c r="A23" vm="39">
        <f ca="1"/>
        <v>45692</v>
      </c>
      <c r="B23" vm="27">
        <f ca="1"/>
        <v>9.9992999999999999</v>
      </c>
      <c r="C23" vm="532">
        <f ca="1"/>
        <v>9.7827000000000002</v>
      </c>
      <c r="D23" vm="27">
        <f ca="1"/>
        <v>9.9992999999999999</v>
      </c>
      <c r="E23" vm="533">
        <f ca="1"/>
        <v>9.7483000000000004</v>
      </c>
      <c r="F23" vm="534">
        <f ca="1"/>
        <v>69821048</v>
      </c>
    </row>
    <row r="24" spans="1:6" x14ac:dyDescent="0.25">
      <c r="A24" vm="40">
        <f ca="1"/>
        <v>45693</v>
      </c>
      <c r="B24" vm="19">
        <f ca="1"/>
        <v>9.8515999999999995</v>
      </c>
      <c r="C24" vm="27">
        <f ca="1"/>
        <v>9.9992999999999999</v>
      </c>
      <c r="D24" vm="535">
        <f ca="1"/>
        <v>10.1518</v>
      </c>
      <c r="E24" vm="536">
        <f ca="1"/>
        <v>9.8024000000000004</v>
      </c>
      <c r="F24" vm="537">
        <f ca="1"/>
        <v>126184045</v>
      </c>
    </row>
    <row r="25" spans="1:6" x14ac:dyDescent="0.25">
      <c r="A25" vm="41">
        <f ca="1"/>
        <v>45694</v>
      </c>
      <c r="B25" vm="42">
        <f ca="1"/>
        <v>9.1135000000000002</v>
      </c>
      <c r="C25" vm="538">
        <f ca="1"/>
        <v>9.3399000000000001</v>
      </c>
      <c r="D25" vm="539">
        <f ca="1"/>
        <v>9.4875000000000007</v>
      </c>
      <c r="E25" vm="42">
        <f ca="1"/>
        <v>9.1135000000000002</v>
      </c>
      <c r="F25" vm="540">
        <f ca="1"/>
        <v>226339032</v>
      </c>
    </row>
    <row r="26" spans="1:6" x14ac:dyDescent="0.25">
      <c r="A26" vm="43">
        <f ca="1"/>
        <v>45695</v>
      </c>
      <c r="B26" vm="44">
        <f ca="1"/>
        <v>9.0937999999999999</v>
      </c>
      <c r="C26" vm="541">
        <f ca="1"/>
        <v>9.1823999999999995</v>
      </c>
      <c r="D26" vm="51">
        <f ca="1"/>
        <v>9.2020999999999997</v>
      </c>
      <c r="E26" vm="542">
        <f ca="1"/>
        <v>9.0348000000000006</v>
      </c>
      <c r="F26" vm="543">
        <f ca="1"/>
        <v>143116839</v>
      </c>
    </row>
    <row r="27" spans="1:6" x14ac:dyDescent="0.25">
      <c r="A27" vm="45">
        <f ca="1"/>
        <v>45698</v>
      </c>
      <c r="B27" vm="44">
        <f ca="1"/>
        <v>9.0937999999999999</v>
      </c>
      <c r="C27" vm="544">
        <f ca="1"/>
        <v>9.1036999999999999</v>
      </c>
      <c r="D27" vm="545">
        <f ca="1"/>
        <v>9.1529000000000007</v>
      </c>
      <c r="E27" vm="546">
        <f ca="1"/>
        <v>8.9756999999999998</v>
      </c>
      <c r="F27" vm="547">
        <f ca="1"/>
        <v>73328062</v>
      </c>
    </row>
    <row r="28" spans="1:6" x14ac:dyDescent="0.25">
      <c r="A28" vm="46">
        <f ca="1"/>
        <v>45699</v>
      </c>
      <c r="B28" vm="47">
        <f ca="1"/>
        <v>9.0642999999999994</v>
      </c>
      <c r="C28" vm="47">
        <f ca="1"/>
        <v>9.0642999999999994</v>
      </c>
      <c r="D28" vm="42">
        <f ca="1"/>
        <v>9.1135000000000002</v>
      </c>
      <c r="E28" vm="548">
        <f ca="1"/>
        <v>9.0249000000000006</v>
      </c>
      <c r="F28" vm="549">
        <f ca="1"/>
        <v>55726170</v>
      </c>
    </row>
    <row r="29" spans="1:6" x14ac:dyDescent="0.25">
      <c r="A29" vm="48">
        <f ca="1"/>
        <v>45700</v>
      </c>
      <c r="B29" vm="49">
        <f ca="1"/>
        <v>9.0839999999999996</v>
      </c>
      <c r="C29" vm="548">
        <f ca="1"/>
        <v>9.0249000000000006</v>
      </c>
      <c r="D29" vm="550">
        <f ca="1"/>
        <v>9.1430000000000007</v>
      </c>
      <c r="E29" vm="551">
        <f ca="1"/>
        <v>8.9559999999999995</v>
      </c>
      <c r="F29" vm="552">
        <f ca="1"/>
        <v>68421994</v>
      </c>
    </row>
    <row r="30" spans="1:6" x14ac:dyDescent="0.25">
      <c r="A30" vm="50">
        <f ca="1"/>
        <v>45701</v>
      </c>
      <c r="B30" vm="51">
        <f ca="1"/>
        <v>9.2020999999999997</v>
      </c>
      <c r="C30" vm="550">
        <f ca="1"/>
        <v>9.1430000000000007</v>
      </c>
      <c r="D30" vm="553">
        <f ca="1"/>
        <v>9.2611000000000008</v>
      </c>
      <c r="E30" vm="44">
        <f ca="1"/>
        <v>9.0937999999999999</v>
      </c>
      <c r="F30" vm="554">
        <f ca="1"/>
        <v>73218126</v>
      </c>
    </row>
    <row r="31" spans="1:6" x14ac:dyDescent="0.25">
      <c r="A31" vm="52">
        <f ca="1"/>
        <v>45702</v>
      </c>
      <c r="B31" vm="53">
        <f ca="1"/>
        <v>9.33</v>
      </c>
      <c r="C31" vm="555">
        <f ca="1"/>
        <v>9.2807999999999993</v>
      </c>
      <c r="D31" vm="556">
        <f ca="1"/>
        <v>9.3596000000000004</v>
      </c>
      <c r="E31" vm="557">
        <f ca="1"/>
        <v>9.2415000000000003</v>
      </c>
      <c r="F31" vm="558">
        <f ca="1"/>
        <v>54642783</v>
      </c>
    </row>
    <row r="32" spans="1:6" x14ac:dyDescent="0.25">
      <c r="A32" vm="54">
        <f ca="1"/>
        <v>45706</v>
      </c>
      <c r="B32" vm="55">
        <f ca="1"/>
        <v>9.2899999999999991</v>
      </c>
      <c r="C32" vm="559">
        <f ca="1"/>
        <v>9.32</v>
      </c>
      <c r="D32" vm="63">
        <f ca="1"/>
        <v>9.35</v>
      </c>
      <c r="E32" vm="560">
        <f ca="1"/>
        <v>9.23</v>
      </c>
      <c r="F32" vm="561">
        <f ca="1"/>
        <v>62175764</v>
      </c>
    </row>
    <row r="33" spans="1:6" x14ac:dyDescent="0.25">
      <c r="A33" vm="56">
        <f ca="1"/>
        <v>45707</v>
      </c>
      <c r="B33" vm="57">
        <f ca="1"/>
        <v>9.34</v>
      </c>
      <c r="C33" vm="562">
        <f ca="1"/>
        <v>9.27</v>
      </c>
      <c r="D33" vm="59">
        <f ca="1"/>
        <v>9.39</v>
      </c>
      <c r="E33" vm="563">
        <f ca="1"/>
        <v>9.2100000000000009</v>
      </c>
      <c r="F33" vm="564">
        <f ca="1"/>
        <v>50191726</v>
      </c>
    </row>
    <row r="34" spans="1:6" x14ac:dyDescent="0.25">
      <c r="A34" vm="58">
        <f ca="1"/>
        <v>45708</v>
      </c>
      <c r="B34" vm="59">
        <f ca="1"/>
        <v>9.39</v>
      </c>
      <c r="C34" vm="53">
        <f ca="1"/>
        <v>9.33</v>
      </c>
      <c r="D34" vm="565">
        <f ca="1"/>
        <v>9.3949999999999996</v>
      </c>
      <c r="E34" vm="61">
        <f ca="1"/>
        <v>9.2799999999999994</v>
      </c>
      <c r="F34" vm="566">
        <f ca="1"/>
        <v>39787792</v>
      </c>
    </row>
    <row r="35" spans="1:6" x14ac:dyDescent="0.25">
      <c r="A35" vm="60">
        <f ca="1"/>
        <v>45709</v>
      </c>
      <c r="B35" vm="61">
        <f ca="1"/>
        <v>9.2799999999999994</v>
      </c>
      <c r="C35" vm="567">
        <f ca="1"/>
        <v>9.3800000000000008</v>
      </c>
      <c r="D35" vm="568">
        <f ca="1"/>
        <v>9.41</v>
      </c>
      <c r="E35" vm="560">
        <f ca="1"/>
        <v>9.23</v>
      </c>
      <c r="F35" vm="569">
        <f ca="1"/>
        <v>58437662</v>
      </c>
    </row>
    <row r="36" spans="1:6" x14ac:dyDescent="0.25">
      <c r="A36" vm="62">
        <f ca="1"/>
        <v>45712</v>
      </c>
      <c r="B36" vm="63">
        <f ca="1"/>
        <v>9.35</v>
      </c>
      <c r="C36" vm="570">
        <f ca="1"/>
        <v>9.3049999999999997</v>
      </c>
      <c r="D36" vm="133">
        <f ca="1"/>
        <v>9.4</v>
      </c>
      <c r="E36" vm="563">
        <f ca="1"/>
        <v>9.2100000000000009</v>
      </c>
      <c r="F36" vm="571">
        <f ca="1"/>
        <v>72562637</v>
      </c>
    </row>
    <row r="37" spans="1:6" x14ac:dyDescent="0.25">
      <c r="A37" vm="64">
        <f ca="1"/>
        <v>45713</v>
      </c>
      <c r="B37" vm="65">
        <f ca="1"/>
        <v>9.42</v>
      </c>
      <c r="C37" vm="572">
        <f ca="1"/>
        <v>9.3650000000000002</v>
      </c>
      <c r="D37" vm="573">
        <f ca="1"/>
        <v>9.49</v>
      </c>
      <c r="E37" vm="574">
        <f ca="1"/>
        <v>9.31</v>
      </c>
      <c r="F37" vm="575">
        <f ca="1"/>
        <v>88876827</v>
      </c>
    </row>
    <row r="38" spans="1:6" x14ac:dyDescent="0.25">
      <c r="A38" vm="66">
        <f ca="1"/>
        <v>45714</v>
      </c>
      <c r="B38" vm="67">
        <f ca="1"/>
        <v>9.4700000000000006</v>
      </c>
      <c r="C38" vm="576">
        <f ca="1"/>
        <v>9.4600000000000009</v>
      </c>
      <c r="D38" vm="577">
        <f ca="1"/>
        <v>9.6199999999999992</v>
      </c>
      <c r="E38" vm="578">
        <f ca="1"/>
        <v>9.44</v>
      </c>
      <c r="F38" vm="579">
        <f ca="1"/>
        <v>87948083</v>
      </c>
    </row>
    <row r="39" spans="1:6" x14ac:dyDescent="0.25">
      <c r="A39" vm="68">
        <f ca="1"/>
        <v>45715</v>
      </c>
      <c r="B39" vm="55">
        <f ca="1"/>
        <v>9.2899999999999991</v>
      </c>
      <c r="C39" vm="578">
        <f ca="1"/>
        <v>9.44</v>
      </c>
      <c r="D39" vm="87">
        <f ca="1"/>
        <v>9.5299999999999994</v>
      </c>
      <c r="E39" vm="55">
        <f ca="1"/>
        <v>9.2899999999999991</v>
      </c>
      <c r="F39" vm="580">
        <f ca="1"/>
        <v>70518755</v>
      </c>
    </row>
    <row r="40" spans="1:6" x14ac:dyDescent="0.25">
      <c r="A40" vm="69">
        <f ca="1"/>
        <v>45716</v>
      </c>
      <c r="B40" vm="70">
        <f ca="1"/>
        <v>9.5500000000000007</v>
      </c>
      <c r="C40" vm="581">
        <f ca="1"/>
        <v>9.3149999999999995</v>
      </c>
      <c r="D40" vm="83">
        <f ca="1"/>
        <v>9.69</v>
      </c>
      <c r="E40" vm="574">
        <f ca="1"/>
        <v>9.31</v>
      </c>
      <c r="F40" vm="582">
        <f ca="1"/>
        <v>137992574</v>
      </c>
    </row>
    <row r="41" spans="1:6" x14ac:dyDescent="0.25">
      <c r="A41" vm="71">
        <f ca="1"/>
        <v>45719</v>
      </c>
      <c r="B41" vm="59">
        <f ca="1"/>
        <v>9.39</v>
      </c>
      <c r="C41" vm="129">
        <f ca="1"/>
        <v>9.7100000000000009</v>
      </c>
      <c r="D41" vm="583">
        <f ca="1"/>
        <v>9.82</v>
      </c>
      <c r="E41" vm="559">
        <f ca="1"/>
        <v>9.32</v>
      </c>
      <c r="F41" vm="584">
        <f ca="1"/>
        <v>154435905</v>
      </c>
    </row>
    <row r="42" spans="1:6" x14ac:dyDescent="0.25">
      <c r="A42" vm="72">
        <f ca="1"/>
        <v>45720</v>
      </c>
      <c r="B42" vm="73">
        <f ca="1"/>
        <v>9.1199999999999992</v>
      </c>
      <c r="C42" vm="560">
        <f ca="1"/>
        <v>9.23</v>
      </c>
      <c r="D42" vm="562">
        <f ca="1"/>
        <v>9.27</v>
      </c>
      <c r="E42" vm="585">
        <f ca="1"/>
        <v>9.06</v>
      </c>
      <c r="F42" vm="586">
        <f ca="1"/>
        <v>167499954</v>
      </c>
    </row>
    <row r="43" spans="1:6" x14ac:dyDescent="0.25">
      <c r="A43" vm="74">
        <f ca="1"/>
        <v>45721</v>
      </c>
      <c r="B43" vm="75">
        <f ca="1"/>
        <v>9.65</v>
      </c>
      <c r="C43" vm="587">
        <f ca="1"/>
        <v>9.26</v>
      </c>
      <c r="D43" vm="588">
        <f ca="1"/>
        <v>9.67</v>
      </c>
      <c r="E43" vm="589">
        <f ca="1"/>
        <v>9.1999999999999993</v>
      </c>
      <c r="F43" vm="590">
        <f ca="1"/>
        <v>157774904</v>
      </c>
    </row>
    <row r="44" spans="1:6" x14ac:dyDescent="0.25">
      <c r="A44" vm="76">
        <f ca="1"/>
        <v>45722</v>
      </c>
      <c r="B44" vm="77">
        <f ca="1"/>
        <v>9.61</v>
      </c>
      <c r="C44" vm="591">
        <f ca="1"/>
        <v>9.5150000000000006</v>
      </c>
      <c r="D44" vm="108">
        <f ca="1"/>
        <v>9.7200000000000006</v>
      </c>
      <c r="E44" vm="65">
        <f ca="1"/>
        <v>9.42</v>
      </c>
      <c r="F44" vm="592">
        <f ca="1"/>
        <v>136680746</v>
      </c>
    </row>
    <row r="45" spans="1:6" x14ac:dyDescent="0.25">
      <c r="A45" vm="78">
        <f ca="1"/>
        <v>45723</v>
      </c>
      <c r="B45" vm="79">
        <f ca="1"/>
        <v>9.9</v>
      </c>
      <c r="C45" vm="116">
        <f ca="1"/>
        <v>9.5399999999999991</v>
      </c>
      <c r="D45" vm="81">
        <f ca="1"/>
        <v>9.9600000000000009</v>
      </c>
      <c r="E45" vm="593">
        <f ca="1"/>
        <v>9.51</v>
      </c>
      <c r="F45" vm="594">
        <f ca="1"/>
        <v>150644884</v>
      </c>
    </row>
    <row r="46" spans="1:6" x14ac:dyDescent="0.25">
      <c r="A46" vm="80">
        <f ca="1"/>
        <v>45726</v>
      </c>
      <c r="B46" vm="81">
        <f ca="1"/>
        <v>9.9600000000000009</v>
      </c>
      <c r="C46" vm="595">
        <f ca="1"/>
        <v>9.77</v>
      </c>
      <c r="D46" vm="596">
        <f ca="1"/>
        <v>10.14</v>
      </c>
      <c r="E46" vm="595">
        <f ca="1"/>
        <v>9.77</v>
      </c>
      <c r="F46" vm="597">
        <f ca="1"/>
        <v>167183809</v>
      </c>
    </row>
    <row r="47" spans="1:6" x14ac:dyDescent="0.25">
      <c r="A47" vm="82">
        <f ca="1"/>
        <v>45727</v>
      </c>
      <c r="B47" vm="83">
        <f ca="1"/>
        <v>9.69</v>
      </c>
      <c r="C47" vm="91">
        <f ca="1"/>
        <v>9.92</v>
      </c>
      <c r="D47" vm="81">
        <f ca="1"/>
        <v>9.9600000000000009</v>
      </c>
      <c r="E47" vm="573">
        <f ca="1"/>
        <v>9.49</v>
      </c>
      <c r="F47" vm="598">
        <f ca="1"/>
        <v>210126974</v>
      </c>
    </row>
    <row r="48" spans="1:6" x14ac:dyDescent="0.25">
      <c r="A48" vm="84">
        <f ca="1"/>
        <v>45728</v>
      </c>
      <c r="B48" vm="85">
        <f ca="1"/>
        <v>9.59</v>
      </c>
      <c r="C48" vm="599">
        <f ca="1"/>
        <v>9.6999999999999993</v>
      </c>
      <c r="D48" vm="129">
        <f ca="1"/>
        <v>9.7100000000000009</v>
      </c>
      <c r="E48" vm="576">
        <f ca="1"/>
        <v>9.4600000000000009</v>
      </c>
      <c r="F48" vm="600">
        <f ca="1"/>
        <v>129994592</v>
      </c>
    </row>
    <row r="49" spans="1:6" x14ac:dyDescent="0.25">
      <c r="A49" vm="86">
        <f ca="1"/>
        <v>45729</v>
      </c>
      <c r="B49" vm="87">
        <f ca="1"/>
        <v>9.5299999999999994</v>
      </c>
      <c r="C49" vm="601">
        <f ca="1"/>
        <v>9.57</v>
      </c>
      <c r="D49" vm="93">
        <f ca="1"/>
        <v>9.9499999999999993</v>
      </c>
      <c r="E49" vm="124">
        <f ca="1"/>
        <v>9.5</v>
      </c>
      <c r="F49" vm="602">
        <f ca="1"/>
        <v>137747632</v>
      </c>
    </row>
    <row r="50" spans="1:6" x14ac:dyDescent="0.25">
      <c r="A50" vm="88">
        <f ca="1"/>
        <v>45730</v>
      </c>
      <c r="B50" vm="89">
        <f ca="1"/>
        <v>9.73</v>
      </c>
      <c r="C50" vm="603">
        <f ca="1"/>
        <v>9.66</v>
      </c>
      <c r="D50" vm="604">
        <f ca="1"/>
        <v>9.7899999999999991</v>
      </c>
      <c r="E50" vm="605">
        <f ca="1"/>
        <v>9.64</v>
      </c>
      <c r="F50" vm="606">
        <f ca="1"/>
        <v>91313759</v>
      </c>
    </row>
    <row r="51" spans="1:6" x14ac:dyDescent="0.25">
      <c r="A51" vm="90">
        <f ca="1"/>
        <v>45733</v>
      </c>
      <c r="B51" vm="91">
        <f ca="1"/>
        <v>9.92</v>
      </c>
      <c r="C51" vm="607">
        <f ca="1"/>
        <v>9.74</v>
      </c>
      <c r="D51" vm="185">
        <f ca="1"/>
        <v>9.98</v>
      </c>
      <c r="E51" vm="607">
        <f ca="1"/>
        <v>9.74</v>
      </c>
      <c r="F51" vm="608">
        <f ca="1"/>
        <v>98583068</v>
      </c>
    </row>
    <row r="52" spans="1:6" x14ac:dyDescent="0.25">
      <c r="A52" vm="92">
        <f ca="1"/>
        <v>45734</v>
      </c>
      <c r="B52" vm="93">
        <f ca="1"/>
        <v>9.9499999999999993</v>
      </c>
      <c r="C52" vm="93">
        <f ca="1"/>
        <v>9.9499999999999993</v>
      </c>
      <c r="D52" vm="143">
        <f ca="1"/>
        <v>10.039999999999999</v>
      </c>
      <c r="E52" vm="609">
        <f ca="1"/>
        <v>9.8800000000000008</v>
      </c>
      <c r="F52" vm="610">
        <f ca="1"/>
        <v>102730930</v>
      </c>
    </row>
    <row r="53" spans="1:6" x14ac:dyDescent="0.25">
      <c r="A53" vm="94">
        <f ca="1"/>
        <v>45735</v>
      </c>
      <c r="B53" vm="95">
        <f ca="1"/>
        <v>10.17</v>
      </c>
      <c r="C53" vm="81">
        <f ca="1"/>
        <v>9.9600000000000009</v>
      </c>
      <c r="D53" vm="151">
        <f ca="1"/>
        <v>10.28</v>
      </c>
      <c r="E53" vm="611">
        <f ca="1"/>
        <v>9.9450000000000003</v>
      </c>
      <c r="F53" vm="612">
        <f ca="1"/>
        <v>124697379</v>
      </c>
    </row>
    <row r="54" spans="1:6" x14ac:dyDescent="0.25">
      <c r="A54" vm="96">
        <f ca="1"/>
        <v>45736</v>
      </c>
      <c r="B54" vm="97">
        <f ca="1"/>
        <v>10.01</v>
      </c>
      <c r="C54" vm="613">
        <f ca="1"/>
        <v>10.07</v>
      </c>
      <c r="D54" vm="114">
        <f ca="1"/>
        <v>10.15</v>
      </c>
      <c r="E54" vm="614">
        <f ca="1"/>
        <v>9.99</v>
      </c>
      <c r="F54" vm="615">
        <f ca="1"/>
        <v>109103733</v>
      </c>
    </row>
    <row r="55" spans="1:6" x14ac:dyDescent="0.25">
      <c r="A55" vm="98">
        <f ca="1"/>
        <v>45737</v>
      </c>
      <c r="B55" vm="99">
        <f ca="1"/>
        <v>10</v>
      </c>
      <c r="C55" vm="616">
        <f ca="1"/>
        <v>9.9149999999999991</v>
      </c>
      <c r="D55" vm="617">
        <f ca="1"/>
        <v>10.119999999999999</v>
      </c>
      <c r="E55" vm="618">
        <f ca="1"/>
        <v>9.83</v>
      </c>
      <c r="F55" vm="619">
        <f ca="1"/>
        <v>240638631</v>
      </c>
    </row>
    <row r="56" spans="1:6" x14ac:dyDescent="0.25">
      <c r="A56" vm="100">
        <f ca="1"/>
        <v>45740</v>
      </c>
      <c r="B56" vm="101">
        <f ca="1"/>
        <v>10.25</v>
      </c>
      <c r="C56" vm="143">
        <f ca="1"/>
        <v>10.039999999999999</v>
      </c>
      <c r="D56" vm="101">
        <f ca="1"/>
        <v>10.25</v>
      </c>
      <c r="E56" vm="97">
        <f ca="1"/>
        <v>10.01</v>
      </c>
      <c r="F56" vm="620">
        <f ca="1"/>
        <v>102847191</v>
      </c>
    </row>
    <row r="57" spans="1:6" x14ac:dyDescent="0.25">
      <c r="A57" vm="102">
        <f ca="1"/>
        <v>45741</v>
      </c>
      <c r="B57" vm="103">
        <f ca="1"/>
        <v>10.29</v>
      </c>
      <c r="C57" vm="105">
        <f ca="1"/>
        <v>10.3</v>
      </c>
      <c r="D57" vm="621">
        <f ca="1"/>
        <v>10.35</v>
      </c>
      <c r="E57" vm="95">
        <f ca="1"/>
        <v>10.17</v>
      </c>
      <c r="F57" vm="622">
        <f ca="1"/>
        <v>83674856</v>
      </c>
    </row>
    <row r="58" spans="1:6" x14ac:dyDescent="0.25">
      <c r="A58" vm="104">
        <f ca="1"/>
        <v>45742</v>
      </c>
      <c r="B58" vm="105">
        <f ca="1"/>
        <v>10.3</v>
      </c>
      <c r="C58" vm="623">
        <f ca="1"/>
        <v>10.27</v>
      </c>
      <c r="D58" vm="621">
        <f ca="1"/>
        <v>10.35</v>
      </c>
      <c r="E58" vm="624">
        <f ca="1"/>
        <v>10.09</v>
      </c>
      <c r="F58" vm="625">
        <f ca="1"/>
        <v>140975582</v>
      </c>
    </row>
    <row r="59" spans="1:6" x14ac:dyDescent="0.25">
      <c r="A59" vm="106">
        <f ca="1"/>
        <v>45743</v>
      </c>
      <c r="B59" vm="79">
        <f ca="1"/>
        <v>9.9</v>
      </c>
      <c r="C59" vm="193">
        <f ca="1"/>
        <v>10.26</v>
      </c>
      <c r="D59" vm="626">
        <f ca="1"/>
        <v>10.4</v>
      </c>
      <c r="E59" vm="583">
        <f ca="1"/>
        <v>9.82</v>
      </c>
      <c r="F59" vm="627">
        <f ca="1"/>
        <v>229032469</v>
      </c>
    </row>
    <row r="60" spans="1:6" x14ac:dyDescent="0.25">
      <c r="A60" vm="107">
        <f ca="1"/>
        <v>45744</v>
      </c>
      <c r="B60" vm="108">
        <f ca="1"/>
        <v>9.7200000000000006</v>
      </c>
      <c r="C60" vm="628">
        <f ca="1"/>
        <v>9.84</v>
      </c>
      <c r="D60" vm="629">
        <f ca="1"/>
        <v>9.89</v>
      </c>
      <c r="E60" vm="577">
        <f ca="1"/>
        <v>9.6199999999999992</v>
      </c>
      <c r="F60" vm="630">
        <f ca="1"/>
        <v>136868327</v>
      </c>
    </row>
    <row r="61" spans="1:6" x14ac:dyDescent="0.25">
      <c r="A61" vm="109">
        <f ca="1"/>
        <v>45747</v>
      </c>
      <c r="B61" vm="110">
        <f ca="1"/>
        <v>10.029999999999999</v>
      </c>
      <c r="C61" vm="631">
        <f ca="1"/>
        <v>9.5749999999999993</v>
      </c>
      <c r="D61" vm="632">
        <f ca="1"/>
        <v>10.11</v>
      </c>
      <c r="E61" vm="633">
        <f ca="1"/>
        <v>9.5449999999999999</v>
      </c>
      <c r="F61" vm="634">
        <f ca="1"/>
        <v>139951868</v>
      </c>
    </row>
    <row r="62" spans="1:6" x14ac:dyDescent="0.25">
      <c r="A62" vm="111">
        <f ca="1"/>
        <v>45748</v>
      </c>
      <c r="B62" vm="112">
        <f ca="1"/>
        <v>9.94</v>
      </c>
      <c r="C62" vm="191">
        <f ca="1"/>
        <v>10.1</v>
      </c>
      <c r="D62" vm="95">
        <f ca="1"/>
        <v>10.17</v>
      </c>
      <c r="E62" vm="635">
        <f ca="1"/>
        <v>9.81</v>
      </c>
      <c r="F62" vm="636">
        <f ca="1"/>
        <v>135388684</v>
      </c>
    </row>
    <row r="63" spans="1:6" x14ac:dyDescent="0.25">
      <c r="A63" vm="113">
        <f ca="1"/>
        <v>45749</v>
      </c>
      <c r="B63" vm="114">
        <f ca="1"/>
        <v>10.15</v>
      </c>
      <c r="C63" vm="637">
        <f ca="1"/>
        <v>9.8350000000000009</v>
      </c>
      <c r="D63" vm="623">
        <f ca="1"/>
        <v>10.27</v>
      </c>
      <c r="E63" vm="583">
        <f ca="1"/>
        <v>9.82</v>
      </c>
      <c r="F63" vm="638">
        <f ca="1"/>
        <v>136908485</v>
      </c>
    </row>
    <row r="64" spans="1:6" x14ac:dyDescent="0.25">
      <c r="A64" vm="115">
        <f ca="1"/>
        <v>45750</v>
      </c>
      <c r="B64" vm="116">
        <f ca="1"/>
        <v>9.5399999999999991</v>
      </c>
      <c r="C64" vm="639">
        <f ca="1"/>
        <v>9.9949999999999992</v>
      </c>
      <c r="D64" vm="640">
        <f ca="1"/>
        <v>10.199999999999999</v>
      </c>
      <c r="E64" vm="87">
        <f ca="1"/>
        <v>9.5299999999999994</v>
      </c>
      <c r="F64" vm="641">
        <f ca="1"/>
        <v>220270980</v>
      </c>
    </row>
    <row r="65" spans="1:6" x14ac:dyDescent="0.25">
      <c r="A65" vm="117">
        <f ca="1"/>
        <v>45751</v>
      </c>
      <c r="B65" vm="118">
        <f ca="1"/>
        <v>9.58</v>
      </c>
      <c r="C65" vm="581">
        <f ca="1"/>
        <v>9.3149999999999995</v>
      </c>
      <c r="D65" vm="89">
        <f ca="1"/>
        <v>9.73</v>
      </c>
      <c r="E65" vm="589">
        <f ca="1"/>
        <v>9.1999999999999993</v>
      </c>
      <c r="F65" vm="642">
        <f ca="1"/>
        <v>177466228</v>
      </c>
    </row>
    <row r="66" spans="1:6" x14ac:dyDescent="0.25">
      <c r="A66" vm="119">
        <f ca="1"/>
        <v>45754</v>
      </c>
      <c r="B66" vm="120">
        <f ca="1"/>
        <v>9.24</v>
      </c>
      <c r="C66" vm="562">
        <f ca="1"/>
        <v>9.27</v>
      </c>
      <c r="D66" vm="605">
        <f ca="1"/>
        <v>9.64</v>
      </c>
      <c r="E66" vm="643">
        <f ca="1"/>
        <v>9</v>
      </c>
      <c r="F66" vm="644">
        <f ca="1"/>
        <v>274938497</v>
      </c>
    </row>
    <row r="67" spans="1:6" x14ac:dyDescent="0.25">
      <c r="A67" vm="121">
        <f ca="1"/>
        <v>45755</v>
      </c>
      <c r="B67" vm="122">
        <f ca="1"/>
        <v>8.69</v>
      </c>
      <c r="C67" vm="645">
        <f ca="1"/>
        <v>9.52</v>
      </c>
      <c r="D67" vm="645">
        <f ca="1"/>
        <v>9.52</v>
      </c>
      <c r="E67" vm="646">
        <f ca="1"/>
        <v>8.5500000000000007</v>
      </c>
      <c r="F67" vm="647">
        <f ca="1"/>
        <v>199286778</v>
      </c>
    </row>
    <row r="68" spans="1:6" x14ac:dyDescent="0.25">
      <c r="A68" vm="123">
        <f ca="1"/>
        <v>45756</v>
      </c>
      <c r="B68" vm="124">
        <f ca="1"/>
        <v>9.5</v>
      </c>
      <c r="C68" vm="648">
        <f ca="1"/>
        <v>8.5</v>
      </c>
      <c r="D68" vm="116">
        <f ca="1"/>
        <v>9.5399999999999991</v>
      </c>
      <c r="E68" vm="649">
        <f ca="1"/>
        <v>8.4405999999999999</v>
      </c>
      <c r="F68" vm="650">
        <f ca="1"/>
        <v>199662988</v>
      </c>
    </row>
    <row r="69" spans="1:6" x14ac:dyDescent="0.25">
      <c r="A69" vm="125">
        <f ca="1"/>
        <v>45757</v>
      </c>
      <c r="B69" vm="126">
        <f ca="1"/>
        <v>9.14</v>
      </c>
      <c r="C69" vm="651">
        <f ca="1"/>
        <v>9.1</v>
      </c>
      <c r="D69" vm="61">
        <f ca="1"/>
        <v>9.2799999999999994</v>
      </c>
      <c r="E69" vm="652">
        <f ca="1"/>
        <v>8.8800000000000008</v>
      </c>
      <c r="F69" vm="653">
        <f ca="1"/>
        <v>163535434</v>
      </c>
    </row>
    <row r="70" spans="1:6" x14ac:dyDescent="0.25">
      <c r="A70" vm="127">
        <f ca="1"/>
        <v>45758</v>
      </c>
      <c r="B70" vm="53">
        <f ca="1"/>
        <v>9.33</v>
      </c>
      <c r="C70" vm="654">
        <f ca="1"/>
        <v>9.11</v>
      </c>
      <c r="D70" vm="63">
        <f ca="1"/>
        <v>9.35</v>
      </c>
      <c r="E70" vm="655">
        <f ca="1"/>
        <v>9.0399999999999991</v>
      </c>
      <c r="F70" vm="656">
        <f ca="1"/>
        <v>146073701</v>
      </c>
    </row>
    <row r="71" spans="1:6" x14ac:dyDescent="0.25">
      <c r="A71" vm="128">
        <f ca="1"/>
        <v>45761</v>
      </c>
      <c r="B71" vm="129">
        <f ca="1"/>
        <v>9.7100000000000009</v>
      </c>
      <c r="C71" vm="567">
        <f ca="1"/>
        <v>9.3800000000000008</v>
      </c>
      <c r="D71" vm="635">
        <f ca="1"/>
        <v>9.81</v>
      </c>
      <c r="E71" vm="589">
        <f ca="1"/>
        <v>9.1999999999999993</v>
      </c>
      <c r="F71" vm="657">
        <f ca="1"/>
        <v>189955001</v>
      </c>
    </row>
    <row r="72" spans="1:6" x14ac:dyDescent="0.25">
      <c r="A72" vm="130">
        <f ca="1"/>
        <v>45762</v>
      </c>
      <c r="B72" vm="131">
        <f ca="1"/>
        <v>9.4499999999999993</v>
      </c>
      <c r="C72" vm="658">
        <f ca="1"/>
        <v>9.6150000000000002</v>
      </c>
      <c r="D72" vm="135">
        <f ca="1"/>
        <v>9.6300000000000008</v>
      </c>
      <c r="E72" vm="567">
        <f ca="1"/>
        <v>9.3800000000000008</v>
      </c>
      <c r="F72" vm="659">
        <f ca="1"/>
        <v>125469023</v>
      </c>
    </row>
    <row r="73" spans="1:6" x14ac:dyDescent="0.25">
      <c r="A73" vm="132">
        <f ca="1"/>
        <v>45763</v>
      </c>
      <c r="B73" vm="133">
        <f ca="1"/>
        <v>9.4</v>
      </c>
      <c r="C73" vm="67">
        <f ca="1"/>
        <v>9.4700000000000006</v>
      </c>
      <c r="D73" vm="577">
        <f ca="1"/>
        <v>9.6199999999999992</v>
      </c>
      <c r="E73" vm="55">
        <f ca="1"/>
        <v>9.2899999999999991</v>
      </c>
      <c r="F73" vm="660">
        <f ca="1"/>
        <v>133804943</v>
      </c>
    </row>
    <row r="74" spans="1:6" x14ac:dyDescent="0.25">
      <c r="A74" vm="134">
        <f ca="1"/>
        <v>45764</v>
      </c>
      <c r="B74" vm="135">
        <f ca="1"/>
        <v>9.6300000000000008</v>
      </c>
      <c r="C74" vm="568">
        <f ca="1"/>
        <v>9.41</v>
      </c>
      <c r="D74" vm="83">
        <f ca="1"/>
        <v>9.69</v>
      </c>
      <c r="E74" vm="661">
        <f ca="1"/>
        <v>9.4049999999999994</v>
      </c>
      <c r="F74" vm="662">
        <f ca="1"/>
        <v>129204565</v>
      </c>
    </row>
    <row r="75" spans="1:6" x14ac:dyDescent="0.25">
      <c r="A75" vm="136">
        <f ca="1"/>
        <v>45768</v>
      </c>
      <c r="B75" vm="67">
        <f ca="1"/>
        <v>9.4700000000000006</v>
      </c>
      <c r="C75" vm="118">
        <f ca="1"/>
        <v>9.58</v>
      </c>
      <c r="D75" vm="135">
        <f ca="1"/>
        <v>9.6300000000000008</v>
      </c>
      <c r="E75" vm="63">
        <f ca="1"/>
        <v>9.35</v>
      </c>
      <c r="F75" vm="663">
        <f ca="1"/>
        <v>94138882</v>
      </c>
    </row>
    <row r="76" spans="1:6" x14ac:dyDescent="0.25">
      <c r="A76" vm="137">
        <f ca="1"/>
        <v>45769</v>
      </c>
      <c r="B76" vm="75">
        <f ca="1"/>
        <v>9.65</v>
      </c>
      <c r="C76" vm="70">
        <f ca="1"/>
        <v>9.5500000000000007</v>
      </c>
      <c r="D76" vm="108">
        <f ca="1"/>
        <v>9.7200000000000006</v>
      </c>
      <c r="E76" vm="87">
        <f ca="1"/>
        <v>9.5299999999999994</v>
      </c>
      <c r="F76" vm="664">
        <f ca="1"/>
        <v>121387081</v>
      </c>
    </row>
    <row r="77" spans="1:6" x14ac:dyDescent="0.25">
      <c r="A77" vm="138">
        <f ca="1"/>
        <v>45770</v>
      </c>
      <c r="B77" vm="139">
        <f ca="1"/>
        <v>9.7799999999999994</v>
      </c>
      <c r="C77" vm="637">
        <f ca="1"/>
        <v>9.8350000000000009</v>
      </c>
      <c r="D77" vm="665">
        <f ca="1"/>
        <v>10.0054</v>
      </c>
      <c r="E77" vm="129">
        <f ca="1"/>
        <v>9.7100000000000009</v>
      </c>
      <c r="F77" vm="666">
        <f ca="1"/>
        <v>158691527</v>
      </c>
    </row>
    <row r="78" spans="1:6" x14ac:dyDescent="0.25">
      <c r="A78" vm="140">
        <f ca="1"/>
        <v>45771</v>
      </c>
      <c r="B78" vm="141">
        <f ca="1"/>
        <v>10.06</v>
      </c>
      <c r="C78" vm="667">
        <f ca="1"/>
        <v>9.8699999999999992</v>
      </c>
      <c r="D78" vm="624">
        <f ca="1"/>
        <v>10.09</v>
      </c>
      <c r="E78" vm="668">
        <f ca="1"/>
        <v>9.8149999999999995</v>
      </c>
      <c r="F78" vm="669">
        <f ca="1"/>
        <v>87031042</v>
      </c>
    </row>
    <row r="79" spans="1:6" x14ac:dyDescent="0.25">
      <c r="A79" vm="142">
        <f ca="1"/>
        <v>45772</v>
      </c>
      <c r="B79" vm="143">
        <f ca="1"/>
        <v>10.039999999999999</v>
      </c>
      <c r="C79" vm="670">
        <f ca="1"/>
        <v>10.045</v>
      </c>
      <c r="D79" vm="191">
        <f ca="1"/>
        <v>10.1</v>
      </c>
      <c r="E79" vm="671">
        <f ca="1"/>
        <v>9.9700000000000006</v>
      </c>
      <c r="F79" vm="672">
        <f ca="1"/>
        <v>88682432</v>
      </c>
    </row>
    <row r="80" spans="1:6" x14ac:dyDescent="0.25">
      <c r="A80" vm="144">
        <f ca="1"/>
        <v>45775</v>
      </c>
      <c r="B80" vm="145">
        <f ca="1"/>
        <v>10.02</v>
      </c>
      <c r="C80" vm="141">
        <f ca="1"/>
        <v>10.06</v>
      </c>
      <c r="D80" vm="149">
        <f ca="1"/>
        <v>10.18</v>
      </c>
      <c r="E80" vm="673">
        <f ca="1"/>
        <v>9.9701000000000004</v>
      </c>
      <c r="F80" vm="674">
        <f ca="1"/>
        <v>77051524</v>
      </c>
    </row>
    <row r="81" spans="1:6" x14ac:dyDescent="0.25">
      <c r="A81" vm="146">
        <f ca="1"/>
        <v>45776</v>
      </c>
      <c r="B81" vm="114">
        <f ca="1"/>
        <v>10.15</v>
      </c>
      <c r="C81" vm="613">
        <f ca="1"/>
        <v>10.07</v>
      </c>
      <c r="D81" vm="187">
        <f ca="1"/>
        <v>10.19</v>
      </c>
      <c r="E81" vm="675">
        <f ca="1"/>
        <v>9.9250000000000007</v>
      </c>
      <c r="F81" vm="676">
        <f ca="1"/>
        <v>141980313</v>
      </c>
    </row>
    <row r="82" spans="1:6" x14ac:dyDescent="0.25">
      <c r="A82" vm="147">
        <f ca="1"/>
        <v>45777</v>
      </c>
      <c r="B82" vm="97">
        <f ca="1"/>
        <v>10.01</v>
      </c>
      <c r="C82" vm="632">
        <f ca="1"/>
        <v>10.11</v>
      </c>
      <c r="D82" vm="677">
        <f ca="1"/>
        <v>10.130000000000001</v>
      </c>
      <c r="E82" vm="678">
        <f ca="1"/>
        <v>9.86</v>
      </c>
      <c r="F82" vm="679">
        <f ca="1"/>
        <v>136406235</v>
      </c>
    </row>
    <row r="83" spans="1:6" x14ac:dyDescent="0.25">
      <c r="A83" vm="148">
        <f ca="1"/>
        <v>45778</v>
      </c>
      <c r="B83" vm="149">
        <f ca="1"/>
        <v>10.18</v>
      </c>
      <c r="C83" vm="596">
        <f ca="1"/>
        <v>10.14</v>
      </c>
      <c r="D83" vm="680">
        <f ca="1"/>
        <v>10.32</v>
      </c>
      <c r="E83" vm="145">
        <f ca="1"/>
        <v>10.02</v>
      </c>
      <c r="F83" vm="681">
        <f ca="1"/>
        <v>126532486</v>
      </c>
    </row>
    <row r="84" spans="1:6" x14ac:dyDescent="0.25">
      <c r="A84" vm="150">
        <f ca="1"/>
        <v>45779</v>
      </c>
      <c r="B84" vm="151">
        <f ca="1"/>
        <v>10.28</v>
      </c>
      <c r="C84" vm="105">
        <f ca="1"/>
        <v>10.3</v>
      </c>
      <c r="D84" vm="682">
        <f ca="1"/>
        <v>10.39</v>
      </c>
      <c r="E84" vm="683">
        <f ca="1"/>
        <v>10.215</v>
      </c>
      <c r="F84" vm="684">
        <f ca="1"/>
        <v>82228655</v>
      </c>
    </row>
    <row r="85" spans="1:6" x14ac:dyDescent="0.25">
      <c r="A85" vm="152">
        <f ca="1"/>
        <v>45782</v>
      </c>
      <c r="B85" vm="95">
        <f ca="1"/>
        <v>10.17</v>
      </c>
      <c r="C85" vm="685">
        <f ca="1"/>
        <v>10.23</v>
      </c>
      <c r="D85" vm="189">
        <f ca="1"/>
        <v>10.24</v>
      </c>
      <c r="E85" vm="686">
        <f ca="1"/>
        <v>10.095000000000001</v>
      </c>
      <c r="F85" vm="687">
        <f ca="1"/>
        <v>105766259</v>
      </c>
    </row>
    <row r="86" spans="1:6" x14ac:dyDescent="0.25">
      <c r="A86" vm="153">
        <f ca="1"/>
        <v>45783</v>
      </c>
      <c r="B86" vm="154">
        <f ca="1"/>
        <v>10.44</v>
      </c>
      <c r="C86" vm="624">
        <f ca="1"/>
        <v>10.09</v>
      </c>
      <c r="D86" vm="203">
        <f ca="1"/>
        <v>10.62</v>
      </c>
      <c r="E86" vm="688">
        <f ca="1"/>
        <v>10.055</v>
      </c>
      <c r="F86" vm="689">
        <f ca="1"/>
        <v>131814035</v>
      </c>
    </row>
    <row r="87" spans="1:6" x14ac:dyDescent="0.25">
      <c r="A87" vm="155">
        <f ca="1"/>
        <v>45784</v>
      </c>
      <c r="B87" vm="151">
        <f ca="1"/>
        <v>10.28</v>
      </c>
      <c r="C87" vm="690">
        <f ca="1"/>
        <v>10.46</v>
      </c>
      <c r="D87" vm="691">
        <f ca="1"/>
        <v>10.505000000000001</v>
      </c>
      <c r="E87" vm="617">
        <f ca="1"/>
        <v>10.119999999999999</v>
      </c>
      <c r="F87" vm="692">
        <f ca="1"/>
        <v>116936644</v>
      </c>
    </row>
    <row r="88" spans="1:6" x14ac:dyDescent="0.25">
      <c r="A88" vm="156">
        <f ca="1"/>
        <v>45785</v>
      </c>
      <c r="B88" vm="151">
        <f ca="1"/>
        <v>10.28</v>
      </c>
      <c r="C88" vm="195">
        <f ca="1"/>
        <v>10.34</v>
      </c>
      <c r="D88" vm="693">
        <f ca="1"/>
        <v>10.464</v>
      </c>
      <c r="E88" vm="193">
        <f ca="1"/>
        <v>10.26</v>
      </c>
      <c r="F88" vm="694">
        <f ca="1"/>
        <v>107173416</v>
      </c>
    </row>
    <row r="89" spans="1:6" x14ac:dyDescent="0.25">
      <c r="A89" vm="157">
        <f ca="1"/>
        <v>45786</v>
      </c>
      <c r="B89" vm="158">
        <f ca="1"/>
        <v>10.43</v>
      </c>
      <c r="C89" vm="695">
        <f ca="1"/>
        <v>10.355</v>
      </c>
      <c r="D89" vm="696">
        <f ca="1"/>
        <v>10.49</v>
      </c>
      <c r="E89" vm="621">
        <f ca="1"/>
        <v>10.35</v>
      </c>
      <c r="F89" vm="697">
        <f ca="1"/>
        <v>76350701</v>
      </c>
    </row>
    <row r="90" spans="1:6" x14ac:dyDescent="0.25">
      <c r="A90" vm="159">
        <f ca="1"/>
        <v>45789</v>
      </c>
      <c r="B90" vm="160">
        <f ca="1"/>
        <v>10.55</v>
      </c>
      <c r="C90" vm="698">
        <f ca="1"/>
        <v>10.56</v>
      </c>
      <c r="D90" vm="211">
        <f ca="1"/>
        <v>10.73</v>
      </c>
      <c r="E90" vm="173">
        <f ca="1"/>
        <v>10.48</v>
      </c>
      <c r="F90" vm="699">
        <f ca="1"/>
        <v>102035764</v>
      </c>
    </row>
    <row r="91" spans="1:6" x14ac:dyDescent="0.25">
      <c r="A91" vm="161">
        <f ca="1"/>
        <v>45790</v>
      </c>
      <c r="B91" vm="162">
        <f ca="1"/>
        <v>10.6</v>
      </c>
      <c r="C91" vm="700">
        <f ca="1"/>
        <v>10.595000000000001</v>
      </c>
      <c r="D91" vm="214">
        <f ca="1"/>
        <v>10.63</v>
      </c>
      <c r="E91" vm="205">
        <f ca="1"/>
        <v>10.42</v>
      </c>
      <c r="F91" vm="701">
        <f ca="1"/>
        <v>83671012</v>
      </c>
    </row>
    <row r="92" spans="1:6" x14ac:dyDescent="0.25">
      <c r="A92" vm="163">
        <f ca="1"/>
        <v>45791</v>
      </c>
      <c r="B92" vm="164">
        <f ca="1"/>
        <v>10.65</v>
      </c>
      <c r="C92" vm="702">
        <f ca="1"/>
        <v>10.57</v>
      </c>
      <c r="D92" vm="703">
        <f ca="1"/>
        <v>10.7</v>
      </c>
      <c r="E92" vm="173">
        <f ca="1"/>
        <v>10.48</v>
      </c>
      <c r="F92" vm="704">
        <f ca="1"/>
        <v>84453089</v>
      </c>
    </row>
    <row r="93" spans="1:6" x14ac:dyDescent="0.25">
      <c r="A93" vm="165">
        <f ca="1"/>
        <v>45792</v>
      </c>
      <c r="B93" vm="166">
        <f ca="1"/>
        <v>10.75</v>
      </c>
      <c r="C93" vm="208">
        <f ca="1"/>
        <v>10.59</v>
      </c>
      <c r="D93" vm="705">
        <f ca="1"/>
        <v>10.78</v>
      </c>
      <c r="E93" vm="160">
        <f ca="1"/>
        <v>10.55</v>
      </c>
      <c r="F93" vm="706">
        <f ca="1"/>
        <v>71096528</v>
      </c>
    </row>
    <row r="94" spans="1:6" x14ac:dyDescent="0.25">
      <c r="A94" vm="167">
        <f ca="1"/>
        <v>45793</v>
      </c>
      <c r="B94" vm="168">
        <f ca="1"/>
        <v>10.8</v>
      </c>
      <c r="C94" vm="707">
        <f ca="1"/>
        <v>10.77</v>
      </c>
      <c r="D94" vm="708">
        <f ca="1"/>
        <v>10.81</v>
      </c>
      <c r="E94" vm="709">
        <f ca="1"/>
        <v>10.64</v>
      </c>
      <c r="F94" vm="710">
        <f ca="1"/>
        <v>64913005</v>
      </c>
    </row>
    <row r="95" spans="1:6" x14ac:dyDescent="0.25">
      <c r="A95" vm="169">
        <f ca="1"/>
        <v>45796</v>
      </c>
      <c r="B95" vm="166">
        <f ca="1"/>
        <v>10.75</v>
      </c>
      <c r="C95" vm="711">
        <f ca="1"/>
        <v>10.69</v>
      </c>
      <c r="D95" vm="712">
        <f ca="1"/>
        <v>10.785</v>
      </c>
      <c r="E95" vm="214">
        <f ca="1"/>
        <v>10.63</v>
      </c>
      <c r="F95" vm="713">
        <f ca="1"/>
        <v>60195734</v>
      </c>
    </row>
    <row r="96" spans="1:6" x14ac:dyDescent="0.25">
      <c r="A96" vm="170">
        <f ca="1"/>
        <v>45797</v>
      </c>
      <c r="B96" vm="171">
        <f ca="1"/>
        <v>10.72</v>
      </c>
      <c r="C96" vm="714">
        <f ca="1"/>
        <v>10.79</v>
      </c>
      <c r="D96" vm="715">
        <f ca="1"/>
        <v>10.84</v>
      </c>
      <c r="E96" vm="198">
        <f ca="1"/>
        <v>10.66</v>
      </c>
      <c r="F96" vm="716">
        <f ca="1"/>
        <v>61063828</v>
      </c>
    </row>
    <row r="97" spans="1:6" x14ac:dyDescent="0.25">
      <c r="A97" vm="172">
        <f ca="1"/>
        <v>45798</v>
      </c>
      <c r="B97" vm="173">
        <f ca="1"/>
        <v>10.48</v>
      </c>
      <c r="C97" vm="198">
        <f ca="1"/>
        <v>10.66</v>
      </c>
      <c r="D97" vm="711">
        <f ca="1"/>
        <v>10.69</v>
      </c>
      <c r="E97" vm="717">
        <f ca="1"/>
        <v>10.45</v>
      </c>
      <c r="F97" vm="718">
        <f ca="1"/>
        <v>89090498</v>
      </c>
    </row>
    <row r="98" spans="1:6" x14ac:dyDescent="0.25">
      <c r="A98" vm="174">
        <f ca="1"/>
        <v>45799</v>
      </c>
      <c r="B98" vm="154">
        <f ca="1"/>
        <v>10.44</v>
      </c>
      <c r="C98" vm="173">
        <f ca="1"/>
        <v>10.48</v>
      </c>
      <c r="D98" vm="719">
        <f ca="1"/>
        <v>10.5</v>
      </c>
      <c r="E98" vm="195">
        <f ca="1"/>
        <v>10.34</v>
      </c>
      <c r="F98" vm="720">
        <f ca="1"/>
        <v>94081143</v>
      </c>
    </row>
    <row r="99" spans="1:6" x14ac:dyDescent="0.25">
      <c r="A99" vm="175">
        <f ca="1"/>
        <v>45800</v>
      </c>
      <c r="B99" vm="176">
        <f ca="1"/>
        <v>10.36</v>
      </c>
      <c r="C99" vm="105">
        <f ca="1"/>
        <v>10.3</v>
      </c>
      <c r="D99" vm="721">
        <f ca="1"/>
        <v>10.41</v>
      </c>
      <c r="E99" vm="103">
        <f ca="1"/>
        <v>10.29</v>
      </c>
      <c r="F99" vm="722">
        <f ca="1"/>
        <v>80519024</v>
      </c>
    </row>
    <row r="100" spans="1:6" x14ac:dyDescent="0.25">
      <c r="A100" vm="177">
        <f ca="1"/>
        <v>45804</v>
      </c>
      <c r="B100" vm="178">
        <f ca="1"/>
        <v>10.31</v>
      </c>
      <c r="C100" vm="717">
        <f ca="1"/>
        <v>10.45</v>
      </c>
      <c r="D100" vm="723">
        <f ca="1"/>
        <v>10.489699999999999</v>
      </c>
      <c r="E100" vm="724">
        <f ca="1"/>
        <v>10.210000000000001</v>
      </c>
      <c r="F100" vm="725">
        <f ca="1"/>
        <v>89066847</v>
      </c>
    </row>
    <row r="101" spans="1:6" x14ac:dyDescent="0.25">
      <c r="A101" vm="179">
        <f ca="1"/>
        <v>45805</v>
      </c>
      <c r="B101" vm="95">
        <f ca="1"/>
        <v>10.17</v>
      </c>
      <c r="C101" vm="680">
        <f ca="1"/>
        <v>10.32</v>
      </c>
      <c r="D101" vm="726">
        <f ca="1"/>
        <v>10.335000000000001</v>
      </c>
      <c r="E101" vm="114">
        <f ca="1"/>
        <v>10.15</v>
      </c>
      <c r="F101" vm="727">
        <f ca="1"/>
        <v>102335584</v>
      </c>
    </row>
    <row r="102" spans="1:6" x14ac:dyDescent="0.25">
      <c r="A102" vm="180">
        <f ca="1"/>
        <v>45806</v>
      </c>
      <c r="B102" vm="181">
        <f ca="1"/>
        <v>10.220000000000001</v>
      </c>
      <c r="C102" vm="724">
        <f ca="1"/>
        <v>10.210000000000001</v>
      </c>
      <c r="D102" vm="151">
        <f ca="1"/>
        <v>10.28</v>
      </c>
      <c r="E102" vm="632">
        <f ca="1"/>
        <v>10.11</v>
      </c>
      <c r="F102" vm="728">
        <f ca="1"/>
        <v>101688883</v>
      </c>
    </row>
    <row r="103" spans="1:6" x14ac:dyDescent="0.25">
      <c r="A103" vm="182">
        <f ca="1"/>
        <v>45807</v>
      </c>
      <c r="B103" vm="183">
        <f ca="1"/>
        <v>10.38</v>
      </c>
      <c r="C103" vm="149">
        <f ca="1"/>
        <v>10.18</v>
      </c>
      <c r="D103" vm="690">
        <f ca="1"/>
        <v>10.46</v>
      </c>
      <c r="E103" vm="617">
        <f ca="1"/>
        <v>10.119999999999999</v>
      </c>
      <c r="F103" vm="729">
        <f ca="1"/>
        <v>152191621</v>
      </c>
    </row>
    <row r="104" spans="1:6" x14ac:dyDescent="0.25">
      <c r="A104" vm="184">
        <f ca="1"/>
        <v>45810</v>
      </c>
      <c r="B104" vm="185">
        <f ca="1"/>
        <v>9.98</v>
      </c>
      <c r="C104" vm="623">
        <f ca="1"/>
        <v>10.27</v>
      </c>
      <c r="D104" vm="151">
        <f ca="1"/>
        <v>10.28</v>
      </c>
      <c r="E104" vm="609">
        <f ca="1"/>
        <v>9.8800000000000008</v>
      </c>
      <c r="F104" vm="730">
        <f ca="1"/>
        <v>170340783</v>
      </c>
    </row>
    <row r="105" spans="1:6" x14ac:dyDescent="0.25">
      <c r="A105" vm="186">
        <f ca="1"/>
        <v>45811</v>
      </c>
      <c r="B105" vm="187">
        <f ca="1"/>
        <v>10.19</v>
      </c>
      <c r="C105" vm="671">
        <f ca="1"/>
        <v>9.9700000000000006</v>
      </c>
      <c r="D105" vm="731">
        <f ca="1"/>
        <v>10.225</v>
      </c>
      <c r="E105" vm="629">
        <f ca="1"/>
        <v>9.89</v>
      </c>
      <c r="F105" vm="732">
        <f ca="1"/>
        <v>121584328</v>
      </c>
    </row>
    <row r="106" spans="1:6" x14ac:dyDescent="0.25">
      <c r="A106" vm="188">
        <f ca="1"/>
        <v>45812</v>
      </c>
      <c r="B106" vm="189">
        <f ca="1"/>
        <v>10.24</v>
      </c>
      <c r="C106" vm="187">
        <f ca="1"/>
        <v>10.19</v>
      </c>
      <c r="D106" vm="733">
        <f ca="1"/>
        <v>10.365</v>
      </c>
      <c r="E106" vm="149">
        <f ca="1"/>
        <v>10.18</v>
      </c>
      <c r="F106" vm="734">
        <f ca="1"/>
        <v>123191229</v>
      </c>
    </row>
    <row r="107" spans="1:6" x14ac:dyDescent="0.25">
      <c r="A107" vm="190">
        <f ca="1"/>
        <v>45813</v>
      </c>
      <c r="B107" vm="191">
        <f ca="1"/>
        <v>10.1</v>
      </c>
      <c r="C107" vm="640">
        <f ca="1"/>
        <v>10.199999999999999</v>
      </c>
      <c r="D107" vm="101">
        <f ca="1"/>
        <v>10.25</v>
      </c>
      <c r="E107" vm="110">
        <f ca="1"/>
        <v>10.029999999999999</v>
      </c>
      <c r="F107" vm="735">
        <f ca="1"/>
        <v>133269444</v>
      </c>
    </row>
    <row r="108" spans="1:6" x14ac:dyDescent="0.25">
      <c r="A108" vm="192">
        <f ca="1"/>
        <v>45814</v>
      </c>
      <c r="B108" vm="193">
        <f ca="1"/>
        <v>10.26</v>
      </c>
      <c r="C108" vm="736">
        <f ca="1"/>
        <v>10.16</v>
      </c>
      <c r="D108" vm="621">
        <f ca="1"/>
        <v>10.35</v>
      </c>
      <c r="E108" vm="737">
        <f ca="1"/>
        <v>10.1501</v>
      </c>
      <c r="F108" vm="738">
        <f ca="1"/>
        <v>105916694</v>
      </c>
    </row>
    <row r="109" spans="1:6" x14ac:dyDescent="0.25">
      <c r="A109" vm="194">
        <f ca="1"/>
        <v>45817</v>
      </c>
      <c r="B109" vm="195">
        <f ca="1"/>
        <v>10.34</v>
      </c>
      <c r="C109" vm="103">
        <f ca="1"/>
        <v>10.29</v>
      </c>
      <c r="D109" vm="717">
        <f ca="1"/>
        <v>10.45</v>
      </c>
      <c r="E109" vm="103">
        <f ca="1"/>
        <v>10.29</v>
      </c>
      <c r="F109" vm="739">
        <f ca="1"/>
        <v>63638928</v>
      </c>
    </row>
    <row r="110" spans="1:6" x14ac:dyDescent="0.25">
      <c r="A110" vm="196">
        <f ca="1"/>
        <v>45818</v>
      </c>
      <c r="B110" vm="162">
        <f ca="1"/>
        <v>10.6</v>
      </c>
      <c r="C110" vm="183">
        <f ca="1"/>
        <v>10.38</v>
      </c>
      <c r="D110" vm="164">
        <f ca="1"/>
        <v>10.65</v>
      </c>
      <c r="E110" vm="176">
        <f ca="1"/>
        <v>10.36</v>
      </c>
      <c r="F110" vm="740">
        <f ca="1"/>
        <v>87955501</v>
      </c>
    </row>
    <row r="111" spans="1:6" x14ac:dyDescent="0.25">
      <c r="A111" vm="197">
        <f ca="1"/>
        <v>45819</v>
      </c>
      <c r="B111" vm="198">
        <f ca="1"/>
        <v>10.66</v>
      </c>
      <c r="C111" vm="709">
        <f ca="1"/>
        <v>10.64</v>
      </c>
      <c r="D111" vm="707">
        <f ca="1"/>
        <v>10.77</v>
      </c>
      <c r="E111" vm="741">
        <f ca="1"/>
        <v>10.610099999999999</v>
      </c>
      <c r="F111" vm="742">
        <f ca="1"/>
        <v>93094876</v>
      </c>
    </row>
    <row r="112" spans="1:6" x14ac:dyDescent="0.25">
      <c r="A112" vm="199">
        <f ca="1"/>
        <v>45820</v>
      </c>
      <c r="B112" vm="200">
        <f ca="1"/>
        <v>10.53</v>
      </c>
      <c r="C112" vm="743">
        <f ca="1"/>
        <v>10.58</v>
      </c>
      <c r="D112" vm="208">
        <f ca="1"/>
        <v>10.59</v>
      </c>
      <c r="E112" vm="158">
        <f ca="1"/>
        <v>10.43</v>
      </c>
      <c r="F112" vm="744">
        <f ca="1"/>
        <v>76393291</v>
      </c>
    </row>
    <row r="113" spans="1:6" x14ac:dyDescent="0.25">
      <c r="A113" vm="201">
        <f ca="1"/>
        <v>45821</v>
      </c>
      <c r="B113" vm="158">
        <f ca="1"/>
        <v>10.43</v>
      </c>
      <c r="C113" vm="745">
        <f ca="1"/>
        <v>10.47</v>
      </c>
      <c r="D113" vm="746">
        <f ca="1"/>
        <v>10.51</v>
      </c>
      <c r="E113" vm="183">
        <f ca="1"/>
        <v>10.38</v>
      </c>
      <c r="F113" vm="747">
        <f ca="1"/>
        <v>90106172</v>
      </c>
    </row>
    <row r="114" spans="1:6" x14ac:dyDescent="0.25">
      <c r="A114" vm="202">
        <f ca="1"/>
        <v>45824</v>
      </c>
      <c r="B114" vm="203">
        <f ca="1"/>
        <v>10.62</v>
      </c>
      <c r="C114" vm="719">
        <f ca="1"/>
        <v>10.5</v>
      </c>
      <c r="D114" vm="748">
        <f ca="1"/>
        <v>10.67</v>
      </c>
      <c r="E114" vm="719">
        <f ca="1"/>
        <v>10.5</v>
      </c>
      <c r="F114" vm="749">
        <f ca="1"/>
        <v>75195179</v>
      </c>
    </row>
    <row r="115" spans="1:6" x14ac:dyDescent="0.25">
      <c r="A115" vm="204">
        <f ca="1"/>
        <v>45825</v>
      </c>
      <c r="B115" vm="205">
        <f ca="1"/>
        <v>10.42</v>
      </c>
      <c r="C115" vm="208">
        <f ca="1"/>
        <v>10.59</v>
      </c>
      <c r="D115" vm="214">
        <f ca="1"/>
        <v>10.63</v>
      </c>
      <c r="E115" vm="183">
        <f ca="1"/>
        <v>10.38</v>
      </c>
      <c r="F115" vm="750">
        <f ca="1"/>
        <v>100969375</v>
      </c>
    </row>
    <row r="116" spans="1:6" x14ac:dyDescent="0.25">
      <c r="A116" vm="206">
        <f ca="1"/>
        <v>45826</v>
      </c>
      <c r="B116" vm="158">
        <f ca="1"/>
        <v>10.43</v>
      </c>
      <c r="C116" vm="158">
        <f ca="1"/>
        <v>10.43</v>
      </c>
      <c r="D116" vm="200">
        <f ca="1"/>
        <v>10.53</v>
      </c>
      <c r="E116" vm="751">
        <f ca="1"/>
        <v>10.395</v>
      </c>
      <c r="F116" vm="752">
        <f ca="1"/>
        <v>82770168</v>
      </c>
    </row>
    <row r="117" spans="1:6" x14ac:dyDescent="0.25">
      <c r="A117" vm="207">
        <f ca="1"/>
        <v>45828</v>
      </c>
      <c r="B117" vm="208">
        <f ca="1"/>
        <v>10.59</v>
      </c>
      <c r="C117" vm="696">
        <f ca="1"/>
        <v>10.49</v>
      </c>
      <c r="D117" vm="162">
        <f ca="1"/>
        <v>10.6</v>
      </c>
      <c r="E117" vm="690">
        <f ca="1"/>
        <v>10.46</v>
      </c>
      <c r="F117" vm="753">
        <f ca="1"/>
        <v>116743402</v>
      </c>
    </row>
    <row r="118" spans="1:6" x14ac:dyDescent="0.25">
      <c r="A118" vm="209">
        <f ca="1"/>
        <v>45831</v>
      </c>
      <c r="B118" vm="166">
        <f ca="1"/>
        <v>10.75</v>
      </c>
      <c r="C118" vm="160">
        <f ca="1"/>
        <v>10.55</v>
      </c>
      <c r="D118" vm="166">
        <f ca="1"/>
        <v>10.75</v>
      </c>
      <c r="E118" vm="754">
        <f ca="1"/>
        <v>10.535</v>
      </c>
      <c r="F118" vm="755">
        <f ca="1"/>
        <v>77576511</v>
      </c>
    </row>
    <row r="119" spans="1:6" x14ac:dyDescent="0.25">
      <c r="A119" vm="210">
        <f ca="1"/>
        <v>45832</v>
      </c>
      <c r="B119" vm="211">
        <f ca="1"/>
        <v>10.73</v>
      </c>
      <c r="C119" vm="714">
        <f ca="1"/>
        <v>10.79</v>
      </c>
      <c r="D119" vm="259">
        <f ca="1"/>
        <v>10.87</v>
      </c>
      <c r="E119" vm="171">
        <f ca="1"/>
        <v>10.72</v>
      </c>
      <c r="F119" vm="756">
        <f ca="1"/>
        <v>77244413</v>
      </c>
    </row>
    <row r="120" spans="1:6" x14ac:dyDescent="0.25">
      <c r="A120" vm="212">
        <f ca="1"/>
        <v>45833</v>
      </c>
      <c r="B120" vm="173">
        <f ca="1"/>
        <v>10.48</v>
      </c>
      <c r="C120" vm="757">
        <f ca="1"/>
        <v>10.76</v>
      </c>
      <c r="D120" vm="758">
        <f ca="1"/>
        <v>10.765000000000001</v>
      </c>
      <c r="E120" vm="205">
        <f ca="1"/>
        <v>10.42</v>
      </c>
      <c r="F120" vm="759">
        <f ca="1"/>
        <v>91927326</v>
      </c>
    </row>
    <row r="121" spans="1:6" x14ac:dyDescent="0.25">
      <c r="A121" vm="213">
        <f ca="1"/>
        <v>45834</v>
      </c>
      <c r="B121" vm="214">
        <f ca="1"/>
        <v>10.63</v>
      </c>
      <c r="C121" vm="760">
        <f ca="1"/>
        <v>10.4999</v>
      </c>
      <c r="D121" vm="164">
        <f ca="1"/>
        <v>10.65</v>
      </c>
      <c r="E121" vm="745">
        <f ca="1"/>
        <v>10.47</v>
      </c>
      <c r="F121" vm="761">
        <f ca="1"/>
        <v>88416356</v>
      </c>
    </row>
    <row r="122" spans="1:6" x14ac:dyDescent="0.25">
      <c r="A122" vm="215">
        <f ca="1"/>
        <v>45835</v>
      </c>
      <c r="B122" vm="168">
        <f ca="1"/>
        <v>10.8</v>
      </c>
      <c r="C122" vm="703">
        <f ca="1"/>
        <v>10.7</v>
      </c>
      <c r="D122" vm="762">
        <f ca="1"/>
        <v>10.92</v>
      </c>
      <c r="E122" vm="763">
        <f ca="1"/>
        <v>10.68</v>
      </c>
      <c r="F122" vm="764">
        <f ca="1"/>
        <v>182008244</v>
      </c>
    </row>
    <row r="123" spans="1:6" x14ac:dyDescent="0.25">
      <c r="A123" vm="216">
        <f ca="1"/>
        <v>45838</v>
      </c>
      <c r="B123" vm="217">
        <f ca="1"/>
        <v>10.85</v>
      </c>
      <c r="C123" vm="171">
        <f ca="1"/>
        <v>10.72</v>
      </c>
      <c r="D123" vm="765">
        <f ca="1"/>
        <v>10.86</v>
      </c>
      <c r="E123" vm="766">
        <f ca="1"/>
        <v>10.685</v>
      </c>
      <c r="F123" vm="767">
        <f ca="1"/>
        <v>88472231</v>
      </c>
    </row>
    <row r="124" spans="1:6" x14ac:dyDescent="0.25">
      <c r="A124" vm="218">
        <f ca="1"/>
        <v>45839</v>
      </c>
      <c r="B124" vm="219">
        <f ca="1"/>
        <v>11.35</v>
      </c>
      <c r="C124" vm="708">
        <f ca="1"/>
        <v>10.81</v>
      </c>
      <c r="D124" vm="249">
        <f ca="1"/>
        <v>11.38</v>
      </c>
      <c r="E124" vm="768">
        <f ca="1"/>
        <v>10.790100000000001</v>
      </c>
      <c r="F124" vm="769">
        <f ca="1"/>
        <v>140150738</v>
      </c>
    </row>
    <row r="125" spans="1:6" x14ac:dyDescent="0.25">
      <c r="A125" vm="220">
        <f ca="1"/>
        <v>45840</v>
      </c>
      <c r="B125" vm="221">
        <f ca="1"/>
        <v>11.77</v>
      </c>
      <c r="C125" vm="249">
        <f ca="1"/>
        <v>11.38</v>
      </c>
      <c r="D125" vm="233">
        <f ca="1"/>
        <v>11.78</v>
      </c>
      <c r="E125" vm="770">
        <f ca="1"/>
        <v>11.37</v>
      </c>
      <c r="F125" vm="771">
        <f ca="1"/>
        <v>122331588</v>
      </c>
    </row>
    <row r="126" spans="1:6" x14ac:dyDescent="0.25">
      <c r="A126" vm="222">
        <f ca="1"/>
        <v>45841</v>
      </c>
      <c r="B126" vm="223">
        <f ca="1"/>
        <v>11.81</v>
      </c>
      <c r="C126" vm="772">
        <f ca="1"/>
        <v>11.75</v>
      </c>
      <c r="D126" vm="331">
        <f ca="1"/>
        <v>11.96</v>
      </c>
      <c r="E126" vm="772">
        <f ca="1"/>
        <v>11.75</v>
      </c>
      <c r="F126" vm="773">
        <f ca="1"/>
        <v>60311463</v>
      </c>
    </row>
    <row r="127" spans="1:6" x14ac:dyDescent="0.25">
      <c r="A127" vm="224">
        <f ca="1"/>
        <v>45845</v>
      </c>
      <c r="B127" vm="225">
        <f ca="1"/>
        <v>11.59</v>
      </c>
      <c r="C127" vm="774">
        <f ca="1"/>
        <v>11.6</v>
      </c>
      <c r="D127" vm="775">
        <f ca="1"/>
        <v>11.79</v>
      </c>
      <c r="E127" vm="776">
        <f ca="1"/>
        <v>11.48</v>
      </c>
      <c r="F127" vm="777">
        <f ca="1"/>
        <v>73842100</v>
      </c>
    </row>
    <row r="128" spans="1:6" x14ac:dyDescent="0.25">
      <c r="A128" vm="226">
        <f ca="1"/>
        <v>45846</v>
      </c>
      <c r="B128" vm="227">
        <f ca="1"/>
        <v>11.68</v>
      </c>
      <c r="C128" vm="350">
        <f ca="1"/>
        <v>11.65</v>
      </c>
      <c r="D128" vm="778">
        <f ca="1"/>
        <v>11.85</v>
      </c>
      <c r="E128" vm="779">
        <f ca="1"/>
        <v>11.64</v>
      </c>
      <c r="F128" vm="780">
        <f ca="1"/>
        <v>74190215</v>
      </c>
    </row>
    <row r="129" spans="1:6" x14ac:dyDescent="0.25">
      <c r="A129" vm="228">
        <f ca="1"/>
        <v>45847</v>
      </c>
      <c r="B129" vm="229">
        <f ca="1"/>
        <v>11.83</v>
      </c>
      <c r="C129" vm="233">
        <f ca="1"/>
        <v>11.78</v>
      </c>
      <c r="D129" vm="781">
        <f ca="1"/>
        <v>11.9</v>
      </c>
      <c r="E129" vm="311">
        <f ca="1"/>
        <v>11.76</v>
      </c>
      <c r="F129" vm="782">
        <f ca="1"/>
        <v>63886882</v>
      </c>
    </row>
    <row r="130" spans="1:6" x14ac:dyDescent="0.25">
      <c r="A130" vm="230">
        <f ca="1"/>
        <v>45848</v>
      </c>
      <c r="B130" vm="231">
        <f ca="1"/>
        <v>11.91</v>
      </c>
      <c r="C130" vm="783">
        <f ca="1"/>
        <v>11.86</v>
      </c>
      <c r="D130" vm="784">
        <f ca="1"/>
        <v>11.97</v>
      </c>
      <c r="E130" vm="233">
        <f ca="1"/>
        <v>11.78</v>
      </c>
      <c r="F130" vm="785">
        <f ca="1"/>
        <v>67263023</v>
      </c>
    </row>
    <row r="131" spans="1:6" x14ac:dyDescent="0.25">
      <c r="A131" vm="232">
        <f ca="1"/>
        <v>45849</v>
      </c>
      <c r="B131" vm="233">
        <f ca="1"/>
        <v>11.78</v>
      </c>
      <c r="C131" vm="778">
        <f ca="1"/>
        <v>11.85</v>
      </c>
      <c r="D131" vm="783">
        <f ca="1"/>
        <v>11.86</v>
      </c>
      <c r="E131" vm="297">
        <f ca="1"/>
        <v>11.71</v>
      </c>
      <c r="F131" vm="786">
        <f ca="1"/>
        <v>65340737</v>
      </c>
    </row>
    <row r="132" spans="1:6" x14ac:dyDescent="0.25">
      <c r="A132" vm="234">
        <f ca="1"/>
        <v>45852</v>
      </c>
      <c r="B132" vm="235">
        <f ca="1"/>
        <v>11.88</v>
      </c>
      <c r="C132" vm="311">
        <f ca="1"/>
        <v>11.76</v>
      </c>
      <c r="D132" vm="787">
        <f ca="1"/>
        <v>11.895</v>
      </c>
      <c r="E132" vm="788">
        <f ca="1"/>
        <v>11.67</v>
      </c>
      <c r="F132" vm="789">
        <f ca="1"/>
        <v>62098074</v>
      </c>
    </row>
    <row r="133" spans="1:6" x14ac:dyDescent="0.25">
      <c r="A133" vm="236">
        <f ca="1"/>
        <v>45853</v>
      </c>
      <c r="B133" vm="237">
        <f ca="1"/>
        <v>11.57</v>
      </c>
      <c r="C133" vm="781">
        <f ca="1"/>
        <v>11.9</v>
      </c>
      <c r="D133" vm="790">
        <f ca="1"/>
        <v>11.93</v>
      </c>
      <c r="E133" vm="791">
        <f ca="1"/>
        <v>11.524699999999999</v>
      </c>
      <c r="F133" vm="792">
        <f ca="1"/>
        <v>65101902</v>
      </c>
    </row>
    <row r="134" spans="1:6" x14ac:dyDescent="0.25">
      <c r="A134" vm="238">
        <f ca="1"/>
        <v>45854</v>
      </c>
      <c r="B134" vm="239">
        <f ca="1"/>
        <v>11.24</v>
      </c>
      <c r="C134" vm="219">
        <f ca="1"/>
        <v>11.35</v>
      </c>
      <c r="D134" vm="793">
        <f ca="1"/>
        <v>11.45</v>
      </c>
      <c r="E134" vm="241">
        <f ca="1"/>
        <v>11.15</v>
      </c>
      <c r="F134" vm="794">
        <f ca="1"/>
        <v>107978145</v>
      </c>
    </row>
    <row r="135" spans="1:6" x14ac:dyDescent="0.25">
      <c r="A135" vm="240">
        <f ca="1"/>
        <v>45855</v>
      </c>
      <c r="B135" vm="241">
        <f ca="1"/>
        <v>11.15</v>
      </c>
      <c r="C135" vm="247">
        <f ca="1"/>
        <v>11.19</v>
      </c>
      <c r="D135" vm="795">
        <f ca="1"/>
        <v>11.346500000000001</v>
      </c>
      <c r="E135" vm="796">
        <f ca="1"/>
        <v>11.11</v>
      </c>
      <c r="F135" vm="797">
        <f ca="1"/>
        <v>70345257</v>
      </c>
    </row>
    <row r="136" spans="1:6" x14ac:dyDescent="0.25">
      <c r="A136" vm="242">
        <f ca="1"/>
        <v>45856</v>
      </c>
      <c r="B136" vm="243">
        <f ca="1"/>
        <v>11.16</v>
      </c>
      <c r="C136" vm="798">
        <f ca="1"/>
        <v>11.17</v>
      </c>
      <c r="D136" vm="239">
        <f ca="1"/>
        <v>11.24</v>
      </c>
      <c r="E136" vm="799">
        <f ca="1"/>
        <v>11.05</v>
      </c>
      <c r="F136" vm="800">
        <f ca="1"/>
        <v>68812553</v>
      </c>
    </row>
    <row r="137" spans="1:6" x14ac:dyDescent="0.25">
      <c r="A137" vm="244">
        <f ca="1"/>
        <v>45859</v>
      </c>
      <c r="B137" vm="245">
        <f ca="1"/>
        <v>11.31</v>
      </c>
      <c r="C137" vm="251">
        <f ca="1"/>
        <v>11.26</v>
      </c>
      <c r="D137" vm="793">
        <f ca="1"/>
        <v>11.45</v>
      </c>
      <c r="E137" vm="269">
        <f ca="1"/>
        <v>11.21</v>
      </c>
      <c r="F137" vm="801">
        <f ca="1"/>
        <v>65515630</v>
      </c>
    </row>
    <row r="138" spans="1:6" x14ac:dyDescent="0.25">
      <c r="A138" vm="246">
        <f ca="1"/>
        <v>45860</v>
      </c>
      <c r="B138" vm="247">
        <f ca="1"/>
        <v>11.19</v>
      </c>
      <c r="C138" vm="239">
        <f ca="1"/>
        <v>11.24</v>
      </c>
      <c r="D138" vm="802">
        <f ca="1"/>
        <v>11.29</v>
      </c>
      <c r="E138" vm="257">
        <f ca="1"/>
        <v>11.08</v>
      </c>
      <c r="F138" vm="803">
        <f ca="1"/>
        <v>79403755</v>
      </c>
    </row>
    <row r="139" spans="1:6" x14ac:dyDescent="0.25">
      <c r="A139" vm="248">
        <f ca="1"/>
        <v>45861</v>
      </c>
      <c r="B139" vm="249">
        <f ca="1"/>
        <v>11.38</v>
      </c>
      <c r="C139" vm="255">
        <f ca="1"/>
        <v>11.28</v>
      </c>
      <c r="D139" vm="282">
        <f ca="1"/>
        <v>11.46</v>
      </c>
      <c r="E139" vm="255">
        <f ca="1"/>
        <v>11.28</v>
      </c>
      <c r="F139" vm="804">
        <f ca="1"/>
        <v>76163207</v>
      </c>
    </row>
    <row r="140" spans="1:6" x14ac:dyDescent="0.25">
      <c r="A140" vm="250">
        <f ca="1"/>
        <v>45862</v>
      </c>
      <c r="B140" vm="251">
        <f ca="1"/>
        <v>11.26</v>
      </c>
      <c r="C140" vm="245">
        <f ca="1"/>
        <v>11.31</v>
      </c>
      <c r="D140" vm="805">
        <f ca="1"/>
        <v>11.429</v>
      </c>
      <c r="E140" vm="806">
        <f ca="1"/>
        <v>11.23</v>
      </c>
      <c r="F140" vm="807">
        <f ca="1"/>
        <v>63557796</v>
      </c>
    </row>
    <row r="141" spans="1:6" x14ac:dyDescent="0.25">
      <c r="A141" vm="252">
        <f ca="1"/>
        <v>45863</v>
      </c>
      <c r="B141" vm="253">
        <f ca="1"/>
        <v>11.47</v>
      </c>
      <c r="C141" vm="808">
        <f ca="1"/>
        <v>11.335000000000001</v>
      </c>
      <c r="D141" vm="286">
        <f ca="1"/>
        <v>11.49</v>
      </c>
      <c r="E141" vm="809">
        <f ca="1"/>
        <v>11.2401</v>
      </c>
      <c r="F141" vm="810">
        <f ca="1"/>
        <v>52312257</v>
      </c>
    </row>
    <row r="142" spans="1:6" x14ac:dyDescent="0.25">
      <c r="A142" vm="254">
        <f ca="1"/>
        <v>45866</v>
      </c>
      <c r="B142" vm="255">
        <f ca="1"/>
        <v>11.28</v>
      </c>
      <c r="C142" vm="776">
        <f ca="1"/>
        <v>11.48</v>
      </c>
      <c r="D142" vm="286">
        <f ca="1"/>
        <v>11.49</v>
      </c>
      <c r="E142" vm="276">
        <f ca="1"/>
        <v>11.25</v>
      </c>
      <c r="F142" vm="811">
        <f ca="1"/>
        <v>54173647</v>
      </c>
    </row>
    <row r="143" spans="1:6" x14ac:dyDescent="0.25">
      <c r="A143" vm="256">
        <f ca="1"/>
        <v>45867</v>
      </c>
      <c r="B143" vm="257">
        <f ca="1"/>
        <v>11.08</v>
      </c>
      <c r="C143" vm="802">
        <f ca="1"/>
        <v>11.29</v>
      </c>
      <c r="D143" vm="802">
        <f ca="1"/>
        <v>11.29</v>
      </c>
      <c r="E143" vm="267">
        <f ca="1"/>
        <v>11.06</v>
      </c>
      <c r="F143" vm="812">
        <f ca="1"/>
        <v>58371483</v>
      </c>
    </row>
    <row r="144" spans="1:6" x14ac:dyDescent="0.25">
      <c r="A144" vm="258">
        <f ca="1"/>
        <v>45868</v>
      </c>
      <c r="B144" vm="259">
        <f ca="1"/>
        <v>10.87</v>
      </c>
      <c r="C144" vm="813">
        <f ca="1"/>
        <v>11.125</v>
      </c>
      <c r="D144" vm="813">
        <f ca="1"/>
        <v>11.125</v>
      </c>
      <c r="E144" vm="263">
        <f ca="1"/>
        <v>10.82</v>
      </c>
      <c r="F144" vm="814">
        <f ca="1"/>
        <v>79866858</v>
      </c>
    </row>
    <row r="145" spans="1:6" x14ac:dyDescent="0.25">
      <c r="A145" vm="260">
        <f ca="1"/>
        <v>45869</v>
      </c>
      <c r="B145" vm="261">
        <f ca="1"/>
        <v>11.07</v>
      </c>
      <c r="C145" vm="815">
        <f ca="1"/>
        <v>10.773</v>
      </c>
      <c r="D145" vm="241">
        <f ca="1"/>
        <v>11.15</v>
      </c>
      <c r="E145" vm="816">
        <f ca="1"/>
        <v>10.680099999999999</v>
      </c>
      <c r="F145" vm="817">
        <f ca="1"/>
        <v>101090884</v>
      </c>
    </row>
    <row r="146" spans="1:6" x14ac:dyDescent="0.25">
      <c r="A146" vm="262">
        <f ca="1"/>
        <v>45870</v>
      </c>
      <c r="B146" vm="263">
        <f ca="1"/>
        <v>10.82</v>
      </c>
      <c r="C146" vm="762">
        <f ca="1"/>
        <v>10.92</v>
      </c>
      <c r="D146" vm="762">
        <f ca="1"/>
        <v>10.92</v>
      </c>
      <c r="E146" vm="763">
        <f ca="1"/>
        <v>10.68</v>
      </c>
      <c r="F146" vm="818">
        <f ca="1"/>
        <v>73541489</v>
      </c>
    </row>
    <row r="147" spans="1:6" x14ac:dyDescent="0.25">
      <c r="A147" vm="264">
        <f ca="1"/>
        <v>45873</v>
      </c>
      <c r="B147" vm="265">
        <f ca="1"/>
        <v>10.95</v>
      </c>
      <c r="C147" vm="819">
        <f ca="1"/>
        <v>10.89</v>
      </c>
      <c r="D147" vm="820">
        <f ca="1"/>
        <v>11.02</v>
      </c>
      <c r="E147" vm="765">
        <f ca="1"/>
        <v>10.86</v>
      </c>
      <c r="F147" vm="821">
        <f ca="1"/>
        <v>56696828</v>
      </c>
    </row>
    <row r="148" spans="1:6" x14ac:dyDescent="0.25">
      <c r="A148" vm="266">
        <f ca="1"/>
        <v>45874</v>
      </c>
      <c r="B148" vm="267">
        <f ca="1"/>
        <v>11.06</v>
      </c>
      <c r="C148" vm="822">
        <f ca="1"/>
        <v>10.98</v>
      </c>
      <c r="D148" vm="823">
        <f ca="1"/>
        <v>11.1</v>
      </c>
      <c r="E148" vm="824">
        <f ca="1"/>
        <v>10.9</v>
      </c>
      <c r="F148" vm="825">
        <f ca="1"/>
        <v>58864252</v>
      </c>
    </row>
    <row r="149" spans="1:6" x14ac:dyDescent="0.25">
      <c r="A149" vm="268">
        <f ca="1"/>
        <v>45875</v>
      </c>
      <c r="B149" vm="269">
        <f ca="1"/>
        <v>11.21</v>
      </c>
      <c r="C149" vm="796">
        <f ca="1"/>
        <v>11.11</v>
      </c>
      <c r="D149" vm="251">
        <f ca="1"/>
        <v>11.26</v>
      </c>
      <c r="E149" vm="257">
        <f ca="1"/>
        <v>11.08</v>
      </c>
      <c r="F149" vm="826">
        <f ca="1"/>
        <v>59519843</v>
      </c>
    </row>
    <row r="150" spans="1:6" x14ac:dyDescent="0.25">
      <c r="A150" vm="270">
        <f ca="1"/>
        <v>45876</v>
      </c>
      <c r="B150" vm="255">
        <f ca="1"/>
        <v>11.28</v>
      </c>
      <c r="C150" vm="827">
        <f ca="1"/>
        <v>11.3</v>
      </c>
      <c r="D150" vm="828">
        <f ca="1"/>
        <v>11.385</v>
      </c>
      <c r="E150" vm="823">
        <f ca="1"/>
        <v>11.1</v>
      </c>
      <c r="F150" vm="829">
        <f ca="1"/>
        <v>71774972</v>
      </c>
    </row>
    <row r="151" spans="1:6" x14ac:dyDescent="0.25">
      <c r="A151" vm="271">
        <f ca="1"/>
        <v>45877</v>
      </c>
      <c r="B151" vm="272">
        <f ca="1"/>
        <v>11.32</v>
      </c>
      <c r="C151" vm="830">
        <f ca="1"/>
        <v>11.305</v>
      </c>
      <c r="D151" vm="770">
        <f ca="1"/>
        <v>11.37</v>
      </c>
      <c r="E151" vm="269">
        <f ca="1"/>
        <v>11.21</v>
      </c>
      <c r="F151" vm="831">
        <f ca="1"/>
        <v>48465317</v>
      </c>
    </row>
    <row r="152" spans="1:6" x14ac:dyDescent="0.25">
      <c r="A152" vm="273">
        <f ca="1"/>
        <v>45880</v>
      </c>
      <c r="B152" vm="274">
        <f ca="1"/>
        <v>11.14</v>
      </c>
      <c r="C152" vm="827">
        <f ca="1"/>
        <v>11.3</v>
      </c>
      <c r="D152" vm="237">
        <f ca="1"/>
        <v>11.57</v>
      </c>
      <c r="E152" vm="267">
        <f ca="1"/>
        <v>11.06</v>
      </c>
      <c r="F152" vm="832">
        <f ca="1"/>
        <v>84332966</v>
      </c>
    </row>
    <row r="153" spans="1:6" x14ac:dyDescent="0.25">
      <c r="A153" vm="275">
        <f ca="1"/>
        <v>45881</v>
      </c>
      <c r="B153" vm="276">
        <f ca="1"/>
        <v>11.25</v>
      </c>
      <c r="C153" vm="833">
        <f ca="1"/>
        <v>11.2</v>
      </c>
      <c r="D153" vm="272">
        <f ca="1"/>
        <v>11.32</v>
      </c>
      <c r="E153" vm="834">
        <f ca="1"/>
        <v>11.13</v>
      </c>
      <c r="F153" vm="835">
        <f ca="1"/>
        <v>64021039</v>
      </c>
    </row>
    <row r="154" spans="1:6" x14ac:dyDescent="0.25">
      <c r="A154" vm="277">
        <f ca="1"/>
        <v>45882</v>
      </c>
      <c r="B154" vm="278">
        <f ca="1"/>
        <v>11.44</v>
      </c>
      <c r="C154" vm="836">
        <f ca="1"/>
        <v>11.27</v>
      </c>
      <c r="D154" vm="286">
        <f ca="1"/>
        <v>11.49</v>
      </c>
      <c r="E154" vm="247">
        <f ca="1"/>
        <v>11.19</v>
      </c>
      <c r="F154" vm="837">
        <f ca="1"/>
        <v>63823345</v>
      </c>
    </row>
    <row r="155" spans="1:6" x14ac:dyDescent="0.25">
      <c r="A155" vm="279">
        <f ca="1"/>
        <v>45883</v>
      </c>
      <c r="B155" vm="278">
        <f ca="1"/>
        <v>11.44</v>
      </c>
      <c r="C155" vm="827">
        <f ca="1"/>
        <v>11.3</v>
      </c>
      <c r="D155" vm="793">
        <f ca="1"/>
        <v>11.45</v>
      </c>
      <c r="E155" vm="838">
        <f ca="1"/>
        <v>11.215</v>
      </c>
      <c r="F155" vm="839">
        <f ca="1"/>
        <v>52469244</v>
      </c>
    </row>
    <row r="156" spans="1:6" x14ac:dyDescent="0.25">
      <c r="A156" vm="280">
        <f ca="1"/>
        <v>45884</v>
      </c>
      <c r="B156" vm="278">
        <f ca="1"/>
        <v>11.44</v>
      </c>
      <c r="C156" vm="840">
        <f ca="1"/>
        <v>11.43</v>
      </c>
      <c r="D156" vm="841">
        <f ca="1"/>
        <v>11.52</v>
      </c>
      <c r="E156" vm="346">
        <f ca="1"/>
        <v>11.41</v>
      </c>
      <c r="F156" vm="842">
        <f ca="1"/>
        <v>46141355</v>
      </c>
    </row>
    <row r="157" spans="1:6" x14ac:dyDescent="0.25">
      <c r="A157" vm="281">
        <f ca="1"/>
        <v>45887</v>
      </c>
      <c r="B157" vm="282">
        <f ca="1"/>
        <v>11.46</v>
      </c>
      <c r="C157" vm="843">
        <f ca="1"/>
        <v>11.4</v>
      </c>
      <c r="D157" vm="776">
        <f ca="1"/>
        <v>11.48</v>
      </c>
      <c r="E157" vm="770">
        <f ca="1"/>
        <v>11.37</v>
      </c>
      <c r="F157" vm="844">
        <f ca="1"/>
        <v>37113805</v>
      </c>
    </row>
    <row r="158" spans="1:6" x14ac:dyDescent="0.25">
      <c r="A158" vm="283">
        <f ca="1"/>
        <v>45888</v>
      </c>
      <c r="B158" vm="284">
        <f ca="1"/>
        <v>11.58</v>
      </c>
      <c r="C158" vm="841">
        <f ca="1"/>
        <v>11.52</v>
      </c>
      <c r="D158" vm="322">
        <f ca="1"/>
        <v>11.73</v>
      </c>
      <c r="E158" vm="286">
        <f ca="1"/>
        <v>11.49</v>
      </c>
      <c r="F158" vm="845">
        <f ca="1"/>
        <v>58020177</v>
      </c>
    </row>
    <row r="159" spans="1:6" x14ac:dyDescent="0.25">
      <c r="A159" vm="285">
        <f ca="1"/>
        <v>45889</v>
      </c>
      <c r="B159" vm="286">
        <f ca="1"/>
        <v>11.49</v>
      </c>
      <c r="C159" vm="841">
        <f ca="1"/>
        <v>11.52</v>
      </c>
      <c r="D159" vm="774">
        <f ca="1"/>
        <v>11.6</v>
      </c>
      <c r="E159" vm="253">
        <f ca="1"/>
        <v>11.47</v>
      </c>
      <c r="F159" vm="846">
        <f ca="1"/>
        <v>46469853</v>
      </c>
    </row>
    <row r="160" spans="1:6" x14ac:dyDescent="0.25">
      <c r="A160" vm="287">
        <f ca="1"/>
        <v>45890</v>
      </c>
      <c r="B160" vm="288">
        <f ca="1"/>
        <v>11.33</v>
      </c>
      <c r="C160" vm="309">
        <f ca="1"/>
        <v>11.42</v>
      </c>
      <c r="D160" vm="840">
        <f ca="1"/>
        <v>11.43</v>
      </c>
      <c r="E160" vm="847">
        <f ca="1"/>
        <v>11.195</v>
      </c>
      <c r="F160" vm="848">
        <f ca="1"/>
        <v>51779301</v>
      </c>
    </row>
    <row r="161" spans="1:6" x14ac:dyDescent="0.25">
      <c r="A161" vm="289">
        <f ca="1"/>
        <v>45891</v>
      </c>
      <c r="B161" vm="290">
        <f ca="1"/>
        <v>11.74</v>
      </c>
      <c r="C161" vm="849">
        <f ca="1"/>
        <v>11.39</v>
      </c>
      <c r="D161" vm="221">
        <f ca="1"/>
        <v>11.77</v>
      </c>
      <c r="E161" vm="849">
        <f ca="1"/>
        <v>11.39</v>
      </c>
      <c r="F161" vm="850">
        <f ca="1"/>
        <v>58538704</v>
      </c>
    </row>
    <row r="162" spans="1:6" x14ac:dyDescent="0.25">
      <c r="A162" vm="291">
        <f ca="1"/>
        <v>45894</v>
      </c>
      <c r="B162" vm="292">
        <f ca="1"/>
        <v>11.82</v>
      </c>
      <c r="C162" vm="300">
        <f ca="1"/>
        <v>11.72</v>
      </c>
      <c r="D162" vm="778">
        <f ca="1"/>
        <v>11.85</v>
      </c>
      <c r="E162" vm="227">
        <f ca="1"/>
        <v>11.68</v>
      </c>
      <c r="F162" vm="851">
        <f ca="1"/>
        <v>45038754</v>
      </c>
    </row>
    <row r="163" spans="1:6" x14ac:dyDescent="0.25">
      <c r="A163" vm="293">
        <f ca="1"/>
        <v>45895</v>
      </c>
      <c r="B163" vm="294">
        <f ca="1"/>
        <v>11.84</v>
      </c>
      <c r="C163" vm="223">
        <f ca="1"/>
        <v>11.81</v>
      </c>
      <c r="D163" vm="852">
        <f ca="1"/>
        <v>11.87</v>
      </c>
      <c r="E163" vm="221">
        <f ca="1"/>
        <v>11.77</v>
      </c>
      <c r="F163" vm="853">
        <f ca="1"/>
        <v>48613273</v>
      </c>
    </row>
    <row r="164" spans="1:6" x14ac:dyDescent="0.25">
      <c r="A164" vm="295">
        <f ca="1"/>
        <v>45896</v>
      </c>
      <c r="B164" vm="231">
        <f ca="1"/>
        <v>11.91</v>
      </c>
      <c r="C164" vm="292">
        <f ca="1"/>
        <v>11.82</v>
      </c>
      <c r="D164" vm="854">
        <f ca="1"/>
        <v>11.98</v>
      </c>
      <c r="E164" vm="223">
        <f ca="1"/>
        <v>11.81</v>
      </c>
      <c r="F164" vm="855">
        <f ca="1"/>
        <v>40381477</v>
      </c>
    </row>
    <row r="165" spans="1:6" x14ac:dyDescent="0.25">
      <c r="A165" vm="296">
        <f ca="1"/>
        <v>45897</v>
      </c>
      <c r="B165" vm="297">
        <f ca="1"/>
        <v>11.71</v>
      </c>
      <c r="C165" vm="856">
        <f ca="1"/>
        <v>11.984999999999999</v>
      </c>
      <c r="D165" vm="355">
        <f ca="1"/>
        <v>11.99</v>
      </c>
      <c r="E165" vm="324">
        <f ca="1"/>
        <v>11.63</v>
      </c>
      <c r="F165" vm="857">
        <f ca="1"/>
        <v>47723668</v>
      </c>
    </row>
    <row r="166" spans="1:6" x14ac:dyDescent="0.25">
      <c r="A166" vm="298">
        <f ca="1"/>
        <v>45898</v>
      </c>
      <c r="B166" vm="221">
        <f ca="1"/>
        <v>11.77</v>
      </c>
      <c r="C166" vm="290">
        <f ca="1"/>
        <v>11.74</v>
      </c>
      <c r="D166" vm="229">
        <f ca="1"/>
        <v>11.83</v>
      </c>
      <c r="E166" vm="300">
        <f ca="1"/>
        <v>11.72</v>
      </c>
      <c r="F166" vm="858">
        <f ca="1"/>
        <v>44069734</v>
      </c>
    </row>
    <row r="167" spans="1:6" x14ac:dyDescent="0.25">
      <c r="A167" vm="299">
        <f ca="1"/>
        <v>45902</v>
      </c>
      <c r="B167" vm="300">
        <f ca="1"/>
        <v>11.72</v>
      </c>
      <c r="C167" vm="859">
        <f ca="1"/>
        <v>11.755000000000001</v>
      </c>
      <c r="D167" vm="860">
        <f ca="1"/>
        <v>11.89</v>
      </c>
      <c r="E167" vm="779">
        <f ca="1"/>
        <v>11.64</v>
      </c>
      <c r="F167" vm="861">
        <f ca="1"/>
        <v>57704182</v>
      </c>
    </row>
    <row r="168" spans="1:6" x14ac:dyDescent="0.25">
      <c r="A168" vm="301">
        <f ca="1"/>
        <v>45903</v>
      </c>
      <c r="B168" vm="302">
        <f ca="1"/>
        <v>11.62</v>
      </c>
      <c r="C168" vm="788">
        <f ca="1"/>
        <v>11.67</v>
      </c>
      <c r="D168" vm="862">
        <f ca="1"/>
        <v>11.725</v>
      </c>
      <c r="E168" vm="237">
        <f ca="1"/>
        <v>11.57</v>
      </c>
      <c r="F168" vm="863">
        <f ca="1"/>
        <v>47728660</v>
      </c>
    </row>
    <row r="169" spans="1:6" x14ac:dyDescent="0.25">
      <c r="A169" vm="303">
        <f ca="1"/>
        <v>45904</v>
      </c>
      <c r="B169" vm="227">
        <f ca="1"/>
        <v>11.68</v>
      </c>
      <c r="C169" vm="350">
        <f ca="1"/>
        <v>11.65</v>
      </c>
      <c r="D169" vm="864">
        <f ca="1"/>
        <v>11.7</v>
      </c>
      <c r="E169" vm="237">
        <f ca="1"/>
        <v>11.57</v>
      </c>
      <c r="F169" vm="865">
        <f ca="1"/>
        <v>33136650</v>
      </c>
    </row>
    <row r="170" spans="1:6" x14ac:dyDescent="0.25">
      <c r="A170" vm="304">
        <f ca="1"/>
        <v>45905</v>
      </c>
      <c r="B170" vm="290">
        <f ca="1"/>
        <v>11.74</v>
      </c>
      <c r="C170" vm="297">
        <f ca="1"/>
        <v>11.71</v>
      </c>
      <c r="D170" vm="231">
        <f ca="1"/>
        <v>11.91</v>
      </c>
      <c r="E170" vm="317">
        <f ca="1"/>
        <v>11.66</v>
      </c>
      <c r="F170" vm="866">
        <f ca="1"/>
        <v>47547831</v>
      </c>
    </row>
    <row r="171" spans="1:6" x14ac:dyDescent="0.25">
      <c r="A171" vm="305">
        <f ca="1"/>
        <v>45908</v>
      </c>
      <c r="B171" vm="306">
        <f ca="1"/>
        <v>11.69</v>
      </c>
      <c r="C171" vm="772">
        <f ca="1"/>
        <v>11.75</v>
      </c>
      <c r="D171" vm="772">
        <f ca="1"/>
        <v>11.75</v>
      </c>
      <c r="E171" vm="284">
        <f ca="1"/>
        <v>11.58</v>
      </c>
      <c r="F171" vm="867">
        <f ca="1"/>
        <v>39734522</v>
      </c>
    </row>
    <row r="172" spans="1:6" x14ac:dyDescent="0.25">
      <c r="A172" vm="307">
        <f ca="1"/>
        <v>45909</v>
      </c>
      <c r="B172" vm="286">
        <f ca="1"/>
        <v>11.49</v>
      </c>
      <c r="C172" vm="788">
        <f ca="1"/>
        <v>11.67</v>
      </c>
      <c r="D172" vm="227">
        <f ca="1"/>
        <v>11.68</v>
      </c>
      <c r="E172" vm="793">
        <f ca="1"/>
        <v>11.45</v>
      </c>
      <c r="F172" vm="868">
        <f ca="1"/>
        <v>41262743</v>
      </c>
    </row>
    <row r="173" spans="1:6" x14ac:dyDescent="0.25">
      <c r="A173" vm="308">
        <f ca="1"/>
        <v>45910</v>
      </c>
      <c r="B173" vm="309">
        <f ca="1"/>
        <v>11.42</v>
      </c>
      <c r="C173" vm="286">
        <f ca="1"/>
        <v>11.49</v>
      </c>
      <c r="D173" vm="841">
        <f ca="1"/>
        <v>11.52</v>
      </c>
      <c r="E173" vm="245">
        <f ca="1"/>
        <v>11.31</v>
      </c>
      <c r="F173" vm="869">
        <f ca="1"/>
        <v>47021328</v>
      </c>
    </row>
    <row r="174" spans="1:6" x14ac:dyDescent="0.25">
      <c r="A174" vm="310">
        <f ca="1"/>
        <v>45911</v>
      </c>
      <c r="B174" vm="311">
        <f ca="1"/>
        <v>11.76</v>
      </c>
      <c r="C174" vm="282">
        <f ca="1"/>
        <v>11.46</v>
      </c>
      <c r="D174" vm="775">
        <f ca="1"/>
        <v>11.79</v>
      </c>
      <c r="E174" vm="840">
        <f ca="1"/>
        <v>11.43</v>
      </c>
      <c r="F174" vm="870">
        <f ca="1"/>
        <v>64196118</v>
      </c>
    </row>
    <row r="175" spans="1:6" x14ac:dyDescent="0.25">
      <c r="A175" vm="312">
        <f ca="1"/>
        <v>45912</v>
      </c>
      <c r="B175" vm="227">
        <f ca="1"/>
        <v>11.68</v>
      </c>
      <c r="C175" vm="871">
        <f ca="1"/>
        <v>11.754</v>
      </c>
      <c r="D175" vm="223">
        <f ca="1"/>
        <v>11.81</v>
      </c>
      <c r="E175" vm="317">
        <f ca="1"/>
        <v>11.66</v>
      </c>
      <c r="F175" vm="872">
        <f ca="1"/>
        <v>50100809</v>
      </c>
    </row>
    <row r="176" spans="1:6" x14ac:dyDescent="0.25">
      <c r="A176" vm="313">
        <f ca="1"/>
        <v>45915</v>
      </c>
      <c r="B176" vm="227">
        <f ca="1"/>
        <v>11.68</v>
      </c>
      <c r="C176" vm="290">
        <f ca="1"/>
        <v>11.74</v>
      </c>
      <c r="D176" vm="859">
        <f ca="1"/>
        <v>11.755000000000001</v>
      </c>
      <c r="E176" vm="315">
        <f ca="1"/>
        <v>11.61</v>
      </c>
      <c r="F176" vm="873">
        <f ca="1"/>
        <v>47942431</v>
      </c>
    </row>
    <row r="177" spans="1:6" x14ac:dyDescent="0.25">
      <c r="A177" vm="314">
        <f ca="1"/>
        <v>45916</v>
      </c>
      <c r="B177" vm="315">
        <f ca="1"/>
        <v>11.61</v>
      </c>
      <c r="C177" vm="874">
        <f ca="1"/>
        <v>11.685</v>
      </c>
      <c r="D177" vm="233">
        <f ca="1"/>
        <v>11.78</v>
      </c>
      <c r="E177" vm="875">
        <f ca="1"/>
        <v>11.51</v>
      </c>
      <c r="F177" vm="876">
        <f ca="1"/>
        <v>58064970</v>
      </c>
    </row>
    <row r="178" spans="1:6" x14ac:dyDescent="0.25">
      <c r="A178" vm="316">
        <f ca="1"/>
        <v>45917</v>
      </c>
      <c r="B178" vm="317">
        <f ca="1"/>
        <v>11.66</v>
      </c>
      <c r="C178" vm="324">
        <f ca="1"/>
        <v>11.63</v>
      </c>
      <c r="D178" vm="235">
        <f ca="1"/>
        <v>11.88</v>
      </c>
      <c r="E178" vm="877">
        <f ca="1"/>
        <v>11.55</v>
      </c>
      <c r="F178" vm="878">
        <f ca="1"/>
        <v>68585945</v>
      </c>
    </row>
    <row r="179" spans="1:6" x14ac:dyDescent="0.25">
      <c r="A179" vm="318">
        <f ca="1"/>
        <v>45918</v>
      </c>
      <c r="B179" vm="290">
        <f ca="1"/>
        <v>11.74</v>
      </c>
      <c r="C179" vm="306">
        <f ca="1"/>
        <v>11.69</v>
      </c>
      <c r="D179" vm="233">
        <f ca="1"/>
        <v>11.78</v>
      </c>
      <c r="E179" vm="302">
        <f ca="1"/>
        <v>11.62</v>
      </c>
      <c r="F179" vm="879">
        <f ca="1"/>
        <v>55040063</v>
      </c>
    </row>
    <row r="180" spans="1:6" x14ac:dyDescent="0.25">
      <c r="A180" vm="319">
        <f ca="1"/>
        <v>45919</v>
      </c>
      <c r="B180" vm="302">
        <f ca="1"/>
        <v>11.62</v>
      </c>
      <c r="C180" vm="221">
        <f ca="1"/>
        <v>11.77</v>
      </c>
      <c r="D180" vm="880">
        <f ca="1"/>
        <v>11.8</v>
      </c>
      <c r="E180" vm="881">
        <f ca="1"/>
        <v>11.585000000000001</v>
      </c>
      <c r="F180" vm="882">
        <f ca="1"/>
        <v>71676341</v>
      </c>
    </row>
    <row r="181" spans="1:6" x14ac:dyDescent="0.25">
      <c r="A181" vm="320">
        <f ca="1"/>
        <v>45922</v>
      </c>
      <c r="B181" vm="317">
        <f ca="1"/>
        <v>11.66</v>
      </c>
      <c r="C181" vm="774">
        <f ca="1"/>
        <v>11.6</v>
      </c>
      <c r="D181" vm="864">
        <f ca="1"/>
        <v>11.7</v>
      </c>
      <c r="E181" vm="883">
        <f ca="1"/>
        <v>11.565</v>
      </c>
      <c r="F181" vm="884">
        <f ca="1"/>
        <v>58432710</v>
      </c>
    </row>
    <row r="182" spans="1:6" x14ac:dyDescent="0.25">
      <c r="A182" vm="321">
        <f ca="1"/>
        <v>45923</v>
      </c>
      <c r="B182" vm="322">
        <f ca="1"/>
        <v>11.73</v>
      </c>
      <c r="C182" vm="864">
        <f ca="1"/>
        <v>11.7</v>
      </c>
      <c r="D182" vm="790">
        <f ca="1"/>
        <v>11.93</v>
      </c>
      <c r="E182" vm="885">
        <f ca="1"/>
        <v>11.695</v>
      </c>
      <c r="F182" vm="886">
        <f ca="1"/>
        <v>55667552</v>
      </c>
    </row>
    <row r="183" spans="1:6" x14ac:dyDescent="0.25">
      <c r="A183" vm="323">
        <f ca="1"/>
        <v>45924</v>
      </c>
      <c r="B183" vm="324">
        <f ca="1"/>
        <v>11.63</v>
      </c>
      <c r="C183" vm="322">
        <f ca="1"/>
        <v>11.73</v>
      </c>
      <c r="D183" vm="229">
        <f ca="1"/>
        <v>11.83</v>
      </c>
      <c r="E183" vm="225">
        <f ca="1"/>
        <v>11.59</v>
      </c>
      <c r="F183" vm="887">
        <f ca="1"/>
        <v>60193780</v>
      </c>
    </row>
    <row r="184" spans="1:6" x14ac:dyDescent="0.25">
      <c r="A184" vm="325">
        <f ca="1"/>
        <v>45925</v>
      </c>
      <c r="B184" vm="302">
        <f ca="1"/>
        <v>11.62</v>
      </c>
      <c r="C184" vm="348">
        <f ca="1"/>
        <v>11.54</v>
      </c>
      <c r="D184" vm="350">
        <f ca="1"/>
        <v>11.65</v>
      </c>
      <c r="E184" vm="770">
        <f ca="1"/>
        <v>11.37</v>
      </c>
      <c r="F184" vm="888">
        <f ca="1"/>
        <v>67656337</v>
      </c>
    </row>
    <row r="185" spans="1:6" x14ac:dyDescent="0.25">
      <c r="A185" vm="326">
        <f ca="1"/>
        <v>45926</v>
      </c>
      <c r="B185" vm="327">
        <f ca="1"/>
        <v>12.01</v>
      </c>
      <c r="C185" vm="350">
        <f ca="1"/>
        <v>11.65</v>
      </c>
      <c r="D185" vm="889">
        <f ca="1"/>
        <v>12.315</v>
      </c>
      <c r="E185" vm="350">
        <f ca="1"/>
        <v>11.65</v>
      </c>
      <c r="F185" vm="890">
        <f ca="1"/>
        <v>117681848</v>
      </c>
    </row>
    <row r="186" spans="1:6" x14ac:dyDescent="0.25">
      <c r="A186" vm="328">
        <f ca="1"/>
        <v>45929</v>
      </c>
      <c r="B186" vm="329">
        <f ca="1"/>
        <v>12.09</v>
      </c>
      <c r="C186" vm="891">
        <f ca="1"/>
        <v>12.1</v>
      </c>
      <c r="D186" vm="892">
        <f ca="1"/>
        <v>12.12</v>
      </c>
      <c r="E186" vm="860">
        <f ca="1"/>
        <v>11.89</v>
      </c>
      <c r="F186" vm="893">
        <f ca="1"/>
        <v>83325012</v>
      </c>
    </row>
    <row r="187" spans="1:6" x14ac:dyDescent="0.25">
      <c r="A187" vm="330">
        <f ca="1"/>
        <v>45930</v>
      </c>
      <c r="B187" vm="331">
        <f ca="1"/>
        <v>11.96</v>
      </c>
      <c r="C187" vm="894">
        <f ca="1"/>
        <v>12.11</v>
      </c>
      <c r="D187" vm="895">
        <f ca="1"/>
        <v>12.2</v>
      </c>
      <c r="E187" vm="231">
        <f ca="1"/>
        <v>11.91</v>
      </c>
      <c r="F187" vm="896">
        <f ca="1"/>
        <v>70765048</v>
      </c>
    </row>
    <row r="188" spans="1:6" x14ac:dyDescent="0.25">
      <c r="A188" vm="332">
        <f ca="1"/>
        <v>45931</v>
      </c>
      <c r="B188" vm="333">
        <f ca="1"/>
        <v>12.27</v>
      </c>
      <c r="C188" vm="892">
        <f ca="1"/>
        <v>12.12</v>
      </c>
      <c r="D188" vm="897">
        <f ca="1"/>
        <v>12.28</v>
      </c>
      <c r="E188" vm="898">
        <f ca="1"/>
        <v>12.04</v>
      </c>
      <c r="F188" vm="899">
        <f ca="1"/>
        <v>73578427</v>
      </c>
    </row>
    <row r="189" spans="1:6" x14ac:dyDescent="0.25">
      <c r="A189" vm="334">
        <f ca="1"/>
        <v>45932</v>
      </c>
      <c r="B189" vm="335">
        <f ca="1"/>
        <v>12.22</v>
      </c>
      <c r="C189" vm="897">
        <f ca="1"/>
        <v>12.28</v>
      </c>
      <c r="D189" vm="359">
        <f ca="1"/>
        <v>12.43</v>
      </c>
      <c r="E189" vm="892">
        <f ca="1"/>
        <v>12.12</v>
      </c>
      <c r="F189" vm="900">
        <f ca="1"/>
        <v>74530532</v>
      </c>
    </row>
    <row r="190" spans="1:6" x14ac:dyDescent="0.25">
      <c r="A190" vm="336">
        <f ca="1"/>
        <v>45933</v>
      </c>
      <c r="B190" vm="337">
        <f ca="1"/>
        <v>12.67</v>
      </c>
      <c r="C190" vm="901">
        <f ca="1"/>
        <v>12.244999999999999</v>
      </c>
      <c r="D190" vm="337">
        <f ca="1"/>
        <v>12.67</v>
      </c>
      <c r="E190" vm="895">
        <f ca="1"/>
        <v>12.2</v>
      </c>
      <c r="F190" vm="902">
        <f ca="1"/>
        <v>100778558</v>
      </c>
    </row>
    <row r="191" spans="1:6" x14ac:dyDescent="0.25">
      <c r="A191" vm="338">
        <f ca="1"/>
        <v>45936</v>
      </c>
      <c r="B191" vm="339">
        <f ca="1"/>
        <v>12.7</v>
      </c>
      <c r="C191" vm="903">
        <f ca="1"/>
        <v>12.63</v>
      </c>
      <c r="D191" vm="904">
        <f ca="1"/>
        <v>12.8</v>
      </c>
      <c r="E191" vm="905">
        <f ca="1"/>
        <v>12.48</v>
      </c>
      <c r="F191" vm="906">
        <f ca="1"/>
        <v>90544937</v>
      </c>
    </row>
    <row r="192" spans="1:6" x14ac:dyDescent="0.25">
      <c r="A192" vm="340">
        <f ca="1"/>
        <v>45937</v>
      </c>
      <c r="B192" vm="341">
        <f ca="1"/>
        <v>11.92</v>
      </c>
      <c r="C192" vm="907">
        <f ca="1"/>
        <v>12.5</v>
      </c>
      <c r="D192" vm="908">
        <f ca="1"/>
        <v>12.53</v>
      </c>
      <c r="E192" vm="290">
        <f ca="1"/>
        <v>11.74</v>
      </c>
      <c r="F192" vm="909">
        <f ca="1"/>
        <v>154390154</v>
      </c>
    </row>
    <row r="193" spans="1:6" x14ac:dyDescent="0.25">
      <c r="A193" vm="342">
        <f ca="1"/>
        <v>45938</v>
      </c>
      <c r="B193" vm="290">
        <f ca="1"/>
        <v>11.74</v>
      </c>
      <c r="C193" vm="854">
        <f ca="1"/>
        <v>11.98</v>
      </c>
      <c r="D193" vm="910">
        <f ca="1"/>
        <v>12.013999999999999</v>
      </c>
      <c r="E193" vm="227">
        <f ca="1"/>
        <v>11.68</v>
      </c>
      <c r="F193" vm="911">
        <f ca="1"/>
        <v>78469653</v>
      </c>
    </row>
    <row r="194" spans="1:6" x14ac:dyDescent="0.25">
      <c r="A194" vm="343">
        <f ca="1"/>
        <v>45939</v>
      </c>
      <c r="B194" vm="344">
        <f ca="1"/>
        <v>11.5</v>
      </c>
      <c r="C194" vm="912">
        <f ca="1"/>
        <v>11.744999999999999</v>
      </c>
      <c r="D194" vm="221">
        <f ca="1"/>
        <v>11.77</v>
      </c>
      <c r="E194" vm="776">
        <f ca="1"/>
        <v>11.48</v>
      </c>
      <c r="F194" vm="913">
        <f ca="1"/>
        <v>70320483</v>
      </c>
    </row>
    <row r="195" spans="1:6" x14ac:dyDescent="0.25">
      <c r="A195" vm="345">
        <f ca="1"/>
        <v>45940</v>
      </c>
      <c r="B195" vm="346">
        <f ca="1"/>
        <v>11.41</v>
      </c>
      <c r="C195" vm="877">
        <f ca="1"/>
        <v>11.55</v>
      </c>
      <c r="D195" vm="225">
        <f ca="1"/>
        <v>11.59</v>
      </c>
      <c r="E195" vm="219">
        <f ca="1"/>
        <v>11.35</v>
      </c>
      <c r="F195" vm="914">
        <f ca="1"/>
        <v>84595402</v>
      </c>
    </row>
    <row r="196" spans="1:6" x14ac:dyDescent="0.25">
      <c r="A196" vm="347">
        <f ca="1"/>
        <v>45943</v>
      </c>
      <c r="B196" vm="348">
        <f ca="1"/>
        <v>11.54</v>
      </c>
      <c r="C196" vm="286">
        <f ca="1"/>
        <v>11.49</v>
      </c>
      <c r="D196" vm="324">
        <f ca="1"/>
        <v>11.63</v>
      </c>
      <c r="E196" vm="282">
        <f ca="1"/>
        <v>11.46</v>
      </c>
      <c r="F196" vm="915">
        <f ca="1"/>
        <v>73939384</v>
      </c>
    </row>
    <row r="197" spans="1:6" x14ac:dyDescent="0.25">
      <c r="A197" vm="349">
        <f ca="1"/>
        <v>45944</v>
      </c>
      <c r="B197" vm="350">
        <f ca="1"/>
        <v>11.65</v>
      </c>
      <c r="C197" vm="249">
        <f ca="1"/>
        <v>11.38</v>
      </c>
      <c r="D197" vm="311">
        <f ca="1"/>
        <v>11.76</v>
      </c>
      <c r="E197" vm="916">
        <f ca="1"/>
        <v>11.34</v>
      </c>
      <c r="F197" vm="917">
        <f ca="1"/>
        <v>89117946</v>
      </c>
    </row>
    <row r="198" spans="1:6" x14ac:dyDescent="0.25">
      <c r="A198" vm="351">
        <f ca="1"/>
        <v>45945</v>
      </c>
      <c r="B198" vm="311">
        <f ca="1"/>
        <v>11.76</v>
      </c>
      <c r="C198" vm="918">
        <f ca="1"/>
        <v>11.675000000000001</v>
      </c>
      <c r="D198" vm="233">
        <f ca="1"/>
        <v>11.78</v>
      </c>
      <c r="E198" vm="779">
        <f ca="1"/>
        <v>11.64</v>
      </c>
      <c r="F198" vm="919">
        <f ca="1"/>
        <v>88960726</v>
      </c>
    </row>
    <row r="199" spans="1:6" x14ac:dyDescent="0.25">
      <c r="A199" vm="352">
        <f ca="1"/>
        <v>45946</v>
      </c>
      <c r="B199" vm="290">
        <f ca="1"/>
        <v>11.74</v>
      </c>
      <c r="C199" vm="290">
        <f ca="1"/>
        <v>11.74</v>
      </c>
      <c r="D199" vm="775">
        <f ca="1"/>
        <v>11.79</v>
      </c>
      <c r="E199" vm="779">
        <f ca="1"/>
        <v>11.64</v>
      </c>
      <c r="F199" vm="920">
        <f ca="1"/>
        <v>108701202</v>
      </c>
    </row>
    <row r="200" spans="1:6" x14ac:dyDescent="0.25">
      <c r="A200" vm="353">
        <f ca="1"/>
        <v>45947</v>
      </c>
      <c r="B200" vm="341">
        <f ca="1"/>
        <v>11.92</v>
      </c>
      <c r="C200" vm="290">
        <f ca="1"/>
        <v>11.74</v>
      </c>
      <c r="D200" vm="327">
        <f ca="1"/>
        <v>12.01</v>
      </c>
      <c r="E200" vm="300">
        <f ca="1"/>
        <v>11.72</v>
      </c>
      <c r="F200" vm="921">
        <f ca="1"/>
        <v>107633522</v>
      </c>
    </row>
    <row r="201" spans="1:6" x14ac:dyDescent="0.25">
      <c r="A201" vm="354">
        <f ca="1"/>
        <v>45950</v>
      </c>
      <c r="B201" vm="355">
        <f ca="1"/>
        <v>11.99</v>
      </c>
      <c r="C201" vm="790">
        <f ca="1"/>
        <v>11.93</v>
      </c>
      <c r="D201" vm="922">
        <f ca="1"/>
        <v>12.08</v>
      </c>
      <c r="E201" vm="231">
        <f ca="1"/>
        <v>11.91</v>
      </c>
      <c r="F201" vm="923">
        <f ca="1"/>
        <v>77878936</v>
      </c>
    </row>
    <row r="202" spans="1:6" x14ac:dyDescent="0.25">
      <c r="A202" vm="356">
        <f ca="1"/>
        <v>45951</v>
      </c>
      <c r="B202" vm="357">
        <f ca="1"/>
        <v>12.56</v>
      </c>
      <c r="C202" vm="924">
        <f ca="1"/>
        <v>12.255000000000001</v>
      </c>
      <c r="D202" vm="903">
        <f ca="1"/>
        <v>12.63</v>
      </c>
      <c r="E202" vm="925">
        <f ca="1"/>
        <v>12.07</v>
      </c>
      <c r="F202" vm="926">
        <f ca="1"/>
        <v>297153158</v>
      </c>
    </row>
    <row r="203" spans="1:6" x14ac:dyDescent="0.25">
      <c r="A203" vm="358">
        <f ca="1"/>
        <v>45952</v>
      </c>
      <c r="B203" vm="359">
        <f ca="1"/>
        <v>12.43</v>
      </c>
      <c r="C203" vm="908">
        <f ca="1"/>
        <v>12.53</v>
      </c>
      <c r="D203" vm="927">
        <f ca="1"/>
        <v>12.595000000000001</v>
      </c>
      <c r="E203" vm="897">
        <f ca="1"/>
        <v>12.28</v>
      </c>
      <c r="F203" vm="928">
        <f ca="1"/>
        <v>415062173</v>
      </c>
    </row>
    <row r="204" spans="1:6" x14ac:dyDescent="0.25">
      <c r="A204" vm="360">
        <f ca="1"/>
        <v>45953</v>
      </c>
      <c r="B204" vm="361">
        <f ca="1"/>
        <v>12.34</v>
      </c>
      <c r="C204" vm="929">
        <f ca="1"/>
        <v>12.47</v>
      </c>
      <c r="D204" vm="930">
        <f ca="1"/>
        <v>12.49</v>
      </c>
      <c r="E204" vm="931">
        <f ca="1"/>
        <v>12.19</v>
      </c>
      <c r="F204" vm="932">
        <f ca="1"/>
        <v>479840312</v>
      </c>
    </row>
    <row r="205" spans="1:6" x14ac:dyDescent="0.25">
      <c r="A205" vm="362">
        <f ca="1"/>
        <v>45954</v>
      </c>
      <c r="B205" vm="363">
        <f ca="1"/>
        <v>13.84</v>
      </c>
      <c r="C205" vm="933">
        <f ca="1"/>
        <v>12.73</v>
      </c>
      <c r="D205" vm="934">
        <f ca="1"/>
        <v>13.97</v>
      </c>
      <c r="E205" vm="935">
        <f ca="1"/>
        <v>12.71</v>
      </c>
      <c r="F205" vm="936">
        <f ca="1"/>
        <v>298366862</v>
      </c>
    </row>
    <row r="206" spans="1:6" x14ac:dyDescent="0.25">
      <c r="A206" vm="364">
        <f ca="1"/>
        <v>45957</v>
      </c>
      <c r="B206" vm="365">
        <f ca="1"/>
        <v>13.26</v>
      </c>
      <c r="C206" vm="937">
        <f ca="1"/>
        <v>13.8</v>
      </c>
      <c r="D206" vm="937">
        <f ca="1"/>
        <v>13.8</v>
      </c>
      <c r="E206" vm="382">
        <f ca="1"/>
        <v>13.21</v>
      </c>
      <c r="F206" vm="938">
        <f ca="1"/>
        <v>140859004</v>
      </c>
    </row>
    <row r="207" spans="1:6" x14ac:dyDescent="0.25">
      <c r="A207" vm="366">
        <f ca="1"/>
        <v>45958</v>
      </c>
      <c r="B207" vm="367">
        <f ca="1"/>
        <v>13.13</v>
      </c>
      <c r="C207" vm="369">
        <f ca="1"/>
        <v>13.24</v>
      </c>
      <c r="D207" vm="390">
        <f ca="1"/>
        <v>13.28</v>
      </c>
      <c r="E207" vm="939">
        <f ca="1"/>
        <v>13.04</v>
      </c>
      <c r="F207" vm="940">
        <f ca="1"/>
        <v>96738451</v>
      </c>
    </row>
    <row r="208" spans="1:6" x14ac:dyDescent="0.25">
      <c r="A208" vm="368">
        <f ca="1"/>
        <v>45959</v>
      </c>
      <c r="B208" vm="369">
        <f ca="1"/>
        <v>13.24</v>
      </c>
      <c r="C208" vm="941">
        <f ca="1"/>
        <v>13.1</v>
      </c>
      <c r="D208" vm="942">
        <f ca="1"/>
        <v>13.39</v>
      </c>
      <c r="E208" vm="943">
        <f ca="1"/>
        <v>13.07</v>
      </c>
      <c r="F208" vm="944">
        <f ca="1"/>
        <v>127512240</v>
      </c>
    </row>
    <row r="209" spans="1:6" x14ac:dyDescent="0.25">
      <c r="A209" vm="370">
        <f ca="1"/>
        <v>45960</v>
      </c>
      <c r="B209" vm="371">
        <f ca="1"/>
        <v>13.06</v>
      </c>
      <c r="C209" vm="945">
        <f ca="1"/>
        <v>13.14</v>
      </c>
      <c r="D209" vm="946">
        <f ca="1"/>
        <v>13.29</v>
      </c>
      <c r="E209" vm="371">
        <f ca="1"/>
        <v>13.06</v>
      </c>
      <c r="F209" vm="947">
        <f ca="1"/>
        <v>80766301</v>
      </c>
    </row>
    <row r="210" spans="1:6" x14ac:dyDescent="0.25">
      <c r="A210" vm="372">
        <f ca="1"/>
        <v>45961</v>
      </c>
      <c r="B210" vm="367">
        <f ca="1"/>
        <v>13.13</v>
      </c>
      <c r="C210" vm="939">
        <f ca="1"/>
        <v>13.04</v>
      </c>
      <c r="D210" vm="406">
        <f ca="1"/>
        <v>13.17</v>
      </c>
      <c r="E210" vm="948">
        <f ca="1"/>
        <v>12.99</v>
      </c>
      <c r="F210" vm="949">
        <f ca="1"/>
        <v>68861988</v>
      </c>
    </row>
    <row r="211" spans="1:6" x14ac:dyDescent="0.25">
      <c r="A211" vm="373">
        <f ca="1"/>
        <v>45964</v>
      </c>
      <c r="B211" vm="374">
        <f ca="1"/>
        <v>13.01</v>
      </c>
      <c r="C211" vm="941">
        <f ca="1"/>
        <v>13.1</v>
      </c>
      <c r="D211" vm="941">
        <f ca="1"/>
        <v>13.1</v>
      </c>
      <c r="E211" vm="398">
        <f ca="1"/>
        <v>12.9</v>
      </c>
      <c r="F211" vm="950">
        <f ca="1"/>
        <v>80419403</v>
      </c>
    </row>
    <row r="212" spans="1:6" x14ac:dyDescent="0.25">
      <c r="A212" vm="375">
        <f ca="1"/>
        <v>45965</v>
      </c>
      <c r="B212" vm="376">
        <f ca="1"/>
        <v>12.79</v>
      </c>
      <c r="C212" vm="951">
        <f ca="1"/>
        <v>12.91</v>
      </c>
      <c r="D212" vm="952">
        <f ca="1"/>
        <v>12.93</v>
      </c>
      <c r="E212" vm="953">
        <f ca="1"/>
        <v>12.75</v>
      </c>
      <c r="F212" vm="954">
        <f ca="1"/>
        <v>70360611</v>
      </c>
    </row>
    <row r="213" spans="1:6" x14ac:dyDescent="0.25">
      <c r="A213" vm="377">
        <f ca="1"/>
        <v>45966</v>
      </c>
      <c r="B213" vm="378">
        <f ca="1"/>
        <v>13.11</v>
      </c>
      <c r="C213" vm="955">
        <f ca="1"/>
        <v>12.92</v>
      </c>
      <c r="D213" vm="956">
        <f ca="1"/>
        <v>13.305</v>
      </c>
      <c r="E213" vm="394">
        <f ca="1"/>
        <v>12.88</v>
      </c>
      <c r="F213" vm="957">
        <f ca="1"/>
        <v>79134307</v>
      </c>
    </row>
    <row r="214" spans="1:6" x14ac:dyDescent="0.25">
      <c r="A214" vm="379">
        <f ca="1"/>
        <v>45967</v>
      </c>
      <c r="B214" vm="380">
        <f ca="1"/>
        <v>13.12</v>
      </c>
      <c r="C214" vm="945">
        <f ca="1"/>
        <v>13.14</v>
      </c>
      <c r="D214" vm="365">
        <f ca="1"/>
        <v>13.26</v>
      </c>
      <c r="E214" vm="958">
        <f ca="1"/>
        <v>12.98</v>
      </c>
      <c r="F214" vm="959">
        <f ca="1"/>
        <v>82291049</v>
      </c>
    </row>
    <row r="215" spans="1:6" x14ac:dyDescent="0.25">
      <c r="A215" vm="381">
        <f ca="1"/>
        <v>45968</v>
      </c>
      <c r="B215" vm="382">
        <f ca="1"/>
        <v>13.21</v>
      </c>
      <c r="C215" vm="404">
        <f ca="1"/>
        <v>12.96</v>
      </c>
      <c r="D215" vm="369">
        <f ca="1"/>
        <v>13.24</v>
      </c>
      <c r="E215" vm="960">
        <f ca="1"/>
        <v>12.95</v>
      </c>
      <c r="F215" vm="961">
        <f ca="1"/>
        <v>80011318</v>
      </c>
    </row>
    <row r="216" spans="1:6" x14ac:dyDescent="0.25">
      <c r="A216" vm="383">
        <f ca="1"/>
        <v>45971</v>
      </c>
      <c r="B216" vm="384">
        <f ca="1"/>
        <v>13.16</v>
      </c>
      <c r="C216" vm="962">
        <f ca="1"/>
        <v>13.23</v>
      </c>
      <c r="D216" vm="963">
        <f ca="1"/>
        <v>13.234999999999999</v>
      </c>
      <c r="E216" vm="964">
        <f ca="1"/>
        <v>13</v>
      </c>
      <c r="F216" vm="965">
        <f ca="1"/>
        <v>62051157</v>
      </c>
    </row>
    <row r="217" spans="1:6" x14ac:dyDescent="0.25">
      <c r="A217" vm="385">
        <f ca="1"/>
        <v>45972</v>
      </c>
      <c r="B217" vm="386">
        <f ca="1"/>
        <v>13.3</v>
      </c>
      <c r="C217" vm="392">
        <f ca="1"/>
        <v>13.19</v>
      </c>
      <c r="D217" vm="966">
        <f ca="1"/>
        <v>13.44</v>
      </c>
      <c r="E217" vm="392">
        <f ca="1"/>
        <v>13.19</v>
      </c>
      <c r="F217" vm="967">
        <f ca="1"/>
        <v>79742405</v>
      </c>
    </row>
    <row r="218" spans="1:6" x14ac:dyDescent="0.25">
      <c r="A218" vm="387">
        <f ca="1"/>
        <v>45973</v>
      </c>
      <c r="B218" vm="388">
        <f ca="1"/>
        <v>13.45</v>
      </c>
      <c r="C218" vm="386">
        <f ca="1"/>
        <v>13.3</v>
      </c>
      <c r="D218" vm="968">
        <f ca="1"/>
        <v>13.5</v>
      </c>
      <c r="E218" vm="386">
        <f ca="1"/>
        <v>13.3</v>
      </c>
      <c r="F218" vm="969">
        <f ca="1"/>
        <v>61840461</v>
      </c>
    </row>
    <row r="219" spans="1:6" x14ac:dyDescent="0.25">
      <c r="A219" vm="389">
        <f ca="1"/>
        <v>45974</v>
      </c>
      <c r="B219" vm="390">
        <f ca="1"/>
        <v>13.28</v>
      </c>
      <c r="C219" vm="970">
        <f ca="1"/>
        <v>13.4</v>
      </c>
      <c r="D219" vm="968">
        <f ca="1"/>
        <v>13.5</v>
      </c>
      <c r="E219" vm="971">
        <f ca="1"/>
        <v>13.25</v>
      </c>
      <c r="F219" vm="972">
        <f ca="1"/>
        <v>71481613</v>
      </c>
    </row>
    <row r="220" spans="1:6" x14ac:dyDescent="0.25">
      <c r="A220" vm="391">
        <f ca="1"/>
        <v>45975</v>
      </c>
      <c r="B220" vm="392">
        <f ca="1"/>
        <v>13.19</v>
      </c>
      <c r="C220" vm="973">
        <f ca="1"/>
        <v>13.18</v>
      </c>
      <c r="D220" vm="974">
        <f ca="1"/>
        <v>13.31</v>
      </c>
      <c r="E220" vm="941">
        <f ca="1"/>
        <v>13.1</v>
      </c>
      <c r="F220" vm="975">
        <f ca="1"/>
        <v>67932422</v>
      </c>
    </row>
    <row r="221" spans="1:6" x14ac:dyDescent="0.25">
      <c r="A221" vm="393">
        <f ca="1"/>
        <v>45978</v>
      </c>
      <c r="B221" vm="394">
        <f ca="1"/>
        <v>12.88</v>
      </c>
      <c r="C221" vm="976">
        <f ca="1"/>
        <v>13.1751</v>
      </c>
      <c r="D221" vm="976">
        <f ca="1"/>
        <v>13.1751</v>
      </c>
      <c r="E221" vm="977">
        <f ca="1"/>
        <v>12.78</v>
      </c>
      <c r="F221" vm="978">
        <f ca="1"/>
        <v>73404381</v>
      </c>
    </row>
    <row r="222" spans="1:6" x14ac:dyDescent="0.25">
      <c r="A222" vm="395">
        <f ca="1"/>
        <v>45979</v>
      </c>
      <c r="B222" vm="396">
        <f ca="1"/>
        <v>13.02</v>
      </c>
      <c r="C222" vm="979">
        <f ca="1"/>
        <v>12.87</v>
      </c>
      <c r="D222" vm="980">
        <f ca="1"/>
        <v>13.09</v>
      </c>
      <c r="E222" vm="981">
        <f ca="1"/>
        <v>12.76</v>
      </c>
      <c r="F222" vm="982">
        <f ca="1"/>
        <v>70215400</v>
      </c>
    </row>
    <row r="223" spans="1:6" x14ac:dyDescent="0.25">
      <c r="A223" vm="397">
        <f ca="1"/>
        <v>45980</v>
      </c>
      <c r="B223" vm="398">
        <f ca="1"/>
        <v>12.9</v>
      </c>
      <c r="C223" vm="983">
        <f ca="1"/>
        <v>13.03</v>
      </c>
      <c r="D223" vm="984">
        <f ca="1"/>
        <v>13.15</v>
      </c>
      <c r="E223" vm="985">
        <f ca="1"/>
        <v>12.8649</v>
      </c>
      <c r="F223" vm="986">
        <f ca="1"/>
        <v>49619260</v>
      </c>
    </row>
    <row r="224" spans="1:6" x14ac:dyDescent="0.25">
      <c r="A224" vm="399">
        <f ca="1"/>
        <v>45981</v>
      </c>
      <c r="B224" vm="400">
        <f ca="1"/>
        <v>12.41</v>
      </c>
      <c r="C224" vm="951">
        <f ca="1"/>
        <v>12.91</v>
      </c>
      <c r="D224" vm="374">
        <f ca="1"/>
        <v>13.01</v>
      </c>
      <c r="E224" vm="987">
        <f ca="1"/>
        <v>12.38</v>
      </c>
      <c r="F224" vm="988">
        <f ca="1"/>
        <v>95861863</v>
      </c>
    </row>
    <row r="225" spans="1:6" x14ac:dyDescent="0.25">
      <c r="A225" vm="401">
        <f ca="1"/>
        <v>45982</v>
      </c>
      <c r="B225" vm="402">
        <f ca="1"/>
        <v>12.83</v>
      </c>
      <c r="C225" vm="989">
        <f ca="1"/>
        <v>12.51</v>
      </c>
      <c r="D225" vm="990">
        <f ca="1"/>
        <v>12.94</v>
      </c>
      <c r="E225" vm="930">
        <f ca="1"/>
        <v>12.49</v>
      </c>
      <c r="F225" vm="991">
        <f ca="1"/>
        <v>74048860</v>
      </c>
    </row>
    <row r="226" spans="1:6" x14ac:dyDescent="0.25">
      <c r="A226" vm="403">
        <f ca="1"/>
        <v>45985</v>
      </c>
      <c r="B226" vm="404">
        <f ca="1"/>
        <v>12.96</v>
      </c>
      <c r="C226" vm="992">
        <f ca="1"/>
        <v>12.84</v>
      </c>
      <c r="D226" vm="958">
        <f ca="1"/>
        <v>12.98</v>
      </c>
      <c r="E226" vm="993">
        <f ca="1"/>
        <v>12.824999999999999</v>
      </c>
      <c r="F226" vm="994">
        <f ca="1"/>
        <v>52936240</v>
      </c>
    </row>
    <row r="227" spans="1:6" x14ac:dyDescent="0.25">
      <c r="A227" vm="405">
        <f ca="1"/>
        <v>45986</v>
      </c>
      <c r="B227" vm="406">
        <f ca="1"/>
        <v>13.17</v>
      </c>
      <c r="C227" vm="948">
        <f ca="1"/>
        <v>12.99</v>
      </c>
      <c r="D227" vm="365">
        <f ca="1"/>
        <v>13.26</v>
      </c>
      <c r="E227" vm="995">
        <f ca="1"/>
        <v>12.975</v>
      </c>
      <c r="F227" vm="996">
        <f ca="1"/>
        <v>52884970</v>
      </c>
    </row>
    <row r="228" spans="1:6" x14ac:dyDescent="0.25">
      <c r="A228" vm="407">
        <f ca="1"/>
        <v>45987</v>
      </c>
      <c r="B228" vm="392">
        <f ca="1"/>
        <v>13.19</v>
      </c>
      <c r="C228" vm="406">
        <f ca="1"/>
        <v>13.17</v>
      </c>
      <c r="D228" vm="365">
        <f ca="1"/>
        <v>13.26</v>
      </c>
      <c r="E228" vm="380">
        <f ca="1"/>
        <v>13.12</v>
      </c>
      <c r="F228" vm="997">
        <f ca="1"/>
        <v>44942203</v>
      </c>
    </row>
    <row r="229" spans="1:6" x14ac:dyDescent="0.25">
      <c r="A229" vm="408">
        <f ca="1"/>
        <v>45989</v>
      </c>
      <c r="B229" vm="390">
        <f ca="1"/>
        <v>13.28</v>
      </c>
      <c r="C229" vm="998">
        <f ca="1"/>
        <v>13.205</v>
      </c>
      <c r="D229" vm="999">
        <f ca="1"/>
        <v>13.34</v>
      </c>
      <c r="E229" vm="973">
        <f ca="1"/>
        <v>13.18</v>
      </c>
      <c r="F229" vm="1000">
        <f ca="1"/>
        <v>29536180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4CE2-4D80-4EB5-86BE-85384F5DEB3A}">
  <dimension ref="A1:F101"/>
  <sheetViews>
    <sheetView zoomScale="85" zoomScaleNormal="85" workbookViewId="0"/>
  </sheetViews>
  <sheetFormatPr defaultRowHeight="15" x14ac:dyDescent="0.25"/>
  <cols>
    <col min="1" max="1" width="10.5703125" bestFit="1" customWidth="1"/>
    <col min="5" max="5" width="10.140625" bestFit="1" customWidth="1"/>
    <col min="6" max="6" width="12.7109375" bestFit="1" customWidth="1"/>
  </cols>
  <sheetData>
    <row r="1" spans="1:6" x14ac:dyDescent="0.25">
      <c r="A1" t="str" cm="1">
        <f t="array" aca="1" ref="A1:F101" ca="1">_xlfn.STOCKHISTORY("F", DATE(YEAR(TODAY())-1,1,1), TODAY(),1,1,0,1,2,3,4,5)</f>
        <v>Date</v>
      </c>
      <c r="B1" t="str">
        <f ca="1"/>
        <v>Close</v>
      </c>
      <c r="C1" t="str">
        <f ca="1"/>
        <v>Open</v>
      </c>
      <c r="D1" t="str">
        <f ca="1"/>
        <v>High</v>
      </c>
      <c r="E1" t="str">
        <f ca="1"/>
        <v>Low</v>
      </c>
      <c r="F1" t="str">
        <f ca="1"/>
        <v>Volume</v>
      </c>
    </row>
    <row r="2" spans="1:6" x14ac:dyDescent="0.25">
      <c r="A2" vm="1001">
        <f ca="1"/>
        <v>45293</v>
      </c>
      <c r="B2" vm="1002">
        <f ca="1"/>
        <v>11.6625</v>
      </c>
      <c r="C2" vm="1003">
        <f ca="1"/>
        <v>11.849500000000001</v>
      </c>
      <c r="D2" vm="1004">
        <f ca="1"/>
        <v>12.184100000000001</v>
      </c>
      <c r="E2" vm="1005">
        <f ca="1"/>
        <v>11.446</v>
      </c>
      <c r="F2" vm="1006">
        <f ca="1"/>
        <v>220466869</v>
      </c>
    </row>
    <row r="3" spans="1:6" x14ac:dyDescent="0.25">
      <c r="A3" vm="1007">
        <f ca="1"/>
        <v>45299</v>
      </c>
      <c r="B3" vm="1008">
        <f ca="1"/>
        <v>11.278700000000001</v>
      </c>
      <c r="C3" vm="1002">
        <f ca="1"/>
        <v>11.6625</v>
      </c>
      <c r="D3" vm="1009">
        <f ca="1"/>
        <v>11.859400000000001</v>
      </c>
      <c r="E3" vm="1010">
        <f ca="1"/>
        <v>11.2295</v>
      </c>
      <c r="F3" vm="1011">
        <f ca="1"/>
        <v>236046571</v>
      </c>
    </row>
    <row r="4" spans="1:6" x14ac:dyDescent="0.25">
      <c r="A4" vm="1012">
        <f ca="1"/>
        <v>45307</v>
      </c>
      <c r="B4" vm="1013">
        <f ca="1"/>
        <v>11.0228</v>
      </c>
      <c r="C4" vm="1014">
        <f ca="1"/>
        <v>11.1212</v>
      </c>
      <c r="D4" vm="1015">
        <f ca="1"/>
        <v>11.318099999999999</v>
      </c>
      <c r="E4" vm="1016">
        <f ca="1"/>
        <v>10.653700000000001</v>
      </c>
      <c r="F4" vm="1017">
        <f ca="1"/>
        <v>234397718</v>
      </c>
    </row>
    <row r="5" spans="1:6" x14ac:dyDescent="0.25">
      <c r="A5" vm="1018">
        <f ca="1"/>
        <v>45313</v>
      </c>
      <c r="B5" vm="1019">
        <f ca="1"/>
        <v>11.2098</v>
      </c>
      <c r="C5" vm="1020">
        <f ca="1"/>
        <v>11.052300000000001</v>
      </c>
      <c r="D5" vm="1015">
        <f ca="1"/>
        <v>11.318099999999999</v>
      </c>
      <c r="E5" vm="1021">
        <f ca="1"/>
        <v>10.826000000000001</v>
      </c>
      <c r="F5" vm="1022">
        <f ca="1"/>
        <v>238983894</v>
      </c>
    </row>
    <row r="6" spans="1:6" x14ac:dyDescent="0.25">
      <c r="A6" vm="1023">
        <f ca="1"/>
        <v>45320</v>
      </c>
      <c r="B6" vm="1024">
        <f ca="1"/>
        <v>11.947900000000001</v>
      </c>
      <c r="C6" vm="833">
        <f ca="1"/>
        <v>11.2</v>
      </c>
      <c r="D6" vm="1025">
        <f ca="1"/>
        <v>11.997199999999999</v>
      </c>
      <c r="E6" vm="1014">
        <f ca="1"/>
        <v>11.1212</v>
      </c>
      <c r="F6" vm="1026">
        <f ca="1"/>
        <v>362960548</v>
      </c>
    </row>
    <row r="7" spans="1:6" x14ac:dyDescent="0.25">
      <c r="A7" vm="1027">
        <f ca="1"/>
        <v>45327</v>
      </c>
      <c r="B7" vm="1028">
        <f ca="1"/>
        <v>12.4794</v>
      </c>
      <c r="C7" vm="292">
        <f ca="1"/>
        <v>11.82</v>
      </c>
      <c r="D7" vm="1029">
        <f ca="1"/>
        <v>12.774699999999999</v>
      </c>
      <c r="E7" vm="1030">
        <f ca="1"/>
        <v>11.3574</v>
      </c>
      <c r="F7" vm="1031">
        <f ca="1"/>
        <v>440791593</v>
      </c>
    </row>
    <row r="8" spans="1:6" x14ac:dyDescent="0.25">
      <c r="A8" vm="1032">
        <f ca="1"/>
        <v>45334</v>
      </c>
      <c r="B8" vm="1033">
        <f ca="1"/>
        <v>12.105399999999999</v>
      </c>
      <c r="C8" vm="1028">
        <f ca="1"/>
        <v>12.4794</v>
      </c>
      <c r="D8" vm="1034">
        <f ca="1"/>
        <v>12.863200000000001</v>
      </c>
      <c r="E8" vm="1035">
        <f ca="1"/>
        <v>12.066000000000001</v>
      </c>
      <c r="F8" vm="1036">
        <f ca="1"/>
        <v>280399214</v>
      </c>
    </row>
    <row r="9" spans="1:6" x14ac:dyDescent="0.25">
      <c r="A9" vm="1037">
        <f ca="1"/>
        <v>45342</v>
      </c>
      <c r="B9" vm="1024">
        <f ca="1"/>
        <v>11.947900000000001</v>
      </c>
      <c r="C9" vm="1038">
        <f ca="1"/>
        <v>11.9922</v>
      </c>
      <c r="D9" vm="1039">
        <f ca="1"/>
        <v>12.1349</v>
      </c>
      <c r="E9" vm="1009">
        <f ca="1"/>
        <v>11.859400000000001</v>
      </c>
      <c r="F9" vm="1040">
        <f ca="1"/>
        <v>158135547</v>
      </c>
    </row>
    <row r="10" spans="1:6" x14ac:dyDescent="0.25">
      <c r="A10" vm="1041">
        <f ca="1"/>
        <v>45348</v>
      </c>
      <c r="B10" vm="1042">
        <f ca="1"/>
        <v>12.253</v>
      </c>
      <c r="C10" vm="1043">
        <f ca="1"/>
        <v>11.9381</v>
      </c>
      <c r="D10" vm="1044">
        <f ca="1"/>
        <v>12.44</v>
      </c>
      <c r="E10" vm="1045">
        <f ca="1"/>
        <v>11.760999999999999</v>
      </c>
      <c r="F10" vm="1046">
        <f ca="1"/>
        <v>223595206</v>
      </c>
    </row>
    <row r="11" spans="1:6" x14ac:dyDescent="0.25">
      <c r="A11" vm="1047">
        <f ca="1"/>
        <v>45355</v>
      </c>
      <c r="B11" vm="1048">
        <f ca="1"/>
        <v>11.987299999999999</v>
      </c>
      <c r="C11" vm="1049">
        <f ca="1"/>
        <v>12.3711</v>
      </c>
      <c r="D11" vm="1050">
        <f ca="1"/>
        <v>12.8239</v>
      </c>
      <c r="E11" vm="1024">
        <f ca="1"/>
        <v>11.947900000000001</v>
      </c>
      <c r="F11" vm="1051">
        <f ca="1"/>
        <v>276674180</v>
      </c>
    </row>
    <row r="12" spans="1:6" x14ac:dyDescent="0.25">
      <c r="A12" vm="1052">
        <f ca="1"/>
        <v>45362</v>
      </c>
      <c r="B12" vm="1053">
        <f ca="1"/>
        <v>11.869199999999999</v>
      </c>
      <c r="C12" vm="1043">
        <f ca="1"/>
        <v>11.9381</v>
      </c>
      <c r="D12" vm="1054">
        <f ca="1"/>
        <v>12.2826</v>
      </c>
      <c r="E12" vm="292">
        <f ca="1"/>
        <v>11.82</v>
      </c>
      <c r="F12" vm="1055">
        <f ca="1"/>
        <v>261994532</v>
      </c>
    </row>
    <row r="13" spans="1:6" x14ac:dyDescent="0.25">
      <c r="A13" vm="1056">
        <f ca="1"/>
        <v>45369</v>
      </c>
      <c r="B13" vm="1057">
        <f ca="1"/>
        <v>12.7058</v>
      </c>
      <c r="C13" vm="1024">
        <f ca="1"/>
        <v>11.947900000000001</v>
      </c>
      <c r="D13" vm="1058">
        <f ca="1"/>
        <v>12.853400000000001</v>
      </c>
      <c r="E13" vm="1059">
        <f ca="1"/>
        <v>11.7905</v>
      </c>
      <c r="F13" vm="1060">
        <f ca="1"/>
        <v>229581350</v>
      </c>
    </row>
    <row r="14" spans="1:6" x14ac:dyDescent="0.25">
      <c r="A14" vm="1061">
        <f ca="1"/>
        <v>45376</v>
      </c>
      <c r="B14" vm="1062">
        <f ca="1"/>
        <v>13.069900000000001</v>
      </c>
      <c r="C14" vm="1063">
        <f ca="1"/>
        <v>12.7156</v>
      </c>
      <c r="D14" vm="1064">
        <f ca="1"/>
        <v>13.089600000000001</v>
      </c>
      <c r="E14" vm="1065">
        <f ca="1"/>
        <v>12.2334</v>
      </c>
      <c r="F14" vm="1066">
        <f ca="1"/>
        <v>225168058</v>
      </c>
    </row>
    <row r="15" spans="1:6" x14ac:dyDescent="0.25">
      <c r="A15" vm="1067">
        <f ca="1"/>
        <v>45383</v>
      </c>
      <c r="B15" vm="1062">
        <f ca="1"/>
        <v>13.069900000000001</v>
      </c>
      <c r="C15" vm="1068">
        <f ca="1"/>
        <v>13.1191</v>
      </c>
      <c r="D15" vm="1069">
        <f ca="1"/>
        <v>13.7293</v>
      </c>
      <c r="E15" vm="1070">
        <f ca="1"/>
        <v>12.882899999999999</v>
      </c>
      <c r="F15" vm="1071">
        <f ca="1"/>
        <v>254831786</v>
      </c>
    </row>
    <row r="16" spans="1:6" x14ac:dyDescent="0.25">
      <c r="A16" vm="1072">
        <f ca="1"/>
        <v>45390</v>
      </c>
      <c r="B16" vm="1073">
        <f ca="1"/>
        <v>12.410500000000001</v>
      </c>
      <c r="C16" vm="1074">
        <f ca="1"/>
        <v>13.133900000000001</v>
      </c>
      <c r="D16" vm="1075">
        <f ca="1"/>
        <v>13.375</v>
      </c>
      <c r="E16" vm="1076">
        <f ca="1"/>
        <v>12.302300000000001</v>
      </c>
      <c r="F16" vm="1077">
        <f ca="1"/>
        <v>210914337</v>
      </c>
    </row>
    <row r="17" spans="1:6" x14ac:dyDescent="0.25">
      <c r="A17" vm="1078">
        <f ca="1"/>
        <v>45397</v>
      </c>
      <c r="B17" vm="1024">
        <f ca="1"/>
        <v>11.947900000000001</v>
      </c>
      <c r="C17" vm="1079">
        <f ca="1"/>
        <v>12.538500000000001</v>
      </c>
      <c r="D17" vm="1080">
        <f ca="1"/>
        <v>12.612299999999999</v>
      </c>
      <c r="E17" vm="1081">
        <f ca="1"/>
        <v>11.7523</v>
      </c>
      <c r="F17" vm="1082">
        <f ca="1"/>
        <v>242891616</v>
      </c>
    </row>
    <row r="18" spans="1:6" x14ac:dyDescent="0.25">
      <c r="A18" vm="1083">
        <f ca="1"/>
        <v>45404</v>
      </c>
      <c r="B18" vm="1084">
        <f ca="1"/>
        <v>12.5877</v>
      </c>
      <c r="C18" vm="1085">
        <f ca="1"/>
        <v>12.1153</v>
      </c>
      <c r="D18" vm="1086">
        <f ca="1"/>
        <v>12.971500000000001</v>
      </c>
      <c r="E18" vm="1087">
        <f ca="1"/>
        <v>12.0562</v>
      </c>
      <c r="F18" vm="1088">
        <f ca="1"/>
        <v>373897138</v>
      </c>
    </row>
    <row r="19" spans="1:6" x14ac:dyDescent="0.25">
      <c r="A19" vm="1089">
        <f ca="1"/>
        <v>45411</v>
      </c>
      <c r="B19" vm="1065">
        <f ca="1"/>
        <v>12.2334</v>
      </c>
      <c r="C19" vm="1090">
        <f ca="1"/>
        <v>12.6073</v>
      </c>
      <c r="D19" vm="1091">
        <f ca="1"/>
        <v>12.636900000000001</v>
      </c>
      <c r="E19" vm="1043">
        <f ca="1"/>
        <v>11.9381</v>
      </c>
      <c r="F19" vm="1092">
        <f ca="1"/>
        <v>273723195</v>
      </c>
    </row>
    <row r="20" spans="1:6" x14ac:dyDescent="0.25">
      <c r="A20" vm="1093">
        <f ca="1"/>
        <v>45418</v>
      </c>
      <c r="B20" vm="1094">
        <f ca="1"/>
        <v>11.8003</v>
      </c>
      <c r="C20" vm="1095">
        <f ca="1"/>
        <v>12.3416</v>
      </c>
      <c r="D20" vm="1096">
        <f ca="1"/>
        <v>12.420400000000001</v>
      </c>
      <c r="E20" vm="1097">
        <f ca="1"/>
        <v>11.723699999999999</v>
      </c>
      <c r="F20" vm="1098">
        <f ca="1"/>
        <v>199772430</v>
      </c>
    </row>
    <row r="21" spans="1:6" x14ac:dyDescent="0.25">
      <c r="A21" vm="1099">
        <f ca="1"/>
        <v>45425</v>
      </c>
      <c r="B21" vm="1100">
        <f ca="1"/>
        <v>12.085699999999999</v>
      </c>
      <c r="C21" vm="1009">
        <f ca="1"/>
        <v>11.859400000000001</v>
      </c>
      <c r="D21" vm="1044">
        <f ca="1"/>
        <v>12.44</v>
      </c>
      <c r="E21" vm="1009">
        <f ca="1"/>
        <v>11.859400000000001</v>
      </c>
      <c r="F21" vm="1101">
        <f ca="1"/>
        <v>220687341</v>
      </c>
    </row>
    <row r="22" spans="1:6" x14ac:dyDescent="0.25">
      <c r="A22" vm="1102">
        <f ca="1"/>
        <v>45432</v>
      </c>
      <c r="B22" vm="1103">
        <f ca="1"/>
        <v>11.967599999999999</v>
      </c>
      <c r="C22" vm="1104">
        <f ca="1"/>
        <v>12.075900000000001</v>
      </c>
      <c r="D22" vm="1039">
        <f ca="1"/>
        <v>12.1349</v>
      </c>
      <c r="E22" vm="1105">
        <f ca="1"/>
        <v>11.7806</v>
      </c>
      <c r="F22" vm="1106">
        <f ca="1"/>
        <v>182592170</v>
      </c>
    </row>
    <row r="23" spans="1:6" x14ac:dyDescent="0.25">
      <c r="A23" vm="1107">
        <f ca="1"/>
        <v>45440</v>
      </c>
      <c r="B23" vm="1043">
        <f ca="1"/>
        <v>11.9381</v>
      </c>
      <c r="C23" vm="1108">
        <f ca="1"/>
        <v>11.9184</v>
      </c>
      <c r="D23" vm="1109">
        <f ca="1"/>
        <v>11.957800000000001</v>
      </c>
      <c r="E23" vm="1110">
        <f ca="1"/>
        <v>11.298400000000001</v>
      </c>
      <c r="F23" vm="1111">
        <f ca="1"/>
        <v>205932651</v>
      </c>
    </row>
    <row r="24" spans="1:6" x14ac:dyDescent="0.25">
      <c r="A24" vm="1112">
        <f ca="1"/>
        <v>45446</v>
      </c>
      <c r="B24" vm="1109">
        <f ca="1"/>
        <v>11.957800000000001</v>
      </c>
      <c r="C24" vm="1087">
        <f ca="1"/>
        <v>12.0562</v>
      </c>
      <c r="D24" vm="1113">
        <f ca="1"/>
        <v>12.1251</v>
      </c>
      <c r="E24" vm="1114">
        <f ca="1"/>
        <v>11.632999999999999</v>
      </c>
      <c r="F24" vm="1115">
        <f ca="1"/>
        <v>204282584</v>
      </c>
    </row>
    <row r="25" spans="1:6" x14ac:dyDescent="0.25">
      <c r="A25" vm="1116">
        <f ca="1"/>
        <v>45453</v>
      </c>
      <c r="B25" vm="791">
        <f ca="1"/>
        <v>11.524699999999999</v>
      </c>
      <c r="C25" vm="1043">
        <f ca="1"/>
        <v>11.9381</v>
      </c>
      <c r="D25" vm="1117">
        <f ca="1"/>
        <v>12.321899999999999</v>
      </c>
      <c r="E25" vm="1118">
        <f ca="1"/>
        <v>11.3673</v>
      </c>
      <c r="F25" vm="1119">
        <f ca="1"/>
        <v>268720704</v>
      </c>
    </row>
    <row r="26" spans="1:6" x14ac:dyDescent="0.25">
      <c r="A26" vm="1120">
        <f ca="1"/>
        <v>45460</v>
      </c>
      <c r="B26" vm="1121">
        <f ca="1"/>
        <v>11.652699999999999</v>
      </c>
      <c r="C26" vm="1122">
        <f ca="1"/>
        <v>11.4755</v>
      </c>
      <c r="D26" vm="1105">
        <f ca="1"/>
        <v>11.7806</v>
      </c>
      <c r="E26" vm="1123">
        <f ca="1"/>
        <v>11.4657</v>
      </c>
      <c r="F26" vm="1124">
        <f ca="1"/>
        <v>167310231</v>
      </c>
    </row>
    <row r="27" spans="1:6" x14ac:dyDescent="0.25">
      <c r="A27" vm="1125">
        <f ca="1"/>
        <v>45467</v>
      </c>
      <c r="B27" vm="1095">
        <f ca="1"/>
        <v>12.3416</v>
      </c>
      <c r="C27" vm="1126">
        <f ca="1"/>
        <v>11.741300000000001</v>
      </c>
      <c r="D27" vm="1096">
        <f ca="1"/>
        <v>12.420400000000001</v>
      </c>
      <c r="E27" vm="1127">
        <f ca="1"/>
        <v>11.731400000000001</v>
      </c>
      <c r="F27" vm="1128">
        <f ca="1"/>
        <v>257252113</v>
      </c>
    </row>
    <row r="28" spans="1:6" x14ac:dyDescent="0.25">
      <c r="A28" vm="1129">
        <f ca="1"/>
        <v>45474</v>
      </c>
      <c r="B28" vm="1091">
        <f ca="1"/>
        <v>12.636900000000001</v>
      </c>
      <c r="C28" vm="1130">
        <f ca="1"/>
        <v>12.3613</v>
      </c>
      <c r="D28" vm="1131">
        <f ca="1"/>
        <v>12.755000000000001</v>
      </c>
      <c r="E28" vm="1132">
        <f ca="1"/>
        <v>12.331799999999999</v>
      </c>
      <c r="F28" vm="1133">
        <f ca="1"/>
        <v>164224667</v>
      </c>
    </row>
    <row r="29" spans="1:6" x14ac:dyDescent="0.25">
      <c r="A29" vm="1134">
        <f ca="1"/>
        <v>45481</v>
      </c>
      <c r="B29" vm="1135">
        <f ca="1"/>
        <v>13.808</v>
      </c>
      <c r="C29" vm="1136">
        <f ca="1"/>
        <v>12.764799999999999</v>
      </c>
      <c r="D29" vm="1137">
        <f ca="1"/>
        <v>13.985200000000001</v>
      </c>
      <c r="E29" vm="1138">
        <f ca="1"/>
        <v>12.6762</v>
      </c>
      <c r="F29" vm="1139">
        <f ca="1"/>
        <v>262593926</v>
      </c>
    </row>
    <row r="30" spans="1:6" x14ac:dyDescent="0.25">
      <c r="A30" vm="1140">
        <f ca="1"/>
        <v>45488</v>
      </c>
      <c r="B30" vm="1141">
        <f ca="1"/>
        <v>13.758800000000001</v>
      </c>
      <c r="C30" vm="1137">
        <f ca="1"/>
        <v>13.985200000000001</v>
      </c>
      <c r="D30" vm="1142">
        <f ca="1"/>
        <v>14.6151</v>
      </c>
      <c r="E30" vm="1143">
        <f ca="1"/>
        <v>13.7392</v>
      </c>
      <c r="F30" vm="1144">
        <f ca="1"/>
        <v>314735186</v>
      </c>
    </row>
    <row r="31" spans="1:6" x14ac:dyDescent="0.25">
      <c r="A31" vm="1145">
        <f ca="1"/>
        <v>45495</v>
      </c>
      <c r="B31" vm="1146">
        <f ca="1"/>
        <v>11.013</v>
      </c>
      <c r="C31" vm="1147">
        <f ca="1"/>
        <v>13.798299999999999</v>
      </c>
      <c r="D31" vm="1148">
        <f ca="1"/>
        <v>13.9557</v>
      </c>
      <c r="E31" vm="1149">
        <f ca="1"/>
        <v>10.8752</v>
      </c>
      <c r="F31" vm="1150">
        <f ca="1"/>
        <v>574962896</v>
      </c>
    </row>
    <row r="32" spans="1:6" x14ac:dyDescent="0.25">
      <c r="A32" vm="1151">
        <f ca="1"/>
        <v>45502</v>
      </c>
      <c r="B32" vm="25">
        <f ca="1"/>
        <v>9.8712999999999997</v>
      </c>
      <c r="C32" vm="1152">
        <f ca="1"/>
        <v>11.0031</v>
      </c>
      <c r="D32" vm="1152">
        <f ca="1"/>
        <v>11.0031</v>
      </c>
      <c r="E32" vm="1153">
        <f ca="1"/>
        <v>9.8417999999999992</v>
      </c>
      <c r="F32" vm="1154">
        <f ca="1"/>
        <v>414255529</v>
      </c>
    </row>
    <row r="33" spans="1:6" x14ac:dyDescent="0.25">
      <c r="A33" vm="1155">
        <f ca="1"/>
        <v>45509</v>
      </c>
      <c r="B33" vm="519">
        <f ca="1"/>
        <v>9.9402000000000008</v>
      </c>
      <c r="C33" vm="1156">
        <f ca="1"/>
        <v>9.4087999999999994</v>
      </c>
      <c r="D33" vm="508">
        <f ca="1"/>
        <v>10.0878</v>
      </c>
      <c r="E33" vm="538">
        <f ca="1"/>
        <v>9.3399000000000001</v>
      </c>
      <c r="F33" vm="1157">
        <f ca="1"/>
        <v>425494048</v>
      </c>
    </row>
    <row r="34" spans="1:6" x14ac:dyDescent="0.25">
      <c r="A34" vm="1158">
        <f ca="1"/>
        <v>45516</v>
      </c>
      <c r="B34" vm="413">
        <f ca="1"/>
        <v>10.3437</v>
      </c>
      <c r="C34" vm="519">
        <f ca="1"/>
        <v>9.9402000000000008</v>
      </c>
      <c r="D34" vm="1159">
        <f ca="1"/>
        <v>10.348699999999999</v>
      </c>
      <c r="E34" vm="1160">
        <f ca="1"/>
        <v>9.6153999999999993</v>
      </c>
      <c r="F34" vm="1161">
        <f ca="1"/>
        <v>217086067</v>
      </c>
    </row>
    <row r="35" spans="1:6" x14ac:dyDescent="0.25">
      <c r="A35" vm="1162">
        <f ca="1"/>
        <v>45523</v>
      </c>
      <c r="B35" vm="1163">
        <f ca="1"/>
        <v>11.091699999999999</v>
      </c>
      <c r="C35" vm="1164">
        <f ca="1"/>
        <v>10.392899999999999</v>
      </c>
      <c r="D35" vm="1165">
        <f ca="1"/>
        <v>11.101599999999999</v>
      </c>
      <c r="E35" vm="1166">
        <f ca="1"/>
        <v>10.3733</v>
      </c>
      <c r="F35" vm="1167">
        <f ca="1"/>
        <v>241801554</v>
      </c>
    </row>
    <row r="36" spans="1:6" x14ac:dyDescent="0.25">
      <c r="A36" vm="1168">
        <f ca="1"/>
        <v>45530</v>
      </c>
      <c r="B36" vm="1146">
        <f ca="1"/>
        <v>11.013</v>
      </c>
      <c r="C36" vm="1169">
        <f ca="1"/>
        <v>11.1409</v>
      </c>
      <c r="D36" vm="1170">
        <f ca="1"/>
        <v>11.190099999999999</v>
      </c>
      <c r="E36" vm="1171">
        <f ca="1"/>
        <v>10.8063</v>
      </c>
      <c r="F36" vm="1172">
        <f ca="1"/>
        <v>226909417</v>
      </c>
    </row>
    <row r="37" spans="1:6" x14ac:dyDescent="0.25">
      <c r="A37" vm="1173">
        <f ca="1"/>
        <v>45538</v>
      </c>
      <c r="B37" vm="1174">
        <f ca="1"/>
        <v>10.412599999999999</v>
      </c>
      <c r="C37" vm="1175">
        <f ca="1"/>
        <v>10.9047</v>
      </c>
      <c r="D37" vm="1176">
        <f ca="1"/>
        <v>10.9785</v>
      </c>
      <c r="E37" vm="1177">
        <f ca="1"/>
        <v>10.3634</v>
      </c>
      <c r="F37" vm="1178">
        <f ca="1"/>
        <v>198718751</v>
      </c>
    </row>
    <row r="38" spans="1:6" x14ac:dyDescent="0.25">
      <c r="A38" vm="1179">
        <f ca="1"/>
        <v>45544</v>
      </c>
      <c r="B38" vm="1180">
        <f ca="1"/>
        <v>10.520899999999999</v>
      </c>
      <c r="C38" vm="1181">
        <f ca="1"/>
        <v>10.4421</v>
      </c>
      <c r="D38" vm="1182">
        <f ca="1"/>
        <v>10.619300000000001</v>
      </c>
      <c r="E38" vm="1183">
        <f ca="1"/>
        <v>9.9696999999999996</v>
      </c>
      <c r="F38" vm="1184">
        <f ca="1"/>
        <v>240885760</v>
      </c>
    </row>
    <row r="39" spans="1:6" x14ac:dyDescent="0.25">
      <c r="A39" vm="1185">
        <f ca="1"/>
        <v>45551</v>
      </c>
      <c r="B39" vm="1186">
        <f ca="1"/>
        <v>10.7079</v>
      </c>
      <c r="C39" vm="1187">
        <f ca="1"/>
        <v>10.5701</v>
      </c>
      <c r="D39" vm="1188">
        <f ca="1"/>
        <v>11.1311</v>
      </c>
      <c r="E39" vm="1180">
        <f ca="1"/>
        <v>10.520899999999999</v>
      </c>
      <c r="F39" vm="1189">
        <f ca="1"/>
        <v>267363556</v>
      </c>
    </row>
    <row r="40" spans="1:6" x14ac:dyDescent="0.25">
      <c r="A40" vm="1190">
        <f ca="1"/>
        <v>45558</v>
      </c>
      <c r="B40" vm="1191">
        <f ca="1"/>
        <v>10.609500000000001</v>
      </c>
      <c r="C40" vm="1192">
        <f ca="1"/>
        <v>10.6685</v>
      </c>
      <c r="D40" vm="1021">
        <f ca="1"/>
        <v>10.826000000000001</v>
      </c>
      <c r="E40" vm="1193">
        <f ca="1"/>
        <v>10.156700000000001</v>
      </c>
      <c r="F40" vm="1194">
        <f ca="1"/>
        <v>253160255</v>
      </c>
    </row>
    <row r="41" spans="1:6" x14ac:dyDescent="0.25">
      <c r="A41" vm="1195">
        <f ca="1"/>
        <v>45565</v>
      </c>
      <c r="B41" vm="1196">
        <f ca="1"/>
        <v>10.402799999999999</v>
      </c>
      <c r="C41" vm="1197">
        <f ca="1"/>
        <v>10.3142</v>
      </c>
      <c r="D41" vm="1198">
        <f ca="1"/>
        <v>10.6439</v>
      </c>
      <c r="E41" vm="1199">
        <f ca="1"/>
        <v>10.166600000000001</v>
      </c>
      <c r="F41" vm="1200">
        <f ca="1"/>
        <v>269824867</v>
      </c>
    </row>
    <row r="42" spans="1:6" x14ac:dyDescent="0.25">
      <c r="A42" vm="1201">
        <f ca="1"/>
        <v>45572</v>
      </c>
      <c r="B42" vm="1202">
        <f ca="1"/>
        <v>10.5504</v>
      </c>
      <c r="C42" vm="1203">
        <f ca="1"/>
        <v>10.383100000000001</v>
      </c>
      <c r="D42" vm="1204">
        <f ca="1"/>
        <v>10.629099999999999</v>
      </c>
      <c r="E42" vm="31">
        <f ca="1"/>
        <v>10.2158</v>
      </c>
      <c r="F42" vm="1205">
        <f ca="1"/>
        <v>199298793</v>
      </c>
    </row>
    <row r="43" spans="1:6" x14ac:dyDescent="0.25">
      <c r="A43" vm="1206">
        <f ca="1"/>
        <v>45579</v>
      </c>
      <c r="B43" vm="1207">
        <f ca="1"/>
        <v>10.9244</v>
      </c>
      <c r="C43" vm="1208">
        <f ca="1"/>
        <v>10.5406</v>
      </c>
      <c r="D43" vm="1152">
        <f ca="1"/>
        <v>11.0031</v>
      </c>
      <c r="E43" vm="1209">
        <f ca="1"/>
        <v>10.4864</v>
      </c>
      <c r="F43" vm="1210">
        <f ca="1"/>
        <v>209032596</v>
      </c>
    </row>
    <row r="44" spans="1:6" x14ac:dyDescent="0.25">
      <c r="A44" vm="1211">
        <f ca="1"/>
        <v>45586</v>
      </c>
      <c r="B44" vm="1212">
        <f ca="1"/>
        <v>10.8949</v>
      </c>
      <c r="C44" vm="1175">
        <f ca="1"/>
        <v>10.9047</v>
      </c>
      <c r="D44" vm="1213">
        <f ca="1"/>
        <v>11.1508</v>
      </c>
      <c r="E44" vm="1214">
        <f ca="1"/>
        <v>10.6882</v>
      </c>
      <c r="F44" vm="1215">
        <f ca="1"/>
        <v>217235431</v>
      </c>
    </row>
    <row r="45" spans="1:6" x14ac:dyDescent="0.25">
      <c r="A45" vm="1216">
        <f ca="1"/>
        <v>45593</v>
      </c>
      <c r="B45" vm="1217">
        <f ca="1"/>
        <v>10.058299999999999</v>
      </c>
      <c r="C45" vm="1218">
        <f ca="1"/>
        <v>10.9884</v>
      </c>
      <c r="D45" vm="1019">
        <f ca="1"/>
        <v>11.2098</v>
      </c>
      <c r="E45" vm="21">
        <f ca="1"/>
        <v>10.019</v>
      </c>
      <c r="F45" vm="1219">
        <f ca="1"/>
        <v>425348730</v>
      </c>
    </row>
    <row r="46" spans="1:6" x14ac:dyDescent="0.25">
      <c r="A46" vm="1220">
        <f ca="1"/>
        <v>45600</v>
      </c>
      <c r="B46" vm="1221">
        <f ca="1"/>
        <v>10.7965</v>
      </c>
      <c r="C46" vm="521">
        <f ca="1"/>
        <v>10.068199999999999</v>
      </c>
      <c r="D46" vm="1020">
        <f ca="1"/>
        <v>11.052300000000001</v>
      </c>
      <c r="E46" vm="521">
        <f ca="1"/>
        <v>10.068199999999999</v>
      </c>
      <c r="F46" vm="1222">
        <f ca="1"/>
        <v>311209296</v>
      </c>
    </row>
    <row r="47" spans="1:6" x14ac:dyDescent="0.25">
      <c r="A47" vm="1223">
        <f ca="1"/>
        <v>45607</v>
      </c>
      <c r="B47" vm="1224">
        <f ca="1"/>
        <v>10.835800000000001</v>
      </c>
      <c r="C47" vm="1212">
        <f ca="1"/>
        <v>10.8949</v>
      </c>
      <c r="D47" vm="1169">
        <f ca="1"/>
        <v>11.1409</v>
      </c>
      <c r="E47" vm="1225">
        <f ca="1"/>
        <v>10.7768</v>
      </c>
      <c r="F47" vm="1226">
        <f ca="1"/>
        <v>276757329</v>
      </c>
    </row>
    <row r="48" spans="1:6" x14ac:dyDescent="0.25">
      <c r="A48" vm="1227">
        <f ca="1"/>
        <v>45614</v>
      </c>
      <c r="B48" vm="1152">
        <f ca="1"/>
        <v>11.0031</v>
      </c>
      <c r="C48" vm="1149">
        <f ca="1"/>
        <v>10.8752</v>
      </c>
      <c r="D48" vm="833">
        <f ca="1"/>
        <v>11.2</v>
      </c>
      <c r="E48" vm="1181">
        <f ca="1"/>
        <v>10.4421</v>
      </c>
      <c r="F48" vm="1228">
        <f ca="1"/>
        <v>310547701</v>
      </c>
    </row>
    <row r="49" spans="1:6" x14ac:dyDescent="0.25">
      <c r="A49" vm="409">
        <f ca="1"/>
        <v>45621</v>
      </c>
      <c r="B49" vm="410">
        <f ca="1"/>
        <v>10.953900000000001</v>
      </c>
      <c r="C49" vm="1014">
        <f ca="1"/>
        <v>11.1212</v>
      </c>
      <c r="D49" vm="1229">
        <f ca="1"/>
        <v>11.3378</v>
      </c>
      <c r="E49" vm="1230">
        <f ca="1"/>
        <v>10.8653</v>
      </c>
      <c r="F49" vm="411">
        <f ca="1"/>
        <v>171043339</v>
      </c>
    </row>
    <row r="50" spans="1:6" x14ac:dyDescent="0.25">
      <c r="A50" vm="412">
        <f ca="1"/>
        <v>45628</v>
      </c>
      <c r="B50" vm="413">
        <f ca="1"/>
        <v>10.3437</v>
      </c>
      <c r="C50" vm="1231">
        <f ca="1"/>
        <v>11.0425</v>
      </c>
      <c r="D50" vm="1232">
        <f ca="1"/>
        <v>11.0671</v>
      </c>
      <c r="E50" vm="416">
        <f ca="1"/>
        <v>10.2256</v>
      </c>
      <c r="F50" vm="414">
        <f ca="1"/>
        <v>289691308</v>
      </c>
    </row>
    <row r="51" spans="1:6" x14ac:dyDescent="0.25">
      <c r="A51" vm="415">
        <f ca="1"/>
        <v>45635</v>
      </c>
      <c r="B51" vm="416">
        <f ca="1"/>
        <v>10.2256</v>
      </c>
      <c r="C51" vm="1233">
        <f ca="1"/>
        <v>10.388</v>
      </c>
      <c r="D51" vm="1204">
        <f ca="1"/>
        <v>10.629099999999999</v>
      </c>
      <c r="E51" vm="1234">
        <f ca="1"/>
        <v>10.1174</v>
      </c>
      <c r="F51" vm="417">
        <f ca="1"/>
        <v>241617133</v>
      </c>
    </row>
    <row r="52" spans="1:6" x14ac:dyDescent="0.25">
      <c r="A52" vm="418">
        <f ca="1"/>
        <v>45642</v>
      </c>
      <c r="B52" vm="4">
        <f ca="1"/>
        <v>9.7236999999999991</v>
      </c>
      <c r="C52" vm="1235">
        <f ca="1"/>
        <v>9.9107000000000003</v>
      </c>
      <c r="D52" vm="29">
        <f ca="1"/>
        <v>9.9598999999999993</v>
      </c>
      <c r="E52" vm="1236">
        <f ca="1"/>
        <v>9.5071999999999992</v>
      </c>
      <c r="F52" vm="419">
        <f ca="1"/>
        <v>432885292</v>
      </c>
    </row>
    <row r="53" spans="1:6" x14ac:dyDescent="0.25">
      <c r="A53" vm="420">
        <f ca="1"/>
        <v>45649</v>
      </c>
      <c r="B53" vm="25">
        <f ca="1"/>
        <v>9.8712999999999997</v>
      </c>
      <c r="C53" vm="1237">
        <f ca="1"/>
        <v>9.7139000000000006</v>
      </c>
      <c r="D53" vm="1238">
        <f ca="1"/>
        <v>10.038600000000001</v>
      </c>
      <c r="E53" vm="485">
        <f ca="1"/>
        <v>9.5958000000000006</v>
      </c>
      <c r="F53" vm="421">
        <f ca="1"/>
        <v>171295692</v>
      </c>
    </row>
    <row r="54" spans="1:6" x14ac:dyDescent="0.25">
      <c r="A54" vm="422">
        <f ca="1"/>
        <v>45656</v>
      </c>
      <c r="B54" vm="4">
        <f ca="1"/>
        <v>9.7236999999999991</v>
      </c>
      <c r="C54" vm="17">
        <f ca="1"/>
        <v>9.7926000000000002</v>
      </c>
      <c r="D54" vm="19">
        <f ca="1"/>
        <v>9.8515999999999995</v>
      </c>
      <c r="E54" vm="477">
        <f ca="1"/>
        <v>9.3792000000000009</v>
      </c>
      <c r="F54" vm="423">
        <f ca="1"/>
        <v>249571203</v>
      </c>
    </row>
    <row r="55" spans="1:6" x14ac:dyDescent="0.25">
      <c r="A55" vm="5">
        <f ca="1"/>
        <v>45663</v>
      </c>
      <c r="B55" vm="2">
        <f ca="1"/>
        <v>9.4972999999999992</v>
      </c>
      <c r="C55" vm="479">
        <f ca="1"/>
        <v>9.9009</v>
      </c>
      <c r="D55" vm="480">
        <f ca="1"/>
        <v>10.0288</v>
      </c>
      <c r="E55" vm="486">
        <f ca="1"/>
        <v>9.4283999999999999</v>
      </c>
      <c r="F55" vm="424">
        <f ca="1"/>
        <v>265497295</v>
      </c>
    </row>
    <row r="56" spans="1:6" x14ac:dyDescent="0.25">
      <c r="A56" vm="12">
        <f ca="1"/>
        <v>45670</v>
      </c>
      <c r="B56" vm="21">
        <f ca="1"/>
        <v>10.019</v>
      </c>
      <c r="C56" vm="492">
        <f ca="1"/>
        <v>9.5070999999999994</v>
      </c>
      <c r="D56" vm="35">
        <f ca="1"/>
        <v>10.048500000000001</v>
      </c>
      <c r="E56" vm="493">
        <f ca="1"/>
        <v>9.4185999999999996</v>
      </c>
      <c r="F56" vm="425">
        <f ca="1"/>
        <v>291298482</v>
      </c>
    </row>
    <row r="57" spans="1:6" x14ac:dyDescent="0.25">
      <c r="A57" vm="22">
        <f ca="1"/>
        <v>45678</v>
      </c>
      <c r="B57" vm="29">
        <f ca="1"/>
        <v>9.9598999999999993</v>
      </c>
      <c r="C57" vm="504">
        <f ca="1"/>
        <v>10.1371</v>
      </c>
      <c r="D57" vm="505">
        <f ca="1"/>
        <v>10.284700000000001</v>
      </c>
      <c r="E57" vm="499">
        <f ca="1"/>
        <v>9.8123000000000005</v>
      </c>
      <c r="F57" vm="426">
        <f ca="1"/>
        <v>233463537</v>
      </c>
    </row>
    <row r="58" spans="1:6" x14ac:dyDescent="0.25">
      <c r="A58" vm="30">
        <f ca="1"/>
        <v>45684</v>
      </c>
      <c r="B58" vm="33">
        <f ca="1"/>
        <v>9.9205000000000005</v>
      </c>
      <c r="C58" vm="517">
        <f ca="1"/>
        <v>9.9501000000000008</v>
      </c>
      <c r="D58" vm="518">
        <f ca="1"/>
        <v>10.2552</v>
      </c>
      <c r="E58" vm="6">
        <f ca="1"/>
        <v>9.7630999999999997</v>
      </c>
      <c r="F58" vm="427">
        <f ca="1"/>
        <v>415204963</v>
      </c>
    </row>
    <row r="59" spans="1:6" x14ac:dyDescent="0.25">
      <c r="A59" vm="37">
        <f ca="1"/>
        <v>45691</v>
      </c>
      <c r="B59" vm="44">
        <f ca="1"/>
        <v>9.0937999999999999</v>
      </c>
      <c r="C59" vm="483">
        <f ca="1"/>
        <v>9.5662000000000003</v>
      </c>
      <c r="D59" vm="535">
        <f ca="1"/>
        <v>10.1518</v>
      </c>
      <c r="E59" vm="542">
        <f ca="1"/>
        <v>9.0348000000000006</v>
      </c>
      <c r="F59" vm="428">
        <f ca="1"/>
        <v>699003888</v>
      </c>
    </row>
    <row r="60" spans="1:6" x14ac:dyDescent="0.25">
      <c r="A60" vm="45">
        <f ca="1"/>
        <v>45698</v>
      </c>
      <c r="B60" vm="53">
        <f ca="1"/>
        <v>9.33</v>
      </c>
      <c r="C60" vm="544">
        <f ca="1"/>
        <v>9.1036999999999999</v>
      </c>
      <c r="D60" vm="556">
        <f ca="1"/>
        <v>9.3596000000000004</v>
      </c>
      <c r="E60" vm="551">
        <f ca="1"/>
        <v>8.9559999999999995</v>
      </c>
      <c r="F60" vm="429">
        <f ca="1"/>
        <v>325337135</v>
      </c>
    </row>
    <row r="61" spans="1:6" x14ac:dyDescent="0.25">
      <c r="A61" vm="54">
        <f ca="1"/>
        <v>45706</v>
      </c>
      <c r="B61" vm="61">
        <f ca="1"/>
        <v>9.2799999999999994</v>
      </c>
      <c r="C61" vm="559">
        <f ca="1"/>
        <v>9.32</v>
      </c>
      <c r="D61" vm="568">
        <f ca="1"/>
        <v>9.41</v>
      </c>
      <c r="E61" vm="563">
        <f ca="1"/>
        <v>9.2100000000000009</v>
      </c>
      <c r="F61" vm="430">
        <f ca="1"/>
        <v>210592944</v>
      </c>
    </row>
    <row r="62" spans="1:6" x14ac:dyDescent="0.25">
      <c r="A62" vm="62">
        <f ca="1"/>
        <v>45712</v>
      </c>
      <c r="B62" vm="70">
        <f ca="1"/>
        <v>9.5500000000000007</v>
      </c>
      <c r="C62" vm="570">
        <f ca="1"/>
        <v>9.3049999999999997</v>
      </c>
      <c r="D62" vm="83">
        <f ca="1"/>
        <v>9.69</v>
      </c>
      <c r="E62" vm="563">
        <f ca="1"/>
        <v>9.2100000000000009</v>
      </c>
      <c r="F62" vm="431">
        <f ca="1"/>
        <v>457898876</v>
      </c>
    </row>
    <row r="63" spans="1:6" x14ac:dyDescent="0.25">
      <c r="A63" vm="71">
        <f ca="1"/>
        <v>45719</v>
      </c>
      <c r="B63" vm="79">
        <f ca="1"/>
        <v>9.9</v>
      </c>
      <c r="C63" vm="129">
        <f ca="1"/>
        <v>9.7100000000000009</v>
      </c>
      <c r="D63" vm="81">
        <f ca="1"/>
        <v>9.9600000000000009</v>
      </c>
      <c r="E63" vm="585">
        <f ca="1"/>
        <v>9.06</v>
      </c>
      <c r="F63" vm="432">
        <f ca="1"/>
        <v>767036393</v>
      </c>
    </row>
    <row r="64" spans="1:6" x14ac:dyDescent="0.25">
      <c r="A64" vm="80">
        <f ca="1"/>
        <v>45726</v>
      </c>
      <c r="B64" vm="89">
        <f ca="1"/>
        <v>9.73</v>
      </c>
      <c r="C64" vm="595">
        <f ca="1"/>
        <v>9.77</v>
      </c>
      <c r="D64" vm="596">
        <f ca="1"/>
        <v>10.14</v>
      </c>
      <c r="E64" vm="576">
        <f ca="1"/>
        <v>9.4600000000000009</v>
      </c>
      <c r="F64" vm="433">
        <f ca="1"/>
        <v>736366766</v>
      </c>
    </row>
    <row r="65" spans="1:6" x14ac:dyDescent="0.25">
      <c r="A65" vm="90">
        <f ca="1"/>
        <v>45733</v>
      </c>
      <c r="B65" vm="99">
        <f ca="1"/>
        <v>10</v>
      </c>
      <c r="C65" vm="607">
        <f ca="1"/>
        <v>9.74</v>
      </c>
      <c r="D65" vm="151">
        <f ca="1"/>
        <v>10.28</v>
      </c>
      <c r="E65" vm="607">
        <f ca="1"/>
        <v>9.74</v>
      </c>
      <c r="F65" vm="434">
        <f ca="1"/>
        <v>675753741</v>
      </c>
    </row>
    <row r="66" spans="1:6" x14ac:dyDescent="0.25">
      <c r="A66" vm="100">
        <f ca="1"/>
        <v>45740</v>
      </c>
      <c r="B66" vm="108">
        <f ca="1"/>
        <v>9.7200000000000006</v>
      </c>
      <c r="C66" vm="143">
        <f ca="1"/>
        <v>10.039999999999999</v>
      </c>
      <c r="D66" vm="626">
        <f ca="1"/>
        <v>10.4</v>
      </c>
      <c r="E66" vm="577">
        <f ca="1"/>
        <v>9.6199999999999992</v>
      </c>
      <c r="F66" vm="435">
        <f ca="1"/>
        <v>693398425</v>
      </c>
    </row>
    <row r="67" spans="1:6" x14ac:dyDescent="0.25">
      <c r="A67" vm="109">
        <f ca="1"/>
        <v>45747</v>
      </c>
      <c r="B67" vm="118">
        <f ca="1"/>
        <v>9.58</v>
      </c>
      <c r="C67" vm="631">
        <f ca="1"/>
        <v>9.5749999999999993</v>
      </c>
      <c r="D67" vm="623">
        <f ca="1"/>
        <v>10.27</v>
      </c>
      <c r="E67" vm="589">
        <f ca="1"/>
        <v>9.1999999999999993</v>
      </c>
      <c r="F67" vm="436">
        <f ca="1"/>
        <v>809986245</v>
      </c>
    </row>
    <row r="68" spans="1:6" x14ac:dyDescent="0.25">
      <c r="A68" vm="119">
        <f ca="1"/>
        <v>45754</v>
      </c>
      <c r="B68" vm="53">
        <f ca="1"/>
        <v>9.33</v>
      </c>
      <c r="C68" vm="562">
        <f ca="1"/>
        <v>9.27</v>
      </c>
      <c r="D68" vm="605">
        <f ca="1"/>
        <v>9.64</v>
      </c>
      <c r="E68" vm="649">
        <f ca="1"/>
        <v>8.4405999999999999</v>
      </c>
      <c r="F68" vm="437">
        <f ca="1"/>
        <v>983497398</v>
      </c>
    </row>
    <row r="69" spans="1:6" x14ac:dyDescent="0.25">
      <c r="A69" vm="128">
        <f ca="1"/>
        <v>45761</v>
      </c>
      <c r="B69" vm="135">
        <f ca="1"/>
        <v>9.6300000000000008</v>
      </c>
      <c r="C69" vm="567">
        <f ca="1"/>
        <v>9.3800000000000008</v>
      </c>
      <c r="D69" vm="635">
        <f ca="1"/>
        <v>9.81</v>
      </c>
      <c r="E69" vm="589">
        <f ca="1"/>
        <v>9.1999999999999993</v>
      </c>
      <c r="F69" vm="438">
        <f ca="1"/>
        <v>578433532</v>
      </c>
    </row>
    <row r="70" spans="1:6" x14ac:dyDescent="0.25">
      <c r="A70" vm="136">
        <f ca="1"/>
        <v>45768</v>
      </c>
      <c r="B70" vm="143">
        <f ca="1"/>
        <v>10.039999999999999</v>
      </c>
      <c r="C70" vm="118">
        <f ca="1"/>
        <v>9.58</v>
      </c>
      <c r="D70" vm="191">
        <f ca="1"/>
        <v>10.1</v>
      </c>
      <c r="E70" vm="63">
        <f ca="1"/>
        <v>9.35</v>
      </c>
      <c r="F70" vm="439">
        <f ca="1"/>
        <v>549930964</v>
      </c>
    </row>
    <row r="71" spans="1:6" x14ac:dyDescent="0.25">
      <c r="A71" vm="144">
        <f ca="1"/>
        <v>45775</v>
      </c>
      <c r="B71" vm="151">
        <f ca="1"/>
        <v>10.28</v>
      </c>
      <c r="C71" vm="141">
        <f ca="1"/>
        <v>10.06</v>
      </c>
      <c r="D71" vm="682">
        <f ca="1"/>
        <v>10.39</v>
      </c>
      <c r="E71" vm="678">
        <f ca="1"/>
        <v>9.86</v>
      </c>
      <c r="F71" vm="440">
        <f ca="1"/>
        <v>564199213</v>
      </c>
    </row>
    <row r="72" spans="1:6" x14ac:dyDescent="0.25">
      <c r="A72" vm="152">
        <f ca="1"/>
        <v>45782</v>
      </c>
      <c r="B72" vm="158">
        <f ca="1"/>
        <v>10.43</v>
      </c>
      <c r="C72" vm="685">
        <f ca="1"/>
        <v>10.23</v>
      </c>
      <c r="D72" vm="203">
        <f ca="1"/>
        <v>10.62</v>
      </c>
      <c r="E72" vm="688">
        <f ca="1"/>
        <v>10.055</v>
      </c>
      <c r="F72" vm="441">
        <f ca="1"/>
        <v>538041055</v>
      </c>
    </row>
    <row r="73" spans="1:6" x14ac:dyDescent="0.25">
      <c r="A73" vm="159">
        <f ca="1"/>
        <v>45789</v>
      </c>
      <c r="B73" vm="168">
        <f ca="1"/>
        <v>10.8</v>
      </c>
      <c r="C73" vm="698">
        <f ca="1"/>
        <v>10.56</v>
      </c>
      <c r="D73" vm="708">
        <f ca="1"/>
        <v>10.81</v>
      </c>
      <c r="E73" vm="205">
        <f ca="1"/>
        <v>10.42</v>
      </c>
      <c r="F73" vm="442">
        <f ca="1"/>
        <v>406169398</v>
      </c>
    </row>
    <row r="74" spans="1:6" x14ac:dyDescent="0.25">
      <c r="A74" vm="169">
        <f ca="1"/>
        <v>45796</v>
      </c>
      <c r="B74" vm="176">
        <f ca="1"/>
        <v>10.36</v>
      </c>
      <c r="C74" vm="711">
        <f ca="1"/>
        <v>10.69</v>
      </c>
      <c r="D74" vm="715">
        <f ca="1"/>
        <v>10.84</v>
      </c>
      <c r="E74" vm="103">
        <f ca="1"/>
        <v>10.29</v>
      </c>
      <c r="F74" vm="443">
        <f ca="1"/>
        <v>384950227</v>
      </c>
    </row>
    <row r="75" spans="1:6" x14ac:dyDescent="0.25">
      <c r="A75" vm="177">
        <f ca="1"/>
        <v>45804</v>
      </c>
      <c r="B75" vm="183">
        <f ca="1"/>
        <v>10.38</v>
      </c>
      <c r="C75" vm="717">
        <f ca="1"/>
        <v>10.45</v>
      </c>
      <c r="D75" vm="723">
        <f ca="1"/>
        <v>10.489699999999999</v>
      </c>
      <c r="E75" vm="632">
        <f ca="1"/>
        <v>10.11</v>
      </c>
      <c r="F75" vm="444">
        <f ca="1"/>
        <v>445282935</v>
      </c>
    </row>
    <row r="76" spans="1:6" x14ac:dyDescent="0.25">
      <c r="A76" vm="184">
        <f ca="1"/>
        <v>45810</v>
      </c>
      <c r="B76" vm="193">
        <f ca="1"/>
        <v>10.26</v>
      </c>
      <c r="C76" vm="623">
        <f ca="1"/>
        <v>10.27</v>
      </c>
      <c r="D76" vm="733">
        <f ca="1"/>
        <v>10.365</v>
      </c>
      <c r="E76" vm="609">
        <f ca="1"/>
        <v>9.8800000000000008</v>
      </c>
      <c r="F76" vm="445">
        <f ca="1"/>
        <v>654302478</v>
      </c>
    </row>
    <row r="77" spans="1:6" x14ac:dyDescent="0.25">
      <c r="A77" vm="194">
        <f ca="1"/>
        <v>45817</v>
      </c>
      <c r="B77" vm="158">
        <f ca="1"/>
        <v>10.43</v>
      </c>
      <c r="C77" vm="103">
        <f ca="1"/>
        <v>10.29</v>
      </c>
      <c r="D77" vm="707">
        <f ca="1"/>
        <v>10.77</v>
      </c>
      <c r="E77" vm="103">
        <f ca="1"/>
        <v>10.29</v>
      </c>
      <c r="F77" vm="446">
        <f ca="1"/>
        <v>411188768</v>
      </c>
    </row>
    <row r="78" spans="1:6" x14ac:dyDescent="0.25">
      <c r="A78" vm="202">
        <f ca="1"/>
        <v>45824</v>
      </c>
      <c r="B78" vm="208">
        <f ca="1"/>
        <v>10.59</v>
      </c>
      <c r="C78" vm="719">
        <f ca="1"/>
        <v>10.5</v>
      </c>
      <c r="D78" vm="748">
        <f ca="1"/>
        <v>10.67</v>
      </c>
      <c r="E78" vm="183">
        <f ca="1"/>
        <v>10.38</v>
      </c>
      <c r="F78" vm="447">
        <f ca="1"/>
        <v>375678124</v>
      </c>
    </row>
    <row r="79" spans="1:6" x14ac:dyDescent="0.25">
      <c r="A79" vm="209">
        <f ca="1"/>
        <v>45831</v>
      </c>
      <c r="B79" vm="168">
        <f ca="1"/>
        <v>10.8</v>
      </c>
      <c r="C79" vm="160">
        <f ca="1"/>
        <v>10.55</v>
      </c>
      <c r="D79" vm="762">
        <f ca="1"/>
        <v>10.92</v>
      </c>
      <c r="E79" vm="205">
        <f ca="1"/>
        <v>10.42</v>
      </c>
      <c r="F79" vm="448">
        <f ca="1"/>
        <v>517172850</v>
      </c>
    </row>
    <row r="80" spans="1:6" x14ac:dyDescent="0.25">
      <c r="A80" vm="216">
        <f ca="1"/>
        <v>45838</v>
      </c>
      <c r="B80" vm="223">
        <f ca="1"/>
        <v>11.81</v>
      </c>
      <c r="C80" vm="171">
        <f ca="1"/>
        <v>10.72</v>
      </c>
      <c r="D80" vm="331">
        <f ca="1"/>
        <v>11.96</v>
      </c>
      <c r="E80" vm="766">
        <f ca="1"/>
        <v>10.685</v>
      </c>
      <c r="F80" vm="449">
        <f ca="1"/>
        <v>411266020</v>
      </c>
    </row>
    <row r="81" spans="1:6" x14ac:dyDescent="0.25">
      <c r="A81" vm="224">
        <f ca="1"/>
        <v>45845</v>
      </c>
      <c r="B81" vm="233">
        <f ca="1"/>
        <v>11.78</v>
      </c>
      <c r="C81" vm="774">
        <f ca="1"/>
        <v>11.6</v>
      </c>
      <c r="D81" vm="784">
        <f ca="1"/>
        <v>11.97</v>
      </c>
      <c r="E81" vm="776">
        <f ca="1"/>
        <v>11.48</v>
      </c>
      <c r="F81" vm="450">
        <f ca="1"/>
        <v>344522957</v>
      </c>
    </row>
    <row r="82" spans="1:6" x14ac:dyDescent="0.25">
      <c r="A82" vm="234">
        <f ca="1"/>
        <v>45852</v>
      </c>
      <c r="B82" vm="243">
        <f ca="1"/>
        <v>11.16</v>
      </c>
      <c r="C82" vm="311">
        <f ca="1"/>
        <v>11.76</v>
      </c>
      <c r="D82" vm="790">
        <f ca="1"/>
        <v>11.93</v>
      </c>
      <c r="E82" vm="799">
        <f ca="1"/>
        <v>11.05</v>
      </c>
      <c r="F82" vm="451">
        <f ca="1"/>
        <v>374335931</v>
      </c>
    </row>
    <row r="83" spans="1:6" x14ac:dyDescent="0.25">
      <c r="A83" vm="244">
        <f ca="1"/>
        <v>45859</v>
      </c>
      <c r="B83" vm="253">
        <f ca="1"/>
        <v>11.47</v>
      </c>
      <c r="C83" vm="251">
        <f ca="1"/>
        <v>11.26</v>
      </c>
      <c r="D83" vm="286">
        <f ca="1"/>
        <v>11.49</v>
      </c>
      <c r="E83" vm="257">
        <f ca="1"/>
        <v>11.08</v>
      </c>
      <c r="F83" vm="452">
        <f ca="1"/>
        <v>336952645</v>
      </c>
    </row>
    <row r="84" spans="1:6" x14ac:dyDescent="0.25">
      <c r="A84" vm="254">
        <f ca="1"/>
        <v>45866</v>
      </c>
      <c r="B84" vm="263">
        <f ca="1"/>
        <v>10.82</v>
      </c>
      <c r="C84" vm="776">
        <f ca="1"/>
        <v>11.48</v>
      </c>
      <c r="D84" vm="286">
        <f ca="1"/>
        <v>11.49</v>
      </c>
      <c r="E84" vm="763">
        <f ca="1"/>
        <v>10.68</v>
      </c>
      <c r="F84" vm="453">
        <f ca="1"/>
        <v>367044361</v>
      </c>
    </row>
    <row r="85" spans="1:6" x14ac:dyDescent="0.25">
      <c r="A85" vm="264">
        <f ca="1"/>
        <v>45873</v>
      </c>
      <c r="B85" vm="272">
        <f ca="1"/>
        <v>11.32</v>
      </c>
      <c r="C85" vm="819">
        <f ca="1"/>
        <v>10.89</v>
      </c>
      <c r="D85" vm="828">
        <f ca="1"/>
        <v>11.385</v>
      </c>
      <c r="E85" vm="765">
        <f ca="1"/>
        <v>10.86</v>
      </c>
      <c r="F85" vm="454">
        <f ca="1"/>
        <v>295321212</v>
      </c>
    </row>
    <row r="86" spans="1:6" x14ac:dyDescent="0.25">
      <c r="A86" vm="273">
        <f ca="1"/>
        <v>45880</v>
      </c>
      <c r="B86" vm="278">
        <f ca="1"/>
        <v>11.44</v>
      </c>
      <c r="C86" vm="827">
        <f ca="1"/>
        <v>11.3</v>
      </c>
      <c r="D86" vm="237">
        <f ca="1"/>
        <v>11.57</v>
      </c>
      <c r="E86" vm="267">
        <f ca="1"/>
        <v>11.06</v>
      </c>
      <c r="F86" vm="455">
        <f ca="1"/>
        <v>310787949</v>
      </c>
    </row>
    <row r="87" spans="1:6" x14ac:dyDescent="0.25">
      <c r="A87" vm="281">
        <f ca="1"/>
        <v>45887</v>
      </c>
      <c r="B87" vm="290">
        <f ca="1"/>
        <v>11.74</v>
      </c>
      <c r="C87" vm="843">
        <f ca="1"/>
        <v>11.4</v>
      </c>
      <c r="D87" vm="221">
        <f ca="1"/>
        <v>11.77</v>
      </c>
      <c r="E87" vm="847">
        <f ca="1"/>
        <v>11.195</v>
      </c>
      <c r="F87" vm="456">
        <f ca="1"/>
        <v>251921840</v>
      </c>
    </row>
    <row r="88" spans="1:6" x14ac:dyDescent="0.25">
      <c r="A88" vm="291">
        <f ca="1"/>
        <v>45894</v>
      </c>
      <c r="B88" vm="221">
        <f ca="1"/>
        <v>11.77</v>
      </c>
      <c r="C88" vm="300">
        <f ca="1"/>
        <v>11.72</v>
      </c>
      <c r="D88" vm="355">
        <f ca="1"/>
        <v>11.99</v>
      </c>
      <c r="E88" vm="324">
        <f ca="1"/>
        <v>11.63</v>
      </c>
      <c r="F88" vm="457">
        <f ca="1"/>
        <v>225826906</v>
      </c>
    </row>
    <row r="89" spans="1:6" x14ac:dyDescent="0.25">
      <c r="A89" vm="299">
        <f ca="1"/>
        <v>45902</v>
      </c>
      <c r="B89" vm="290">
        <f ca="1"/>
        <v>11.74</v>
      </c>
      <c r="C89" vm="859">
        <f ca="1"/>
        <v>11.755000000000001</v>
      </c>
      <c r="D89" vm="231">
        <f ca="1"/>
        <v>11.91</v>
      </c>
      <c r="E89" vm="237">
        <f ca="1"/>
        <v>11.57</v>
      </c>
      <c r="F89" vm="458">
        <f ca="1"/>
        <v>186117323</v>
      </c>
    </row>
    <row r="90" spans="1:6" x14ac:dyDescent="0.25">
      <c r="A90" vm="305">
        <f ca="1"/>
        <v>45908</v>
      </c>
      <c r="B90" vm="227">
        <f ca="1"/>
        <v>11.68</v>
      </c>
      <c r="C90" vm="772">
        <f ca="1"/>
        <v>11.75</v>
      </c>
      <c r="D90" vm="223">
        <f ca="1"/>
        <v>11.81</v>
      </c>
      <c r="E90" vm="245">
        <f ca="1"/>
        <v>11.31</v>
      </c>
      <c r="F90" vm="459">
        <f ca="1"/>
        <v>242315520</v>
      </c>
    </row>
    <row r="91" spans="1:6" x14ac:dyDescent="0.25">
      <c r="A91" vm="313">
        <f ca="1"/>
        <v>45915</v>
      </c>
      <c r="B91" vm="302">
        <f ca="1"/>
        <v>11.62</v>
      </c>
      <c r="C91" vm="290">
        <f ca="1"/>
        <v>11.74</v>
      </c>
      <c r="D91" vm="235">
        <f ca="1"/>
        <v>11.88</v>
      </c>
      <c r="E91" vm="875">
        <f ca="1"/>
        <v>11.51</v>
      </c>
      <c r="F91" vm="460">
        <f ca="1"/>
        <v>301309750</v>
      </c>
    </row>
    <row r="92" spans="1:6" x14ac:dyDescent="0.25">
      <c r="A92" vm="320">
        <f ca="1"/>
        <v>45922</v>
      </c>
      <c r="B92" vm="327">
        <f ca="1"/>
        <v>12.01</v>
      </c>
      <c r="C92" vm="774">
        <f ca="1"/>
        <v>11.6</v>
      </c>
      <c r="D92" vm="889">
        <f ca="1"/>
        <v>12.315</v>
      </c>
      <c r="E92" vm="770">
        <f ca="1"/>
        <v>11.37</v>
      </c>
      <c r="F92" vm="461">
        <f ca="1"/>
        <v>359632227</v>
      </c>
    </row>
    <row r="93" spans="1:6" x14ac:dyDescent="0.25">
      <c r="A93" vm="328">
        <f ca="1"/>
        <v>45929</v>
      </c>
      <c r="B93" vm="337">
        <f ca="1"/>
        <v>12.67</v>
      </c>
      <c r="C93" vm="891">
        <f ca="1"/>
        <v>12.1</v>
      </c>
      <c r="D93" vm="337">
        <f ca="1"/>
        <v>12.67</v>
      </c>
      <c r="E93" vm="860">
        <f ca="1"/>
        <v>11.89</v>
      </c>
      <c r="F93" vm="462">
        <f ca="1"/>
        <v>402977577</v>
      </c>
    </row>
    <row r="94" spans="1:6" x14ac:dyDescent="0.25">
      <c r="A94" vm="338">
        <f ca="1"/>
        <v>45936</v>
      </c>
      <c r="B94" vm="346">
        <f ca="1"/>
        <v>11.41</v>
      </c>
      <c r="C94" vm="903">
        <f ca="1"/>
        <v>12.63</v>
      </c>
      <c r="D94" vm="904">
        <f ca="1"/>
        <v>12.8</v>
      </c>
      <c r="E94" vm="219">
        <f ca="1"/>
        <v>11.35</v>
      </c>
      <c r="F94" vm="463">
        <f ca="1"/>
        <v>478320629</v>
      </c>
    </row>
    <row r="95" spans="1:6" x14ac:dyDescent="0.25">
      <c r="A95" vm="347">
        <f ca="1"/>
        <v>45943</v>
      </c>
      <c r="B95" vm="341">
        <f ca="1"/>
        <v>11.92</v>
      </c>
      <c r="C95" vm="286">
        <f ca="1"/>
        <v>11.49</v>
      </c>
      <c r="D95" vm="327">
        <f ca="1"/>
        <v>12.01</v>
      </c>
      <c r="E95" vm="916">
        <f ca="1"/>
        <v>11.34</v>
      </c>
      <c r="F95" vm="464">
        <f ca="1"/>
        <v>468352780</v>
      </c>
    </row>
    <row r="96" spans="1:6" x14ac:dyDescent="0.25">
      <c r="A96" vm="354">
        <f ca="1"/>
        <v>45950</v>
      </c>
      <c r="B96" vm="363">
        <f ca="1"/>
        <v>13.84</v>
      </c>
      <c r="C96" vm="790">
        <f ca="1"/>
        <v>11.93</v>
      </c>
      <c r="D96" vm="934">
        <f ca="1"/>
        <v>13.97</v>
      </c>
      <c r="E96" vm="231">
        <f ca="1"/>
        <v>11.91</v>
      </c>
      <c r="F96" vm="465">
        <f ca="1"/>
        <v>1568301441</v>
      </c>
    </row>
    <row r="97" spans="1:6" x14ac:dyDescent="0.25">
      <c r="A97" vm="364">
        <f ca="1"/>
        <v>45957</v>
      </c>
      <c r="B97" vm="367">
        <f ca="1"/>
        <v>13.13</v>
      </c>
      <c r="C97" vm="937">
        <f ca="1"/>
        <v>13.8</v>
      </c>
      <c r="D97" vm="937">
        <f ca="1"/>
        <v>13.8</v>
      </c>
      <c r="E97" vm="948">
        <f ca="1"/>
        <v>12.99</v>
      </c>
      <c r="F97" vm="466">
        <f ca="1"/>
        <v>514737984</v>
      </c>
    </row>
    <row r="98" spans="1:6" x14ac:dyDescent="0.25">
      <c r="A98" vm="373">
        <f ca="1"/>
        <v>45964</v>
      </c>
      <c r="B98" vm="382">
        <f ca="1"/>
        <v>13.21</v>
      </c>
      <c r="C98" vm="941">
        <f ca="1"/>
        <v>13.1</v>
      </c>
      <c r="D98" vm="956">
        <f ca="1"/>
        <v>13.305</v>
      </c>
      <c r="E98" vm="953">
        <f ca="1"/>
        <v>12.75</v>
      </c>
      <c r="F98" vm="467">
        <f ca="1"/>
        <v>392216688</v>
      </c>
    </row>
    <row r="99" spans="1:6" x14ac:dyDescent="0.25">
      <c r="A99" vm="383">
        <f ca="1"/>
        <v>45971</v>
      </c>
      <c r="B99" vm="392">
        <f ca="1"/>
        <v>13.19</v>
      </c>
      <c r="C99" vm="962">
        <f ca="1"/>
        <v>13.23</v>
      </c>
      <c r="D99" vm="968">
        <f ca="1"/>
        <v>13.5</v>
      </c>
      <c r="E99" vm="964">
        <f ca="1"/>
        <v>13</v>
      </c>
      <c r="F99" vm="468">
        <f ca="1"/>
        <v>343048058</v>
      </c>
    </row>
    <row r="100" spans="1:6" x14ac:dyDescent="0.25">
      <c r="A100" vm="393">
        <f ca="1"/>
        <v>45978</v>
      </c>
      <c r="B100" vm="402">
        <f ca="1"/>
        <v>12.83</v>
      </c>
      <c r="C100" vm="976">
        <f ca="1"/>
        <v>13.1751</v>
      </c>
      <c r="D100" vm="976">
        <f ca="1"/>
        <v>13.1751</v>
      </c>
      <c r="E100" vm="987">
        <f ca="1"/>
        <v>12.38</v>
      </c>
      <c r="F100" vm="469">
        <f ca="1"/>
        <v>363149764</v>
      </c>
    </row>
    <row r="101" spans="1:6" x14ac:dyDescent="0.25">
      <c r="A101" vm="403">
        <f ca="1"/>
        <v>45985</v>
      </c>
      <c r="B101" vm="390">
        <f ca="1"/>
        <v>13.28</v>
      </c>
      <c r="C101" vm="992">
        <f ca="1"/>
        <v>12.84</v>
      </c>
      <c r="D101" vm="999">
        <f ca="1"/>
        <v>13.34</v>
      </c>
      <c r="E101" vm="993">
        <f ca="1"/>
        <v>12.824999999999999</v>
      </c>
      <c r="F101" vm="470">
        <f ca="1"/>
        <v>180299593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Disclaimer</vt:lpstr>
      <vt:lpstr>SMA EMA</vt:lpstr>
      <vt:lpstr>Week</vt:lpstr>
      <vt:lpstr>Basic</vt:lpstr>
      <vt:lpstr>Intro</vt:lpstr>
      <vt:lpstr>All Cols</vt:lpstr>
      <vt:lpstr>stockhistory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Jackson</dc:creator>
  <cp:lastModifiedBy>David Jackson</cp:lastModifiedBy>
  <dcterms:created xsi:type="dcterms:W3CDTF">2025-11-28T19:02:40Z</dcterms:created>
  <dcterms:modified xsi:type="dcterms:W3CDTF">2025-12-02T03:46:23Z</dcterms:modified>
</cp:coreProperties>
</file>