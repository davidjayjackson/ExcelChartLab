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ChartLab\"/>
    </mc:Choice>
  </mc:AlternateContent>
  <xr:revisionPtr revIDLastSave="0" documentId="13_ncr:1_{404DA341-B9C4-410D-9A5E-6AFC2B096CBE}" xr6:coauthVersionLast="47" xr6:coauthVersionMax="47" xr10:uidLastSave="{00000000-0000-0000-0000-000000000000}"/>
  <bookViews>
    <workbookView xWindow="60" yWindow="75" windowWidth="16665" windowHeight="10620" activeTab="1" xr2:uid="{1AACAF4A-115D-4B96-ACDF-E3B9452ECBAA}"/>
  </bookViews>
  <sheets>
    <sheet name="Chart1" sheetId="3" r:id="rId1"/>
    <sheet name="vasgx" sheetId="2" r:id="rId2"/>
    <sheet name="Sheet1" sheetId="1" r:id="rId3"/>
  </sheets>
  <definedNames>
    <definedName name="ExternalData_1" localSheetId="1" hidden="1">vasgx!$A$1:$E$251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2" i="2" l="1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M51" i="2"/>
  <c r="L51" i="2"/>
  <c r="J25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10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51" i="2"/>
  <c r="F22" i="2"/>
  <c r="F23" i="2"/>
  <c r="F24" i="2"/>
  <c r="F25" i="2"/>
  <c r="F26" i="2"/>
  <c r="J26" i="2" s="1"/>
  <c r="F27" i="2"/>
  <c r="F28" i="2"/>
  <c r="K28" i="2" s="1"/>
  <c r="F29" i="2"/>
  <c r="F30" i="2"/>
  <c r="F31" i="2"/>
  <c r="F32" i="2"/>
  <c r="F33" i="2"/>
  <c r="F34" i="2"/>
  <c r="J34" i="2" s="1"/>
  <c r="F35" i="2"/>
  <c r="F36" i="2"/>
  <c r="K36" i="2" s="1"/>
  <c r="F37" i="2"/>
  <c r="F38" i="2"/>
  <c r="F39" i="2"/>
  <c r="F40" i="2"/>
  <c r="F41" i="2"/>
  <c r="F42" i="2"/>
  <c r="J42" i="2" s="1"/>
  <c r="F43" i="2"/>
  <c r="K43" i="2" s="1"/>
  <c r="F44" i="2"/>
  <c r="K44" i="2" s="1"/>
  <c r="F45" i="2"/>
  <c r="F46" i="2"/>
  <c r="F47" i="2"/>
  <c r="F48" i="2"/>
  <c r="F49" i="2"/>
  <c r="F50" i="2"/>
  <c r="J50" i="2" s="1"/>
  <c r="F51" i="2"/>
  <c r="F52" i="2"/>
  <c r="K52" i="2" s="1"/>
  <c r="F53" i="2"/>
  <c r="F54" i="2"/>
  <c r="F55" i="2"/>
  <c r="F56" i="2"/>
  <c r="F57" i="2"/>
  <c r="F58" i="2"/>
  <c r="J58" i="2" s="1"/>
  <c r="F59" i="2"/>
  <c r="F60" i="2"/>
  <c r="K60" i="2" s="1"/>
  <c r="F61" i="2"/>
  <c r="F62" i="2"/>
  <c r="F63" i="2"/>
  <c r="F64" i="2"/>
  <c r="F65" i="2"/>
  <c r="F66" i="2"/>
  <c r="J66" i="2" s="1"/>
  <c r="F67" i="2"/>
  <c r="F68" i="2"/>
  <c r="K68" i="2" s="1"/>
  <c r="F69" i="2"/>
  <c r="F70" i="2"/>
  <c r="F71" i="2"/>
  <c r="F72" i="2"/>
  <c r="F73" i="2"/>
  <c r="F74" i="2"/>
  <c r="J74" i="2" s="1"/>
  <c r="F75" i="2"/>
  <c r="K75" i="2" s="1"/>
  <c r="F76" i="2"/>
  <c r="K76" i="2" s="1"/>
  <c r="F77" i="2"/>
  <c r="F78" i="2"/>
  <c r="F79" i="2"/>
  <c r="F80" i="2"/>
  <c r="F81" i="2"/>
  <c r="F82" i="2"/>
  <c r="J82" i="2" s="1"/>
  <c r="F83" i="2"/>
  <c r="F84" i="2"/>
  <c r="K84" i="2" s="1"/>
  <c r="F85" i="2"/>
  <c r="F86" i="2"/>
  <c r="F87" i="2"/>
  <c r="F88" i="2"/>
  <c r="F89" i="2"/>
  <c r="F90" i="2"/>
  <c r="J90" i="2" s="1"/>
  <c r="F91" i="2"/>
  <c r="F92" i="2"/>
  <c r="K92" i="2" s="1"/>
  <c r="F93" i="2"/>
  <c r="F94" i="2"/>
  <c r="F95" i="2"/>
  <c r="F96" i="2"/>
  <c r="F97" i="2"/>
  <c r="F98" i="2"/>
  <c r="J98" i="2" s="1"/>
  <c r="F99" i="2"/>
  <c r="F100" i="2"/>
  <c r="K100" i="2" s="1"/>
  <c r="F101" i="2"/>
  <c r="F102" i="2"/>
  <c r="F103" i="2"/>
  <c r="F104" i="2"/>
  <c r="F105" i="2"/>
  <c r="F106" i="2"/>
  <c r="J106" i="2" s="1"/>
  <c r="F107" i="2"/>
  <c r="K107" i="2" s="1"/>
  <c r="F108" i="2"/>
  <c r="K108" i="2" s="1"/>
  <c r="F109" i="2"/>
  <c r="F110" i="2"/>
  <c r="F111" i="2"/>
  <c r="F112" i="2"/>
  <c r="F113" i="2"/>
  <c r="F114" i="2"/>
  <c r="J114" i="2" s="1"/>
  <c r="F115" i="2"/>
  <c r="F116" i="2"/>
  <c r="K116" i="2" s="1"/>
  <c r="F117" i="2"/>
  <c r="F118" i="2"/>
  <c r="F119" i="2"/>
  <c r="F120" i="2"/>
  <c r="F121" i="2"/>
  <c r="F122" i="2"/>
  <c r="J122" i="2" s="1"/>
  <c r="F123" i="2"/>
  <c r="F124" i="2"/>
  <c r="K124" i="2" s="1"/>
  <c r="F125" i="2"/>
  <c r="F126" i="2"/>
  <c r="F127" i="2"/>
  <c r="F128" i="2"/>
  <c r="F129" i="2"/>
  <c r="F130" i="2"/>
  <c r="J130" i="2" s="1"/>
  <c r="F131" i="2"/>
  <c r="F132" i="2"/>
  <c r="K132" i="2" s="1"/>
  <c r="F133" i="2"/>
  <c r="F134" i="2"/>
  <c r="F135" i="2"/>
  <c r="F136" i="2"/>
  <c r="F137" i="2"/>
  <c r="F138" i="2"/>
  <c r="J138" i="2" s="1"/>
  <c r="F139" i="2"/>
  <c r="K139" i="2" s="1"/>
  <c r="F140" i="2"/>
  <c r="K140" i="2" s="1"/>
  <c r="F141" i="2"/>
  <c r="F142" i="2"/>
  <c r="F143" i="2"/>
  <c r="F144" i="2"/>
  <c r="F145" i="2"/>
  <c r="F146" i="2"/>
  <c r="J146" i="2" s="1"/>
  <c r="F147" i="2"/>
  <c r="F148" i="2"/>
  <c r="K148" i="2" s="1"/>
  <c r="F149" i="2"/>
  <c r="F150" i="2"/>
  <c r="F151" i="2"/>
  <c r="F152" i="2"/>
  <c r="F153" i="2"/>
  <c r="F154" i="2"/>
  <c r="J154" i="2" s="1"/>
  <c r="F155" i="2"/>
  <c r="F156" i="2"/>
  <c r="K156" i="2" s="1"/>
  <c r="F157" i="2"/>
  <c r="F158" i="2"/>
  <c r="F159" i="2"/>
  <c r="F160" i="2"/>
  <c r="F161" i="2"/>
  <c r="K161" i="2" s="1"/>
  <c r="F162" i="2"/>
  <c r="J162" i="2" s="1"/>
  <c r="F163" i="2"/>
  <c r="J163" i="2" s="1"/>
  <c r="F164" i="2"/>
  <c r="K164" i="2" s="1"/>
  <c r="F165" i="2"/>
  <c r="F166" i="2"/>
  <c r="F167" i="2"/>
  <c r="F168" i="2"/>
  <c r="F169" i="2"/>
  <c r="F170" i="2"/>
  <c r="J170" i="2" s="1"/>
  <c r="F171" i="2"/>
  <c r="K171" i="2" s="1"/>
  <c r="F172" i="2"/>
  <c r="K172" i="2" s="1"/>
  <c r="F173" i="2"/>
  <c r="F174" i="2"/>
  <c r="F175" i="2"/>
  <c r="F176" i="2"/>
  <c r="F177" i="2"/>
  <c r="K177" i="2" s="1"/>
  <c r="F178" i="2"/>
  <c r="J178" i="2" s="1"/>
  <c r="F179" i="2"/>
  <c r="F180" i="2"/>
  <c r="K180" i="2" s="1"/>
  <c r="F181" i="2"/>
  <c r="F182" i="2"/>
  <c r="F183" i="2"/>
  <c r="F184" i="2"/>
  <c r="F185" i="2"/>
  <c r="K185" i="2" s="1"/>
  <c r="F186" i="2"/>
  <c r="J186" i="2" s="1"/>
  <c r="F187" i="2"/>
  <c r="J187" i="2" s="1"/>
  <c r="F188" i="2"/>
  <c r="K188" i="2" s="1"/>
  <c r="F189" i="2"/>
  <c r="F190" i="2"/>
  <c r="F191" i="2"/>
  <c r="F192" i="2"/>
  <c r="F193" i="2"/>
  <c r="K193" i="2" s="1"/>
  <c r="F194" i="2"/>
  <c r="J194" i="2" s="1"/>
  <c r="F195" i="2"/>
  <c r="F196" i="2"/>
  <c r="K196" i="2" s="1"/>
  <c r="F197" i="2"/>
  <c r="F198" i="2"/>
  <c r="F199" i="2"/>
  <c r="F200" i="2"/>
  <c r="F201" i="2"/>
  <c r="K201" i="2" s="1"/>
  <c r="F202" i="2"/>
  <c r="J202" i="2" s="1"/>
  <c r="F203" i="2"/>
  <c r="K203" i="2" s="1"/>
  <c r="F204" i="2"/>
  <c r="K204" i="2" s="1"/>
  <c r="F205" i="2"/>
  <c r="F206" i="2"/>
  <c r="F207" i="2"/>
  <c r="F208" i="2"/>
  <c r="F209" i="2"/>
  <c r="K209" i="2" s="1"/>
  <c r="F210" i="2"/>
  <c r="J210" i="2" s="1"/>
  <c r="F211" i="2"/>
  <c r="J211" i="2" s="1"/>
  <c r="F212" i="2"/>
  <c r="K212" i="2" s="1"/>
  <c r="F213" i="2"/>
  <c r="F214" i="2"/>
  <c r="F215" i="2"/>
  <c r="F216" i="2"/>
  <c r="F217" i="2"/>
  <c r="K217" i="2" s="1"/>
  <c r="F218" i="2"/>
  <c r="J218" i="2" s="1"/>
  <c r="F219" i="2"/>
  <c r="F220" i="2"/>
  <c r="K220" i="2" s="1"/>
  <c r="F221" i="2"/>
  <c r="F222" i="2"/>
  <c r="F223" i="2"/>
  <c r="F224" i="2"/>
  <c r="F225" i="2"/>
  <c r="K225" i="2" s="1"/>
  <c r="F226" i="2"/>
  <c r="J226" i="2" s="1"/>
  <c r="F227" i="2"/>
  <c r="F228" i="2"/>
  <c r="K228" i="2" s="1"/>
  <c r="F229" i="2"/>
  <c r="F230" i="2"/>
  <c r="F231" i="2"/>
  <c r="F232" i="2"/>
  <c r="F233" i="2"/>
  <c r="K233" i="2" s="1"/>
  <c r="F234" i="2"/>
  <c r="J234" i="2" s="1"/>
  <c r="F235" i="2"/>
  <c r="K235" i="2" s="1"/>
  <c r="F236" i="2"/>
  <c r="K236" i="2" s="1"/>
  <c r="F237" i="2"/>
  <c r="F238" i="2"/>
  <c r="F239" i="2"/>
  <c r="F240" i="2"/>
  <c r="F241" i="2"/>
  <c r="K241" i="2" s="1"/>
  <c r="F242" i="2"/>
  <c r="J242" i="2" s="1"/>
  <c r="F243" i="2"/>
  <c r="F244" i="2"/>
  <c r="K244" i="2" s="1"/>
  <c r="F245" i="2"/>
  <c r="F246" i="2"/>
  <c r="F247" i="2"/>
  <c r="F248" i="2"/>
  <c r="F249" i="2"/>
  <c r="K249" i="2" s="1"/>
  <c r="F250" i="2"/>
  <c r="J250" i="2" s="1"/>
  <c r="F251" i="2"/>
  <c r="F21" i="2"/>
  <c r="J107" i="2" l="1"/>
  <c r="K218" i="2"/>
  <c r="K170" i="2"/>
  <c r="K114" i="2"/>
  <c r="K66" i="2"/>
  <c r="J139" i="2"/>
  <c r="K226" i="2"/>
  <c r="K122" i="2"/>
  <c r="K74" i="2"/>
  <c r="J233" i="2"/>
  <c r="J75" i="2"/>
  <c r="K210" i="2"/>
  <c r="K162" i="2"/>
  <c r="K58" i="2"/>
  <c r="K251" i="2"/>
  <c r="J243" i="2"/>
  <c r="J235" i="2"/>
  <c r="K227" i="2"/>
  <c r="K219" i="2"/>
  <c r="K211" i="2"/>
  <c r="J203" i="2"/>
  <c r="J195" i="2"/>
  <c r="K187" i="2"/>
  <c r="J179" i="2"/>
  <c r="J171" i="2"/>
  <c r="K163" i="2"/>
  <c r="K155" i="2"/>
  <c r="J147" i="2"/>
  <c r="K131" i="2"/>
  <c r="K123" i="2"/>
  <c r="J115" i="2"/>
  <c r="K99" i="2"/>
  <c r="K91" i="2"/>
  <c r="J83" i="2"/>
  <c r="K67" i="2"/>
  <c r="K59" i="2"/>
  <c r="J51" i="2"/>
  <c r="K35" i="2"/>
  <c r="K27" i="2"/>
  <c r="J43" i="2"/>
  <c r="K154" i="2"/>
  <c r="K106" i="2"/>
  <c r="K50" i="2"/>
  <c r="J188" i="2"/>
  <c r="K250" i="2"/>
  <c r="K202" i="2"/>
  <c r="K146" i="2"/>
  <c r="K98" i="2"/>
  <c r="K242" i="2"/>
  <c r="K194" i="2"/>
  <c r="K90" i="2"/>
  <c r="K42" i="2"/>
  <c r="J164" i="2"/>
  <c r="K186" i="2"/>
  <c r="K138" i="2"/>
  <c r="K82" i="2"/>
  <c r="K34" i="2"/>
  <c r="K234" i="2"/>
  <c r="K178" i="2"/>
  <c r="K130" i="2"/>
  <c r="K26" i="2"/>
  <c r="J223" i="2"/>
  <c r="K223" i="2"/>
  <c r="J199" i="2"/>
  <c r="K199" i="2"/>
  <c r="J159" i="2"/>
  <c r="K159" i="2"/>
  <c r="J119" i="2"/>
  <c r="K119" i="2"/>
  <c r="J71" i="2"/>
  <c r="K71" i="2"/>
  <c r="J31" i="2"/>
  <c r="K31" i="2"/>
  <c r="J246" i="2"/>
  <c r="K246" i="2"/>
  <c r="J214" i="2"/>
  <c r="K214" i="2"/>
  <c r="J190" i="2"/>
  <c r="K190" i="2"/>
  <c r="J158" i="2"/>
  <c r="K158" i="2"/>
  <c r="J118" i="2"/>
  <c r="K118" i="2"/>
  <c r="J86" i="2"/>
  <c r="K86" i="2"/>
  <c r="J54" i="2"/>
  <c r="K54" i="2"/>
  <c r="J30" i="2"/>
  <c r="K30" i="2"/>
  <c r="J169" i="2"/>
  <c r="K169" i="2"/>
  <c r="J153" i="2"/>
  <c r="K153" i="2"/>
  <c r="J129" i="2"/>
  <c r="K129" i="2"/>
  <c r="J248" i="2"/>
  <c r="K248" i="2"/>
  <c r="J240" i="2"/>
  <c r="K240" i="2"/>
  <c r="K232" i="2"/>
  <c r="J232" i="2"/>
  <c r="J224" i="2"/>
  <c r="K224" i="2"/>
  <c r="J216" i="2"/>
  <c r="K216" i="2"/>
  <c r="K208" i="2"/>
  <c r="J208" i="2"/>
  <c r="J200" i="2"/>
  <c r="K200" i="2"/>
  <c r="K192" i="2"/>
  <c r="J192" i="2"/>
  <c r="J184" i="2"/>
  <c r="K184" i="2"/>
  <c r="K176" i="2"/>
  <c r="J176" i="2"/>
  <c r="J168" i="2"/>
  <c r="K168" i="2"/>
  <c r="K160" i="2"/>
  <c r="J160" i="2"/>
  <c r="J152" i="2"/>
  <c r="K152" i="2"/>
  <c r="K144" i="2"/>
  <c r="J144" i="2"/>
  <c r="J136" i="2"/>
  <c r="K136" i="2"/>
  <c r="K128" i="2"/>
  <c r="J128" i="2"/>
  <c r="J120" i="2"/>
  <c r="K120" i="2"/>
  <c r="K112" i="2"/>
  <c r="J112" i="2"/>
  <c r="K104" i="2"/>
  <c r="J104" i="2"/>
  <c r="J96" i="2"/>
  <c r="K96" i="2"/>
  <c r="K88" i="2"/>
  <c r="J88" i="2"/>
  <c r="J80" i="2"/>
  <c r="K80" i="2"/>
  <c r="J72" i="2"/>
  <c r="K72" i="2"/>
  <c r="K64" i="2"/>
  <c r="J64" i="2"/>
  <c r="J56" i="2"/>
  <c r="K56" i="2"/>
  <c r="J48" i="2"/>
  <c r="K48" i="2"/>
  <c r="J40" i="2"/>
  <c r="K40" i="2"/>
  <c r="J32" i="2"/>
  <c r="K32" i="2"/>
  <c r="K24" i="2"/>
  <c r="J24" i="2"/>
  <c r="J212" i="2"/>
  <c r="J193" i="2"/>
  <c r="J140" i="2"/>
  <c r="J108" i="2"/>
  <c r="J76" i="2"/>
  <c r="J44" i="2"/>
  <c r="K243" i="2"/>
  <c r="K179" i="2"/>
  <c r="K147" i="2"/>
  <c r="K115" i="2"/>
  <c r="K83" i="2"/>
  <c r="K51" i="2"/>
  <c r="J207" i="2"/>
  <c r="K207" i="2"/>
  <c r="J167" i="2"/>
  <c r="K167" i="2"/>
  <c r="J143" i="2"/>
  <c r="K143" i="2"/>
  <c r="J95" i="2"/>
  <c r="K95" i="2"/>
  <c r="J63" i="2"/>
  <c r="K63" i="2"/>
  <c r="J23" i="2"/>
  <c r="K23" i="2"/>
  <c r="J228" i="2"/>
  <c r="J209" i="2"/>
  <c r="J132" i="2"/>
  <c r="J100" i="2"/>
  <c r="J68" i="2"/>
  <c r="J36" i="2"/>
  <c r="J245" i="2"/>
  <c r="J237" i="2"/>
  <c r="J229" i="2"/>
  <c r="J221" i="2"/>
  <c r="J213" i="2"/>
  <c r="J205" i="2"/>
  <c r="J197" i="2"/>
  <c r="J189" i="2"/>
  <c r="J181" i="2"/>
  <c r="J173" i="2"/>
  <c r="J165" i="2"/>
  <c r="J157" i="2"/>
  <c r="J149" i="2"/>
  <c r="J141" i="2"/>
  <c r="J133" i="2"/>
  <c r="J125" i="2"/>
  <c r="J117" i="2"/>
  <c r="J109" i="2"/>
  <c r="J101" i="2"/>
  <c r="J93" i="2"/>
  <c r="J85" i="2"/>
  <c r="J77" i="2"/>
  <c r="J69" i="2"/>
  <c r="J61" i="2"/>
  <c r="J53" i="2"/>
  <c r="J45" i="2"/>
  <c r="J37" i="2"/>
  <c r="J29" i="2"/>
  <c r="J249" i="2"/>
  <c r="J227" i="2"/>
  <c r="J204" i="2"/>
  <c r="J185" i="2"/>
  <c r="J161" i="2"/>
  <c r="J131" i="2"/>
  <c r="J99" i="2"/>
  <c r="J67" i="2"/>
  <c r="J35" i="2"/>
  <c r="J180" i="2"/>
  <c r="J28" i="2"/>
  <c r="J247" i="2"/>
  <c r="K247" i="2"/>
  <c r="J215" i="2"/>
  <c r="K215" i="2"/>
  <c r="J191" i="2"/>
  <c r="K191" i="2"/>
  <c r="J151" i="2"/>
  <c r="K151" i="2"/>
  <c r="J111" i="2"/>
  <c r="K111" i="2"/>
  <c r="J79" i="2"/>
  <c r="K79" i="2"/>
  <c r="J39" i="2"/>
  <c r="K39" i="2"/>
  <c r="J222" i="2"/>
  <c r="K222" i="2"/>
  <c r="P2" i="2" s="1" a="1"/>
  <c r="P2" i="2" s="1"/>
  <c r="J182" i="2"/>
  <c r="K182" i="2"/>
  <c r="J150" i="2"/>
  <c r="K150" i="2"/>
  <c r="J126" i="2"/>
  <c r="K126" i="2"/>
  <c r="J94" i="2"/>
  <c r="K94" i="2"/>
  <c r="J62" i="2"/>
  <c r="K62" i="2"/>
  <c r="J22" i="2"/>
  <c r="K22" i="2"/>
  <c r="J21" i="2"/>
  <c r="K21" i="2"/>
  <c r="J244" i="2"/>
  <c r="J225" i="2"/>
  <c r="J156" i="2"/>
  <c r="J92" i="2"/>
  <c r="J60" i="2"/>
  <c r="K195" i="2"/>
  <c r="J220" i="2"/>
  <c r="J201" i="2"/>
  <c r="J155" i="2"/>
  <c r="J123" i="2"/>
  <c r="J91" i="2"/>
  <c r="J59" i="2"/>
  <c r="J27" i="2"/>
  <c r="J239" i="2"/>
  <c r="K239" i="2"/>
  <c r="J183" i="2"/>
  <c r="K183" i="2"/>
  <c r="J135" i="2"/>
  <c r="K135" i="2"/>
  <c r="J103" i="2"/>
  <c r="K103" i="2"/>
  <c r="J55" i="2"/>
  <c r="K55" i="2"/>
  <c r="J230" i="2"/>
  <c r="K230" i="2"/>
  <c r="J198" i="2"/>
  <c r="K198" i="2"/>
  <c r="J166" i="2"/>
  <c r="K166" i="2"/>
  <c r="J134" i="2"/>
  <c r="K134" i="2"/>
  <c r="J102" i="2"/>
  <c r="K102" i="2"/>
  <c r="J70" i="2"/>
  <c r="K70" i="2"/>
  <c r="J38" i="2"/>
  <c r="K38" i="2"/>
  <c r="J124" i="2"/>
  <c r="J241" i="2"/>
  <c r="J219" i="2"/>
  <c r="J196" i="2"/>
  <c r="J177" i="2"/>
  <c r="J148" i="2"/>
  <c r="J116" i="2"/>
  <c r="J84" i="2"/>
  <c r="J52" i="2"/>
  <c r="J231" i="2"/>
  <c r="K231" i="2"/>
  <c r="J175" i="2"/>
  <c r="K175" i="2"/>
  <c r="J127" i="2"/>
  <c r="K127" i="2"/>
  <c r="J87" i="2"/>
  <c r="K87" i="2"/>
  <c r="J47" i="2"/>
  <c r="K47" i="2"/>
  <c r="J238" i="2"/>
  <c r="K238" i="2"/>
  <c r="J206" i="2"/>
  <c r="K206" i="2"/>
  <c r="J174" i="2"/>
  <c r="K174" i="2"/>
  <c r="J142" i="2"/>
  <c r="K142" i="2"/>
  <c r="J110" i="2"/>
  <c r="K110" i="2"/>
  <c r="J78" i="2"/>
  <c r="K78" i="2"/>
  <c r="J46" i="2"/>
  <c r="K46" i="2"/>
  <c r="J145" i="2"/>
  <c r="K145" i="2"/>
  <c r="J137" i="2"/>
  <c r="K137" i="2"/>
  <c r="J121" i="2"/>
  <c r="K121" i="2"/>
  <c r="J113" i="2"/>
  <c r="K113" i="2"/>
  <c r="J105" i="2"/>
  <c r="K105" i="2"/>
  <c r="J97" i="2"/>
  <c r="K97" i="2"/>
  <c r="J89" i="2"/>
  <c r="K89" i="2"/>
  <c r="J81" i="2"/>
  <c r="K81" i="2"/>
  <c r="J73" i="2"/>
  <c r="K73" i="2"/>
  <c r="J65" i="2"/>
  <c r="K65" i="2"/>
  <c r="J57" i="2"/>
  <c r="K57" i="2"/>
  <c r="J49" i="2"/>
  <c r="K49" i="2"/>
  <c r="J41" i="2"/>
  <c r="K41" i="2"/>
  <c r="J33" i="2"/>
  <c r="K33" i="2"/>
  <c r="J25" i="2"/>
  <c r="K25" i="2"/>
  <c r="J236" i="2"/>
  <c r="J217" i="2"/>
  <c r="J172" i="2"/>
  <c r="K245" i="2"/>
  <c r="K237" i="2"/>
  <c r="K229" i="2"/>
  <c r="K221" i="2"/>
  <c r="K213" i="2"/>
  <c r="K205" i="2"/>
  <c r="K197" i="2"/>
  <c r="K189" i="2"/>
  <c r="K181" i="2"/>
  <c r="K173" i="2"/>
  <c r="K165" i="2"/>
  <c r="K157" i="2"/>
  <c r="K149" i="2"/>
  <c r="K141" i="2"/>
  <c r="K133" i="2"/>
  <c r="K125" i="2"/>
  <c r="K117" i="2"/>
  <c r="K109" i="2"/>
  <c r="K101" i="2"/>
  <c r="K93" i="2"/>
  <c r="K85" i="2"/>
  <c r="K77" i="2"/>
  <c r="K69" i="2"/>
  <c r="K61" i="2"/>
  <c r="K53" i="2"/>
  <c r="K45" i="2"/>
  <c r="K37" i="2"/>
  <c r="K2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83F138-8275-426A-95EB-24EDC1A7E27C}" keepAlive="1" name="Query - vasgx" description="Connection to the 'vasgx' query in the workbook." type="5" refreshedVersion="8" background="1" saveData="1">
    <dbPr connection="Provider=Microsoft.Mashup.OleDb.1;Data Source=$Workbook$;Location=vasgx;Extended Properties=&quot;&quot;" command="SELECT * FROM [vasgx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<sst xmlns="http://schemas.openxmlformats.org/spreadsheetml/2006/main" count="26" uniqueCount="15">
  <si>
    <t>date</t>
  </si>
  <si>
    <t>open</t>
  </si>
  <si>
    <t>high</t>
  </si>
  <si>
    <t>low</t>
  </si>
  <si>
    <t>close</t>
  </si>
  <si>
    <t>50d SMA</t>
  </si>
  <si>
    <t>100d SMA</t>
  </si>
  <si>
    <t>20d SMA</t>
  </si>
  <si>
    <t>Upper</t>
  </si>
  <si>
    <t>SD</t>
  </si>
  <si>
    <t>Lower</t>
  </si>
  <si>
    <t>50d High  ]EMA2</t>
  </si>
  <si>
    <t>50d Low EMA</t>
  </si>
  <si>
    <t>50d High</t>
  </si>
  <si>
    <t>50d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</si>
</sst>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14" fontId="0" fillId="0" borderId="0" xfId="0" applyNumberFormat="1"/>
    <xf numFmtId="165" fontId="2" fillId="2" borderId="1" xfId="0" applyNumberFormat="1" applyFont="1" applyFill="1" applyBorder="1"/>
    <xf numFmtId="165" fontId="0" fillId="0" borderId="0" xfId="0" applyNumberFormat="1"/>
    <xf numFmtId="0" fontId="2" fillId="2" borderId="0" xfId="0" applyFont="1" applyFill="1" applyBorder="1"/>
    <xf numFmtId="43" fontId="2" fillId="2" borderId="1" xfId="1" applyFont="1" applyFill="1" applyBorder="1"/>
    <xf numFmtId="43" fontId="0" fillId="0" borderId="0" xfId="1" applyFont="1"/>
    <xf numFmtId="43" fontId="2" fillId="2" borderId="1" xfId="1" applyNumberFormat="1" applyFont="1" applyFill="1" applyBorder="1"/>
  </cellXfs>
  <cellStyles count="2">
    <cellStyle name="Comma" xfId="1" builtinId="3"/>
    <cellStyle name="Normal" xfId="0" builtinId="0"/>
  </cellStyles>
  <dxfs count="3">
    <dxf>
      <numFmt numFmtId="0" formatCode="General"/>
    </dxf>
    <dxf>
      <numFmt numFmtId="35" formatCode="_(* #,##0.00_);_(* \(#,##0.00\);_(* &quot;-&quot;??_);_(@_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vasgx!$B$1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vasgx!$A$2:$A$251</c:f>
              <c:numCache>
                <c:formatCode>m/d/yyyy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vasgx!$B$2:$B$251</c:f>
              <c:numCache>
                <c:formatCode>General</c:formatCode>
                <c:ptCount val="250"/>
                <c:pt idx="0">
                  <c:v>44.11</c:v>
                </c:pt>
                <c:pt idx="1">
                  <c:v>44.46</c:v>
                </c:pt>
                <c:pt idx="2">
                  <c:v>44.65</c:v>
                </c:pt>
                <c:pt idx="3">
                  <c:v>44.34</c:v>
                </c:pt>
                <c:pt idx="4">
                  <c:v>44.34</c:v>
                </c:pt>
                <c:pt idx="5">
                  <c:v>43.73</c:v>
                </c:pt>
                <c:pt idx="6">
                  <c:v>43.68</c:v>
                </c:pt>
                <c:pt idx="7">
                  <c:v>43.83</c:v>
                </c:pt>
                <c:pt idx="8">
                  <c:v>44.44</c:v>
                </c:pt>
                <c:pt idx="9">
                  <c:v>44.49</c:v>
                </c:pt>
                <c:pt idx="10">
                  <c:v>44.77</c:v>
                </c:pt>
                <c:pt idx="11">
                  <c:v>45.23</c:v>
                </c:pt>
                <c:pt idx="12">
                  <c:v>45.32</c:v>
                </c:pt>
                <c:pt idx="13">
                  <c:v>45.48</c:v>
                </c:pt>
                <c:pt idx="14">
                  <c:v>45.51</c:v>
                </c:pt>
                <c:pt idx="15">
                  <c:v>45.14</c:v>
                </c:pt>
                <c:pt idx="16">
                  <c:v>45.36</c:v>
                </c:pt>
                <c:pt idx="17">
                  <c:v>45.25</c:v>
                </c:pt>
                <c:pt idx="18">
                  <c:v>45.57</c:v>
                </c:pt>
                <c:pt idx="19">
                  <c:v>45.33</c:v>
                </c:pt>
                <c:pt idx="20">
                  <c:v>45.02</c:v>
                </c:pt>
                <c:pt idx="21">
                  <c:v>45.37</c:v>
                </c:pt>
                <c:pt idx="22">
                  <c:v>45.61</c:v>
                </c:pt>
                <c:pt idx="23">
                  <c:v>45.72</c:v>
                </c:pt>
                <c:pt idx="24">
                  <c:v>45.42</c:v>
                </c:pt>
                <c:pt idx="25">
                  <c:v>45.65</c:v>
                </c:pt>
                <c:pt idx="26">
                  <c:v>45.64</c:v>
                </c:pt>
                <c:pt idx="27">
                  <c:v>45.55</c:v>
                </c:pt>
                <c:pt idx="28">
                  <c:v>45.99</c:v>
                </c:pt>
                <c:pt idx="29">
                  <c:v>46.03</c:v>
                </c:pt>
                <c:pt idx="30">
                  <c:v>46.16</c:v>
                </c:pt>
                <c:pt idx="31">
                  <c:v>46.1</c:v>
                </c:pt>
                <c:pt idx="32">
                  <c:v>46.07</c:v>
                </c:pt>
                <c:pt idx="33">
                  <c:v>45.59</c:v>
                </c:pt>
                <c:pt idx="34">
                  <c:v>45.41</c:v>
                </c:pt>
                <c:pt idx="35">
                  <c:v>45.43</c:v>
                </c:pt>
                <c:pt idx="36">
                  <c:v>45.51</c:v>
                </c:pt>
                <c:pt idx="37">
                  <c:v>44.98</c:v>
                </c:pt>
                <c:pt idx="38">
                  <c:v>45.31</c:v>
                </c:pt>
                <c:pt idx="39">
                  <c:v>44.92</c:v>
                </c:pt>
                <c:pt idx="40">
                  <c:v>44.66</c:v>
                </c:pt>
                <c:pt idx="41">
                  <c:v>45.22</c:v>
                </c:pt>
                <c:pt idx="42">
                  <c:v>44.7</c:v>
                </c:pt>
                <c:pt idx="43">
                  <c:v>44.91</c:v>
                </c:pt>
                <c:pt idx="44">
                  <c:v>44.03</c:v>
                </c:pt>
                <c:pt idx="45">
                  <c:v>43.86</c:v>
                </c:pt>
                <c:pt idx="46">
                  <c:v>44.04</c:v>
                </c:pt>
                <c:pt idx="47">
                  <c:v>43.66</c:v>
                </c:pt>
                <c:pt idx="48">
                  <c:v>44.34</c:v>
                </c:pt>
                <c:pt idx="49">
                  <c:v>44.69</c:v>
                </c:pt>
                <c:pt idx="50">
                  <c:v>44.48</c:v>
                </c:pt>
                <c:pt idx="51">
                  <c:v>44.78</c:v>
                </c:pt>
                <c:pt idx="52">
                  <c:v>44.64</c:v>
                </c:pt>
                <c:pt idx="53">
                  <c:v>44.56</c:v>
                </c:pt>
                <c:pt idx="54">
                  <c:v>44.95</c:v>
                </c:pt>
                <c:pt idx="55">
                  <c:v>45.01</c:v>
                </c:pt>
                <c:pt idx="56">
                  <c:v>44.61</c:v>
                </c:pt>
                <c:pt idx="57">
                  <c:v>44.57</c:v>
                </c:pt>
                <c:pt idx="58">
                  <c:v>44.03</c:v>
                </c:pt>
                <c:pt idx="59">
                  <c:v>44.03</c:v>
                </c:pt>
                <c:pt idx="60">
                  <c:v>44.18</c:v>
                </c:pt>
                <c:pt idx="61">
                  <c:v>44.38</c:v>
                </c:pt>
                <c:pt idx="62">
                  <c:v>43.08</c:v>
                </c:pt>
                <c:pt idx="63">
                  <c:v>41.13</c:v>
                </c:pt>
                <c:pt idx="64">
                  <c:v>40.65</c:v>
                </c:pt>
                <c:pt idx="65">
                  <c:v>40.21</c:v>
                </c:pt>
                <c:pt idx="66">
                  <c:v>42.67</c:v>
                </c:pt>
                <c:pt idx="67">
                  <c:v>41.81</c:v>
                </c:pt>
                <c:pt idx="68">
                  <c:v>42.47</c:v>
                </c:pt>
                <c:pt idx="69">
                  <c:v>42.87</c:v>
                </c:pt>
                <c:pt idx="70">
                  <c:v>42.93</c:v>
                </c:pt>
                <c:pt idx="71">
                  <c:v>42.46</c:v>
                </c:pt>
                <c:pt idx="72">
                  <c:v>42.46</c:v>
                </c:pt>
                <c:pt idx="73">
                  <c:v>42.14</c:v>
                </c:pt>
                <c:pt idx="74">
                  <c:v>42.85</c:v>
                </c:pt>
                <c:pt idx="75">
                  <c:v>43.27</c:v>
                </c:pt>
                <c:pt idx="76">
                  <c:v>43.92</c:v>
                </c:pt>
                <c:pt idx="77">
                  <c:v>44.08</c:v>
                </c:pt>
                <c:pt idx="78">
                  <c:v>44.22</c:v>
                </c:pt>
                <c:pt idx="79">
                  <c:v>44.38</c:v>
                </c:pt>
                <c:pt idx="80">
                  <c:v>44.44</c:v>
                </c:pt>
                <c:pt idx="81">
                  <c:v>44.5</c:v>
                </c:pt>
                <c:pt idx="82">
                  <c:v>45.06</c:v>
                </c:pt>
                <c:pt idx="83">
                  <c:v>44.92</c:v>
                </c:pt>
                <c:pt idx="84">
                  <c:v>44.77</c:v>
                </c:pt>
                <c:pt idx="85">
                  <c:v>44.77</c:v>
                </c:pt>
                <c:pt idx="86">
                  <c:v>44.9</c:v>
                </c:pt>
                <c:pt idx="87">
                  <c:v>44.98</c:v>
                </c:pt>
                <c:pt idx="88">
                  <c:v>45.81</c:v>
                </c:pt>
                <c:pt idx="89">
                  <c:v>46.02</c:v>
                </c:pt>
                <c:pt idx="90">
                  <c:v>45.97</c:v>
                </c:pt>
                <c:pt idx="91">
                  <c:v>46.22</c:v>
                </c:pt>
                <c:pt idx="92">
                  <c:v>46.42</c:v>
                </c:pt>
                <c:pt idx="93">
                  <c:v>46.52</c:v>
                </c:pt>
                <c:pt idx="94">
                  <c:v>46.45</c:v>
                </c:pt>
                <c:pt idx="95">
                  <c:v>45.96</c:v>
                </c:pt>
                <c:pt idx="96">
                  <c:v>45.96</c:v>
                </c:pt>
                <c:pt idx="97">
                  <c:v>45.88</c:v>
                </c:pt>
                <c:pt idx="98">
                  <c:v>46.51</c:v>
                </c:pt>
                <c:pt idx="99">
                  <c:v>46.24</c:v>
                </c:pt>
                <c:pt idx="100">
                  <c:v>46.41</c:v>
                </c:pt>
                <c:pt idx="101">
                  <c:v>46.41</c:v>
                </c:pt>
                <c:pt idx="102">
                  <c:v>46.63</c:v>
                </c:pt>
                <c:pt idx="103">
                  <c:v>46.71</c:v>
                </c:pt>
                <c:pt idx="104">
                  <c:v>46.84</c:v>
                </c:pt>
                <c:pt idx="105">
                  <c:v>46.73</c:v>
                </c:pt>
                <c:pt idx="106">
                  <c:v>46.99</c:v>
                </c:pt>
                <c:pt idx="107">
                  <c:v>47.08</c:v>
                </c:pt>
                <c:pt idx="108">
                  <c:v>47.25</c:v>
                </c:pt>
                <c:pt idx="109">
                  <c:v>47.22</c:v>
                </c:pt>
                <c:pt idx="110">
                  <c:v>47.41</c:v>
                </c:pt>
                <c:pt idx="111">
                  <c:v>46.9</c:v>
                </c:pt>
                <c:pt idx="112">
                  <c:v>47.21</c:v>
                </c:pt>
                <c:pt idx="113">
                  <c:v>46.86</c:v>
                </c:pt>
                <c:pt idx="114">
                  <c:v>46.88</c:v>
                </c:pt>
                <c:pt idx="115">
                  <c:v>46.72</c:v>
                </c:pt>
                <c:pt idx="116">
                  <c:v>47.05</c:v>
                </c:pt>
                <c:pt idx="117">
                  <c:v>47.05</c:v>
                </c:pt>
                <c:pt idx="118">
                  <c:v>47.51</c:v>
                </c:pt>
                <c:pt idx="119">
                  <c:v>47.89</c:v>
                </c:pt>
                <c:pt idx="120">
                  <c:v>48.06</c:v>
                </c:pt>
                <c:pt idx="121">
                  <c:v>47.81</c:v>
                </c:pt>
                <c:pt idx="122">
                  <c:v>47.79</c:v>
                </c:pt>
                <c:pt idx="123">
                  <c:v>47.97</c:v>
                </c:pt>
                <c:pt idx="124">
                  <c:v>48.19</c:v>
                </c:pt>
                <c:pt idx="125">
                  <c:v>47.79</c:v>
                </c:pt>
                <c:pt idx="126">
                  <c:v>47.86</c:v>
                </c:pt>
                <c:pt idx="127">
                  <c:v>48.1</c:v>
                </c:pt>
                <c:pt idx="128">
                  <c:v>48.2</c:v>
                </c:pt>
                <c:pt idx="129">
                  <c:v>47.96</c:v>
                </c:pt>
                <c:pt idx="130">
                  <c:v>48.02</c:v>
                </c:pt>
                <c:pt idx="131">
                  <c:v>47.8</c:v>
                </c:pt>
                <c:pt idx="132">
                  <c:v>47.94</c:v>
                </c:pt>
                <c:pt idx="133">
                  <c:v>48.16</c:v>
                </c:pt>
                <c:pt idx="134">
                  <c:v>48.15</c:v>
                </c:pt>
                <c:pt idx="135">
                  <c:v>48.26</c:v>
                </c:pt>
                <c:pt idx="136">
                  <c:v>48.38</c:v>
                </c:pt>
                <c:pt idx="137">
                  <c:v>48.84</c:v>
                </c:pt>
                <c:pt idx="138">
                  <c:v>48.74</c:v>
                </c:pt>
                <c:pt idx="139">
                  <c:v>48.82</c:v>
                </c:pt>
                <c:pt idx="140">
                  <c:v>48.62</c:v>
                </c:pt>
                <c:pt idx="141">
                  <c:v>48.58</c:v>
                </c:pt>
                <c:pt idx="142">
                  <c:v>48.39</c:v>
                </c:pt>
                <c:pt idx="143">
                  <c:v>48.17</c:v>
                </c:pt>
                <c:pt idx="144">
                  <c:v>47.79</c:v>
                </c:pt>
                <c:pt idx="145">
                  <c:v>48.36</c:v>
                </c:pt>
                <c:pt idx="146">
                  <c:v>48.29</c:v>
                </c:pt>
                <c:pt idx="147">
                  <c:v>48.54</c:v>
                </c:pt>
                <c:pt idx="148">
                  <c:v>48.64</c:v>
                </c:pt>
                <c:pt idx="149">
                  <c:v>48.82</c:v>
                </c:pt>
                <c:pt idx="150">
                  <c:v>48.72</c:v>
                </c:pt>
                <c:pt idx="151">
                  <c:v>49.18</c:v>
                </c:pt>
                <c:pt idx="152">
                  <c:v>49.43</c:v>
                </c:pt>
                <c:pt idx="153">
                  <c:v>49.33</c:v>
                </c:pt>
                <c:pt idx="154">
                  <c:v>49.3</c:v>
                </c:pt>
                <c:pt idx="155">
                  <c:v>49.33</c:v>
                </c:pt>
                <c:pt idx="156">
                  <c:v>49.14</c:v>
                </c:pt>
                <c:pt idx="157">
                  <c:v>49.11</c:v>
                </c:pt>
                <c:pt idx="158">
                  <c:v>48.96</c:v>
                </c:pt>
                <c:pt idx="159">
                  <c:v>49.65</c:v>
                </c:pt>
                <c:pt idx="160">
                  <c:v>49.37</c:v>
                </c:pt>
                <c:pt idx="161">
                  <c:v>49.49</c:v>
                </c:pt>
                <c:pt idx="162">
                  <c:v>49.52</c:v>
                </c:pt>
                <c:pt idx="163">
                  <c:v>49.68</c:v>
                </c:pt>
                <c:pt idx="164">
                  <c:v>49.43</c:v>
                </c:pt>
                <c:pt idx="165">
                  <c:v>49.15</c:v>
                </c:pt>
                <c:pt idx="166">
                  <c:v>49.31</c:v>
                </c:pt>
                <c:pt idx="167">
                  <c:v>49.62</c:v>
                </c:pt>
                <c:pt idx="168">
                  <c:v>49.71</c:v>
                </c:pt>
                <c:pt idx="169">
                  <c:v>49.94</c:v>
                </c:pt>
                <c:pt idx="170">
                  <c:v>49.97</c:v>
                </c:pt>
                <c:pt idx="171">
                  <c:v>50.09</c:v>
                </c:pt>
                <c:pt idx="172">
                  <c:v>50.49</c:v>
                </c:pt>
                <c:pt idx="173">
                  <c:v>50.4</c:v>
                </c:pt>
                <c:pt idx="174">
                  <c:v>50.64</c:v>
                </c:pt>
                <c:pt idx="175">
                  <c:v>50.66</c:v>
                </c:pt>
                <c:pt idx="176">
                  <c:v>50.58</c:v>
                </c:pt>
                <c:pt idx="177">
                  <c:v>50.76</c:v>
                </c:pt>
                <c:pt idx="178">
                  <c:v>50.8</c:v>
                </c:pt>
                <c:pt idx="179">
                  <c:v>50.96</c:v>
                </c:pt>
                <c:pt idx="180">
                  <c:v>50.81</c:v>
                </c:pt>
                <c:pt idx="181">
                  <c:v>50.63</c:v>
                </c:pt>
                <c:pt idx="182">
                  <c:v>50.37</c:v>
                </c:pt>
                <c:pt idx="183">
                  <c:v>50.57</c:v>
                </c:pt>
                <c:pt idx="184">
                  <c:v>50.75</c:v>
                </c:pt>
                <c:pt idx="185">
                  <c:v>50.94</c:v>
                </c:pt>
                <c:pt idx="186">
                  <c:v>51.14</c:v>
                </c:pt>
                <c:pt idx="187">
                  <c:v>51.22</c:v>
                </c:pt>
                <c:pt idx="188">
                  <c:v>51.33</c:v>
                </c:pt>
                <c:pt idx="189">
                  <c:v>51.47</c:v>
                </c:pt>
                <c:pt idx="190">
                  <c:v>51.22</c:v>
                </c:pt>
                <c:pt idx="191">
                  <c:v>51.46</c:v>
                </c:pt>
                <c:pt idx="192">
                  <c:v>51.24</c:v>
                </c:pt>
                <c:pt idx="193">
                  <c:v>50.19</c:v>
                </c:pt>
                <c:pt idx="194">
                  <c:v>50.84</c:v>
                </c:pt>
                <c:pt idx="195">
                  <c:v>50.84</c:v>
                </c:pt>
                <c:pt idx="196">
                  <c:v>51.1</c:v>
                </c:pt>
                <c:pt idx="197">
                  <c:v>51</c:v>
                </c:pt>
                <c:pt idx="198">
                  <c:v>51.09</c:v>
                </c:pt>
                <c:pt idx="199">
                  <c:v>51.54</c:v>
                </c:pt>
                <c:pt idx="200">
                  <c:v>51.42</c:v>
                </c:pt>
                <c:pt idx="201">
                  <c:v>51.24</c:v>
                </c:pt>
                <c:pt idx="202">
                  <c:v>51.51</c:v>
                </c:pt>
                <c:pt idx="203">
                  <c:v>51.77</c:v>
                </c:pt>
                <c:pt idx="204">
                  <c:v>52.2</c:v>
                </c:pt>
                <c:pt idx="205">
                  <c:v>52.23</c:v>
                </c:pt>
                <c:pt idx="206">
                  <c:v>52.08</c:v>
                </c:pt>
                <c:pt idx="207">
                  <c:v>51.73</c:v>
                </c:pt>
                <c:pt idx="208">
                  <c:v>51.8</c:v>
                </c:pt>
                <c:pt idx="209">
                  <c:v>51.88</c:v>
                </c:pt>
                <c:pt idx="210">
                  <c:v>51.34</c:v>
                </c:pt>
                <c:pt idx="211">
                  <c:v>51.52</c:v>
                </c:pt>
                <c:pt idx="212">
                  <c:v>51.19</c:v>
                </c:pt>
                <c:pt idx="213">
                  <c:v>51.27</c:v>
                </c:pt>
                <c:pt idx="214">
                  <c:v>51.85</c:v>
                </c:pt>
                <c:pt idx="215">
                  <c:v>52</c:v>
                </c:pt>
                <c:pt idx="216">
                  <c:v>52.1</c:v>
                </c:pt>
                <c:pt idx="217">
                  <c:v>51.46</c:v>
                </c:pt>
                <c:pt idx="218">
                  <c:v>51.39</c:v>
                </c:pt>
                <c:pt idx="219">
                  <c:v>50.95</c:v>
                </c:pt>
                <c:pt idx="220">
                  <c:v>50.62</c:v>
                </c:pt>
                <c:pt idx="221">
                  <c:v>50.65</c:v>
                </c:pt>
                <c:pt idx="222">
                  <c:v>50.05</c:v>
                </c:pt>
                <c:pt idx="223">
                  <c:v>50.5</c:v>
                </c:pt>
                <c:pt idx="224">
                  <c:v>50.98</c:v>
                </c:pt>
                <c:pt idx="225">
                  <c:v>51.4</c:v>
                </c:pt>
                <c:pt idx="226">
                  <c:v>51.76</c:v>
                </c:pt>
                <c:pt idx="227">
                  <c:v>51.95</c:v>
                </c:pt>
                <c:pt idx="228">
                  <c:v>51.71</c:v>
                </c:pt>
                <c:pt idx="229">
                  <c:v>51.83</c:v>
                </c:pt>
                <c:pt idx="230">
                  <c:v>52</c:v>
                </c:pt>
                <c:pt idx="231">
                  <c:v>52.06</c:v>
                </c:pt>
                <c:pt idx="232">
                  <c:v>52.12</c:v>
                </c:pt>
                <c:pt idx="233">
                  <c:v>51.99</c:v>
                </c:pt>
                <c:pt idx="234">
                  <c:v>51.92</c:v>
                </c:pt>
                <c:pt idx="235">
                  <c:v>52.32</c:v>
                </c:pt>
                <c:pt idx="236">
                  <c:v>52.43</c:v>
                </c:pt>
                <c:pt idx="237">
                  <c:v>52.03</c:v>
                </c:pt>
                <c:pt idx="238">
                  <c:v>52.03</c:v>
                </c:pt>
                <c:pt idx="239">
                  <c:v>51.87</c:v>
                </c:pt>
                <c:pt idx="240">
                  <c:v>51.49</c:v>
                </c:pt>
                <c:pt idx="241">
                  <c:v>51.83</c:v>
                </c:pt>
                <c:pt idx="242">
                  <c:v>52.14</c:v>
                </c:pt>
                <c:pt idx="243">
                  <c:v>52.43</c:v>
                </c:pt>
                <c:pt idx="244">
                  <c:v>50.99</c:v>
                </c:pt>
                <c:pt idx="245">
                  <c:v>51.09</c:v>
                </c:pt>
                <c:pt idx="246">
                  <c:v>51.12</c:v>
                </c:pt>
                <c:pt idx="247">
                  <c:v>51</c:v>
                </c:pt>
                <c:pt idx="248">
                  <c:v>50.98</c:v>
                </c:pt>
                <c:pt idx="249">
                  <c:v>50.73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3-4F81-BC30-E97BE715875E}"/>
            </c:ext>
          </c:extLst>
        </c:ser>
        <c:ser>
          <c:idx val="1"/>
          <c:order val="1"/>
          <c:tx>
            <c:strRef>
              <c:f>vasgx!$C$1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vasgx!$A$2:$A$251</c:f>
              <c:numCache>
                <c:formatCode>m/d/yyyy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vasgx!$C$2:$C$251</c:f>
              <c:numCache>
                <c:formatCode>General</c:formatCode>
                <c:ptCount val="250"/>
                <c:pt idx="0">
                  <c:v>44.11</c:v>
                </c:pt>
                <c:pt idx="1">
                  <c:v>44.46</c:v>
                </c:pt>
                <c:pt idx="2">
                  <c:v>44.65</c:v>
                </c:pt>
                <c:pt idx="3">
                  <c:v>44.34</c:v>
                </c:pt>
                <c:pt idx="4">
                  <c:v>44.34</c:v>
                </c:pt>
                <c:pt idx="5">
                  <c:v>43.73</c:v>
                </c:pt>
                <c:pt idx="6">
                  <c:v>43.68</c:v>
                </c:pt>
                <c:pt idx="7">
                  <c:v>43.83</c:v>
                </c:pt>
                <c:pt idx="8">
                  <c:v>44.44</c:v>
                </c:pt>
                <c:pt idx="9">
                  <c:v>44.49</c:v>
                </c:pt>
                <c:pt idx="10">
                  <c:v>44.77</c:v>
                </c:pt>
                <c:pt idx="11">
                  <c:v>45.23</c:v>
                </c:pt>
                <c:pt idx="12">
                  <c:v>45.32</c:v>
                </c:pt>
                <c:pt idx="13">
                  <c:v>45.48</c:v>
                </c:pt>
                <c:pt idx="14">
                  <c:v>45.51</c:v>
                </c:pt>
                <c:pt idx="15">
                  <c:v>45.14</c:v>
                </c:pt>
                <c:pt idx="16">
                  <c:v>45.36</c:v>
                </c:pt>
                <c:pt idx="17">
                  <c:v>45.25</c:v>
                </c:pt>
                <c:pt idx="18">
                  <c:v>45.57</c:v>
                </c:pt>
                <c:pt idx="19">
                  <c:v>45.33</c:v>
                </c:pt>
                <c:pt idx="20">
                  <c:v>45.02</c:v>
                </c:pt>
                <c:pt idx="21">
                  <c:v>45.37</c:v>
                </c:pt>
                <c:pt idx="22">
                  <c:v>45.61</c:v>
                </c:pt>
                <c:pt idx="23">
                  <c:v>45.72</c:v>
                </c:pt>
                <c:pt idx="24">
                  <c:v>45.42</c:v>
                </c:pt>
                <c:pt idx="25">
                  <c:v>45.65</c:v>
                </c:pt>
                <c:pt idx="26">
                  <c:v>45.64</c:v>
                </c:pt>
                <c:pt idx="27">
                  <c:v>45.55</c:v>
                </c:pt>
                <c:pt idx="28">
                  <c:v>45.99</c:v>
                </c:pt>
                <c:pt idx="29">
                  <c:v>46.03</c:v>
                </c:pt>
                <c:pt idx="30">
                  <c:v>46.16</c:v>
                </c:pt>
                <c:pt idx="31">
                  <c:v>46.1</c:v>
                </c:pt>
                <c:pt idx="32">
                  <c:v>46.07</c:v>
                </c:pt>
                <c:pt idx="33">
                  <c:v>45.59</c:v>
                </c:pt>
                <c:pt idx="34">
                  <c:v>45.41</c:v>
                </c:pt>
                <c:pt idx="35">
                  <c:v>45.43</c:v>
                </c:pt>
                <c:pt idx="36">
                  <c:v>45.51</c:v>
                </c:pt>
                <c:pt idx="37">
                  <c:v>44.98</c:v>
                </c:pt>
                <c:pt idx="38">
                  <c:v>45.31</c:v>
                </c:pt>
                <c:pt idx="39">
                  <c:v>44.92</c:v>
                </c:pt>
                <c:pt idx="40">
                  <c:v>44.66</c:v>
                </c:pt>
                <c:pt idx="41">
                  <c:v>45.22</c:v>
                </c:pt>
                <c:pt idx="42">
                  <c:v>44.7</c:v>
                </c:pt>
                <c:pt idx="43">
                  <c:v>44.91</c:v>
                </c:pt>
                <c:pt idx="44">
                  <c:v>44.03</c:v>
                </c:pt>
                <c:pt idx="45">
                  <c:v>43.86</c:v>
                </c:pt>
                <c:pt idx="46">
                  <c:v>44.04</c:v>
                </c:pt>
                <c:pt idx="47">
                  <c:v>43.66</c:v>
                </c:pt>
                <c:pt idx="48">
                  <c:v>44.34</c:v>
                </c:pt>
                <c:pt idx="49">
                  <c:v>44.69</c:v>
                </c:pt>
                <c:pt idx="50">
                  <c:v>44.48</c:v>
                </c:pt>
                <c:pt idx="51">
                  <c:v>44.78</c:v>
                </c:pt>
                <c:pt idx="52">
                  <c:v>44.64</c:v>
                </c:pt>
                <c:pt idx="53">
                  <c:v>44.56</c:v>
                </c:pt>
                <c:pt idx="54">
                  <c:v>44.95</c:v>
                </c:pt>
                <c:pt idx="55">
                  <c:v>45.01</c:v>
                </c:pt>
                <c:pt idx="56">
                  <c:v>44.61</c:v>
                </c:pt>
                <c:pt idx="57">
                  <c:v>44.57</c:v>
                </c:pt>
                <c:pt idx="58">
                  <c:v>44.03</c:v>
                </c:pt>
                <c:pt idx="59">
                  <c:v>44.03</c:v>
                </c:pt>
                <c:pt idx="60">
                  <c:v>44.18</c:v>
                </c:pt>
                <c:pt idx="61">
                  <c:v>44.38</c:v>
                </c:pt>
                <c:pt idx="62">
                  <c:v>43.08</c:v>
                </c:pt>
                <c:pt idx="63">
                  <c:v>41.13</c:v>
                </c:pt>
                <c:pt idx="64">
                  <c:v>40.65</c:v>
                </c:pt>
                <c:pt idx="65">
                  <c:v>40.21</c:v>
                </c:pt>
                <c:pt idx="66">
                  <c:v>42.67</c:v>
                </c:pt>
                <c:pt idx="67">
                  <c:v>41.81</c:v>
                </c:pt>
                <c:pt idx="68">
                  <c:v>42.47</c:v>
                </c:pt>
                <c:pt idx="69">
                  <c:v>42.87</c:v>
                </c:pt>
                <c:pt idx="70">
                  <c:v>42.93</c:v>
                </c:pt>
                <c:pt idx="71">
                  <c:v>42.46</c:v>
                </c:pt>
                <c:pt idx="72">
                  <c:v>42.46</c:v>
                </c:pt>
                <c:pt idx="73">
                  <c:v>42.14</c:v>
                </c:pt>
                <c:pt idx="74">
                  <c:v>42.85</c:v>
                </c:pt>
                <c:pt idx="75">
                  <c:v>43.27</c:v>
                </c:pt>
                <c:pt idx="76">
                  <c:v>43.92</c:v>
                </c:pt>
                <c:pt idx="77">
                  <c:v>44.08</c:v>
                </c:pt>
                <c:pt idx="78">
                  <c:v>44.22</c:v>
                </c:pt>
                <c:pt idx="79">
                  <c:v>44.38</c:v>
                </c:pt>
                <c:pt idx="80">
                  <c:v>44.44</c:v>
                </c:pt>
                <c:pt idx="81">
                  <c:v>44.5</c:v>
                </c:pt>
                <c:pt idx="82">
                  <c:v>45.06</c:v>
                </c:pt>
                <c:pt idx="83">
                  <c:v>44.92</c:v>
                </c:pt>
                <c:pt idx="84">
                  <c:v>44.77</c:v>
                </c:pt>
                <c:pt idx="85">
                  <c:v>44.77</c:v>
                </c:pt>
                <c:pt idx="86">
                  <c:v>44.9</c:v>
                </c:pt>
                <c:pt idx="87">
                  <c:v>44.98</c:v>
                </c:pt>
                <c:pt idx="88">
                  <c:v>45.81</c:v>
                </c:pt>
                <c:pt idx="89">
                  <c:v>46.02</c:v>
                </c:pt>
                <c:pt idx="90">
                  <c:v>45.97</c:v>
                </c:pt>
                <c:pt idx="91">
                  <c:v>46.22</c:v>
                </c:pt>
                <c:pt idx="92">
                  <c:v>46.42</c:v>
                </c:pt>
                <c:pt idx="93">
                  <c:v>46.52</c:v>
                </c:pt>
                <c:pt idx="94">
                  <c:v>46.45</c:v>
                </c:pt>
                <c:pt idx="95">
                  <c:v>45.96</c:v>
                </c:pt>
                <c:pt idx="96">
                  <c:v>45.96</c:v>
                </c:pt>
                <c:pt idx="97">
                  <c:v>45.88</c:v>
                </c:pt>
                <c:pt idx="98">
                  <c:v>46.51</c:v>
                </c:pt>
                <c:pt idx="99">
                  <c:v>46.24</c:v>
                </c:pt>
                <c:pt idx="100">
                  <c:v>46.41</c:v>
                </c:pt>
                <c:pt idx="101">
                  <c:v>46.41</c:v>
                </c:pt>
                <c:pt idx="102">
                  <c:v>46.63</c:v>
                </c:pt>
                <c:pt idx="103">
                  <c:v>46.71</c:v>
                </c:pt>
                <c:pt idx="104">
                  <c:v>46.84</c:v>
                </c:pt>
                <c:pt idx="105">
                  <c:v>46.73</c:v>
                </c:pt>
                <c:pt idx="106">
                  <c:v>46.99</c:v>
                </c:pt>
                <c:pt idx="107">
                  <c:v>47.08</c:v>
                </c:pt>
                <c:pt idx="108">
                  <c:v>47.25</c:v>
                </c:pt>
                <c:pt idx="109">
                  <c:v>47.22</c:v>
                </c:pt>
                <c:pt idx="110">
                  <c:v>47.41</c:v>
                </c:pt>
                <c:pt idx="111">
                  <c:v>46.9</c:v>
                </c:pt>
                <c:pt idx="112">
                  <c:v>47.21</c:v>
                </c:pt>
                <c:pt idx="113">
                  <c:v>46.86</c:v>
                </c:pt>
                <c:pt idx="114">
                  <c:v>46.88</c:v>
                </c:pt>
                <c:pt idx="115">
                  <c:v>46.72</c:v>
                </c:pt>
                <c:pt idx="116">
                  <c:v>47.05</c:v>
                </c:pt>
                <c:pt idx="117">
                  <c:v>47.05</c:v>
                </c:pt>
                <c:pt idx="118">
                  <c:v>47.51</c:v>
                </c:pt>
                <c:pt idx="119">
                  <c:v>47.89</c:v>
                </c:pt>
                <c:pt idx="120">
                  <c:v>48.06</c:v>
                </c:pt>
                <c:pt idx="121">
                  <c:v>47.81</c:v>
                </c:pt>
                <c:pt idx="122">
                  <c:v>47.79</c:v>
                </c:pt>
                <c:pt idx="123">
                  <c:v>47.97</c:v>
                </c:pt>
                <c:pt idx="124">
                  <c:v>48.19</c:v>
                </c:pt>
                <c:pt idx="125">
                  <c:v>47.79</c:v>
                </c:pt>
                <c:pt idx="126">
                  <c:v>47.86</c:v>
                </c:pt>
                <c:pt idx="127">
                  <c:v>48.1</c:v>
                </c:pt>
                <c:pt idx="128">
                  <c:v>48.2</c:v>
                </c:pt>
                <c:pt idx="129">
                  <c:v>47.96</c:v>
                </c:pt>
                <c:pt idx="130">
                  <c:v>48.02</c:v>
                </c:pt>
                <c:pt idx="131">
                  <c:v>47.8</c:v>
                </c:pt>
                <c:pt idx="132">
                  <c:v>47.94</c:v>
                </c:pt>
                <c:pt idx="133">
                  <c:v>48.16</c:v>
                </c:pt>
                <c:pt idx="134">
                  <c:v>48.15</c:v>
                </c:pt>
                <c:pt idx="135">
                  <c:v>48.26</c:v>
                </c:pt>
                <c:pt idx="136">
                  <c:v>48.38</c:v>
                </c:pt>
                <c:pt idx="137">
                  <c:v>48.84</c:v>
                </c:pt>
                <c:pt idx="138">
                  <c:v>48.74</c:v>
                </c:pt>
                <c:pt idx="139">
                  <c:v>48.82</c:v>
                </c:pt>
                <c:pt idx="140">
                  <c:v>48.62</c:v>
                </c:pt>
                <c:pt idx="141">
                  <c:v>48.58</c:v>
                </c:pt>
                <c:pt idx="142">
                  <c:v>48.39</c:v>
                </c:pt>
                <c:pt idx="143">
                  <c:v>48.17</c:v>
                </c:pt>
                <c:pt idx="144">
                  <c:v>47.79</c:v>
                </c:pt>
                <c:pt idx="145">
                  <c:v>48.36</c:v>
                </c:pt>
                <c:pt idx="146">
                  <c:v>48.29</c:v>
                </c:pt>
                <c:pt idx="147">
                  <c:v>48.54</c:v>
                </c:pt>
                <c:pt idx="148">
                  <c:v>48.64</c:v>
                </c:pt>
                <c:pt idx="149">
                  <c:v>48.82</c:v>
                </c:pt>
                <c:pt idx="150">
                  <c:v>48.72</c:v>
                </c:pt>
                <c:pt idx="151">
                  <c:v>49.18</c:v>
                </c:pt>
                <c:pt idx="152">
                  <c:v>49.43</c:v>
                </c:pt>
                <c:pt idx="153">
                  <c:v>49.33</c:v>
                </c:pt>
                <c:pt idx="154">
                  <c:v>49.3</c:v>
                </c:pt>
                <c:pt idx="155">
                  <c:v>49.33</c:v>
                </c:pt>
                <c:pt idx="156">
                  <c:v>49.14</c:v>
                </c:pt>
                <c:pt idx="157">
                  <c:v>49.11</c:v>
                </c:pt>
                <c:pt idx="158">
                  <c:v>48.96</c:v>
                </c:pt>
                <c:pt idx="159">
                  <c:v>49.65</c:v>
                </c:pt>
                <c:pt idx="160">
                  <c:v>49.37</c:v>
                </c:pt>
                <c:pt idx="161">
                  <c:v>49.49</c:v>
                </c:pt>
                <c:pt idx="162">
                  <c:v>49.52</c:v>
                </c:pt>
                <c:pt idx="163">
                  <c:v>49.68</c:v>
                </c:pt>
                <c:pt idx="164">
                  <c:v>49.43</c:v>
                </c:pt>
                <c:pt idx="165">
                  <c:v>49.15</c:v>
                </c:pt>
                <c:pt idx="166">
                  <c:v>49.31</c:v>
                </c:pt>
                <c:pt idx="167">
                  <c:v>49.62</c:v>
                </c:pt>
                <c:pt idx="168">
                  <c:v>49.71</c:v>
                </c:pt>
                <c:pt idx="169">
                  <c:v>49.94</c:v>
                </c:pt>
                <c:pt idx="170">
                  <c:v>49.97</c:v>
                </c:pt>
                <c:pt idx="171">
                  <c:v>50.09</c:v>
                </c:pt>
                <c:pt idx="172">
                  <c:v>50.49</c:v>
                </c:pt>
                <c:pt idx="173">
                  <c:v>50.4</c:v>
                </c:pt>
                <c:pt idx="174">
                  <c:v>50.64</c:v>
                </c:pt>
                <c:pt idx="175">
                  <c:v>50.66</c:v>
                </c:pt>
                <c:pt idx="176">
                  <c:v>50.58</c:v>
                </c:pt>
                <c:pt idx="177">
                  <c:v>50.76</c:v>
                </c:pt>
                <c:pt idx="178">
                  <c:v>50.8</c:v>
                </c:pt>
                <c:pt idx="179">
                  <c:v>50.96</c:v>
                </c:pt>
                <c:pt idx="180">
                  <c:v>50.81</c:v>
                </c:pt>
                <c:pt idx="181">
                  <c:v>50.63</c:v>
                </c:pt>
                <c:pt idx="182">
                  <c:v>50.37</c:v>
                </c:pt>
                <c:pt idx="183">
                  <c:v>50.57</c:v>
                </c:pt>
                <c:pt idx="184">
                  <c:v>50.75</c:v>
                </c:pt>
                <c:pt idx="185">
                  <c:v>50.94</c:v>
                </c:pt>
                <c:pt idx="186">
                  <c:v>51.14</c:v>
                </c:pt>
                <c:pt idx="187">
                  <c:v>51.22</c:v>
                </c:pt>
                <c:pt idx="188">
                  <c:v>51.33</c:v>
                </c:pt>
                <c:pt idx="189">
                  <c:v>51.47</c:v>
                </c:pt>
                <c:pt idx="190">
                  <c:v>51.22</c:v>
                </c:pt>
                <c:pt idx="191">
                  <c:v>51.46</c:v>
                </c:pt>
                <c:pt idx="192">
                  <c:v>51.24</c:v>
                </c:pt>
                <c:pt idx="193">
                  <c:v>50.19</c:v>
                </c:pt>
                <c:pt idx="194">
                  <c:v>50.84</c:v>
                </c:pt>
                <c:pt idx="195">
                  <c:v>50.84</c:v>
                </c:pt>
                <c:pt idx="196">
                  <c:v>51.1</c:v>
                </c:pt>
                <c:pt idx="197">
                  <c:v>51</c:v>
                </c:pt>
                <c:pt idx="198">
                  <c:v>51.09</c:v>
                </c:pt>
                <c:pt idx="199">
                  <c:v>51.54</c:v>
                </c:pt>
                <c:pt idx="200">
                  <c:v>51.42</c:v>
                </c:pt>
                <c:pt idx="201">
                  <c:v>51.24</c:v>
                </c:pt>
                <c:pt idx="202">
                  <c:v>51.51</c:v>
                </c:pt>
                <c:pt idx="203">
                  <c:v>51.77</c:v>
                </c:pt>
                <c:pt idx="204">
                  <c:v>52.2</c:v>
                </c:pt>
                <c:pt idx="205">
                  <c:v>52.23</c:v>
                </c:pt>
                <c:pt idx="206">
                  <c:v>52.08</c:v>
                </c:pt>
                <c:pt idx="207">
                  <c:v>51.73</c:v>
                </c:pt>
                <c:pt idx="208">
                  <c:v>51.8</c:v>
                </c:pt>
                <c:pt idx="209">
                  <c:v>51.88</c:v>
                </c:pt>
                <c:pt idx="210">
                  <c:v>51.34</c:v>
                </c:pt>
                <c:pt idx="211">
                  <c:v>51.52</c:v>
                </c:pt>
                <c:pt idx="212">
                  <c:v>51.19</c:v>
                </c:pt>
                <c:pt idx="213">
                  <c:v>51.27</c:v>
                </c:pt>
                <c:pt idx="214">
                  <c:v>51.85</c:v>
                </c:pt>
                <c:pt idx="215">
                  <c:v>52</c:v>
                </c:pt>
                <c:pt idx="216">
                  <c:v>52.1</c:v>
                </c:pt>
                <c:pt idx="217">
                  <c:v>51.46</c:v>
                </c:pt>
                <c:pt idx="218">
                  <c:v>51.39</c:v>
                </c:pt>
                <c:pt idx="219">
                  <c:v>50.95</c:v>
                </c:pt>
                <c:pt idx="220">
                  <c:v>50.62</c:v>
                </c:pt>
                <c:pt idx="221">
                  <c:v>50.65</c:v>
                </c:pt>
                <c:pt idx="222">
                  <c:v>50.05</c:v>
                </c:pt>
                <c:pt idx="223">
                  <c:v>50.5</c:v>
                </c:pt>
                <c:pt idx="224">
                  <c:v>50.98</c:v>
                </c:pt>
                <c:pt idx="225">
                  <c:v>51.4</c:v>
                </c:pt>
                <c:pt idx="226">
                  <c:v>51.76</c:v>
                </c:pt>
                <c:pt idx="227">
                  <c:v>51.95</c:v>
                </c:pt>
                <c:pt idx="228">
                  <c:v>51.71</c:v>
                </c:pt>
                <c:pt idx="229">
                  <c:v>51.83</c:v>
                </c:pt>
                <c:pt idx="230">
                  <c:v>52</c:v>
                </c:pt>
                <c:pt idx="231">
                  <c:v>52.06</c:v>
                </c:pt>
                <c:pt idx="232">
                  <c:v>52.12</c:v>
                </c:pt>
                <c:pt idx="233">
                  <c:v>51.99</c:v>
                </c:pt>
                <c:pt idx="234">
                  <c:v>51.92</c:v>
                </c:pt>
                <c:pt idx="235">
                  <c:v>52.32</c:v>
                </c:pt>
                <c:pt idx="236">
                  <c:v>52.43</c:v>
                </c:pt>
                <c:pt idx="237">
                  <c:v>52.03</c:v>
                </c:pt>
                <c:pt idx="238">
                  <c:v>52.03</c:v>
                </c:pt>
                <c:pt idx="239">
                  <c:v>51.87</c:v>
                </c:pt>
                <c:pt idx="240">
                  <c:v>51.49</c:v>
                </c:pt>
                <c:pt idx="241">
                  <c:v>51.83</c:v>
                </c:pt>
                <c:pt idx="242">
                  <c:v>52.14</c:v>
                </c:pt>
                <c:pt idx="243">
                  <c:v>52.43</c:v>
                </c:pt>
                <c:pt idx="244">
                  <c:v>50.99</c:v>
                </c:pt>
                <c:pt idx="245">
                  <c:v>51.09</c:v>
                </c:pt>
                <c:pt idx="246">
                  <c:v>51.12</c:v>
                </c:pt>
                <c:pt idx="247">
                  <c:v>51</c:v>
                </c:pt>
                <c:pt idx="248">
                  <c:v>50.98</c:v>
                </c:pt>
                <c:pt idx="249">
                  <c:v>50.73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F3-4F81-BC30-E97BE715875E}"/>
            </c:ext>
          </c:extLst>
        </c:ser>
        <c:ser>
          <c:idx val="2"/>
          <c:order val="2"/>
          <c:tx>
            <c:strRef>
              <c:f>vasgx!$D$1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vasgx!$A$2:$A$251</c:f>
              <c:numCache>
                <c:formatCode>m/d/yyyy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vasgx!$D$2:$D$251</c:f>
              <c:numCache>
                <c:formatCode>General</c:formatCode>
                <c:ptCount val="250"/>
                <c:pt idx="0">
                  <c:v>44.11</c:v>
                </c:pt>
                <c:pt idx="1">
                  <c:v>44.46</c:v>
                </c:pt>
                <c:pt idx="2">
                  <c:v>44.65</c:v>
                </c:pt>
                <c:pt idx="3">
                  <c:v>44.34</c:v>
                </c:pt>
                <c:pt idx="4">
                  <c:v>44.34</c:v>
                </c:pt>
                <c:pt idx="5">
                  <c:v>43.73</c:v>
                </c:pt>
                <c:pt idx="6">
                  <c:v>43.68</c:v>
                </c:pt>
                <c:pt idx="7">
                  <c:v>43.83</c:v>
                </c:pt>
                <c:pt idx="8">
                  <c:v>44.44</c:v>
                </c:pt>
                <c:pt idx="9">
                  <c:v>44.49</c:v>
                </c:pt>
                <c:pt idx="10">
                  <c:v>44.77</c:v>
                </c:pt>
                <c:pt idx="11">
                  <c:v>45.23</c:v>
                </c:pt>
                <c:pt idx="12">
                  <c:v>45.32</c:v>
                </c:pt>
                <c:pt idx="13">
                  <c:v>45.48</c:v>
                </c:pt>
                <c:pt idx="14">
                  <c:v>45.51</c:v>
                </c:pt>
                <c:pt idx="15">
                  <c:v>45.14</c:v>
                </c:pt>
                <c:pt idx="16">
                  <c:v>45.36</c:v>
                </c:pt>
                <c:pt idx="17">
                  <c:v>45.25</c:v>
                </c:pt>
                <c:pt idx="18">
                  <c:v>45.57</c:v>
                </c:pt>
                <c:pt idx="19">
                  <c:v>45.33</c:v>
                </c:pt>
                <c:pt idx="20">
                  <c:v>45.02</c:v>
                </c:pt>
                <c:pt idx="21">
                  <c:v>45.37</c:v>
                </c:pt>
                <c:pt idx="22">
                  <c:v>45.61</c:v>
                </c:pt>
                <c:pt idx="23">
                  <c:v>45.72</c:v>
                </c:pt>
                <c:pt idx="24">
                  <c:v>45.42</c:v>
                </c:pt>
                <c:pt idx="25">
                  <c:v>45.65</c:v>
                </c:pt>
                <c:pt idx="26">
                  <c:v>45.64</c:v>
                </c:pt>
                <c:pt idx="27">
                  <c:v>45.55</c:v>
                </c:pt>
                <c:pt idx="28">
                  <c:v>45.99</c:v>
                </c:pt>
                <c:pt idx="29">
                  <c:v>46.03</c:v>
                </c:pt>
                <c:pt idx="30">
                  <c:v>46.16</c:v>
                </c:pt>
                <c:pt idx="31">
                  <c:v>46.1</c:v>
                </c:pt>
                <c:pt idx="32">
                  <c:v>46.07</c:v>
                </c:pt>
                <c:pt idx="33">
                  <c:v>45.59</c:v>
                </c:pt>
                <c:pt idx="34">
                  <c:v>45.41</c:v>
                </c:pt>
                <c:pt idx="35">
                  <c:v>45.43</c:v>
                </c:pt>
                <c:pt idx="36">
                  <c:v>45.51</c:v>
                </c:pt>
                <c:pt idx="37">
                  <c:v>44.98</c:v>
                </c:pt>
                <c:pt idx="38">
                  <c:v>45.31</c:v>
                </c:pt>
                <c:pt idx="39">
                  <c:v>44.92</c:v>
                </c:pt>
                <c:pt idx="40">
                  <c:v>44.66</c:v>
                </c:pt>
                <c:pt idx="41">
                  <c:v>45.22</c:v>
                </c:pt>
                <c:pt idx="42">
                  <c:v>44.7</c:v>
                </c:pt>
                <c:pt idx="43">
                  <c:v>44.91</c:v>
                </c:pt>
                <c:pt idx="44">
                  <c:v>44.03</c:v>
                </c:pt>
                <c:pt idx="45">
                  <c:v>43.86</c:v>
                </c:pt>
                <c:pt idx="46">
                  <c:v>44.04</c:v>
                </c:pt>
                <c:pt idx="47">
                  <c:v>43.66</c:v>
                </c:pt>
                <c:pt idx="48">
                  <c:v>44.34</c:v>
                </c:pt>
                <c:pt idx="49">
                  <c:v>44.69</c:v>
                </c:pt>
                <c:pt idx="50">
                  <c:v>44.48</c:v>
                </c:pt>
                <c:pt idx="51">
                  <c:v>44.78</c:v>
                </c:pt>
                <c:pt idx="52">
                  <c:v>44.64</c:v>
                </c:pt>
                <c:pt idx="53">
                  <c:v>44.56</c:v>
                </c:pt>
                <c:pt idx="54">
                  <c:v>44.95</c:v>
                </c:pt>
                <c:pt idx="55">
                  <c:v>45.01</c:v>
                </c:pt>
                <c:pt idx="56">
                  <c:v>44.61</c:v>
                </c:pt>
                <c:pt idx="57">
                  <c:v>44.57</c:v>
                </c:pt>
                <c:pt idx="58">
                  <c:v>44.03</c:v>
                </c:pt>
                <c:pt idx="59">
                  <c:v>44.03</c:v>
                </c:pt>
                <c:pt idx="60">
                  <c:v>44.18</c:v>
                </c:pt>
                <c:pt idx="61">
                  <c:v>44.38</c:v>
                </c:pt>
                <c:pt idx="62">
                  <c:v>43.08</c:v>
                </c:pt>
                <c:pt idx="63">
                  <c:v>41.13</c:v>
                </c:pt>
                <c:pt idx="64">
                  <c:v>40.65</c:v>
                </c:pt>
                <c:pt idx="65">
                  <c:v>40.21</c:v>
                </c:pt>
                <c:pt idx="66">
                  <c:v>42.67</c:v>
                </c:pt>
                <c:pt idx="67">
                  <c:v>41.81</c:v>
                </c:pt>
                <c:pt idx="68">
                  <c:v>42.47</c:v>
                </c:pt>
                <c:pt idx="69">
                  <c:v>42.87</c:v>
                </c:pt>
                <c:pt idx="70">
                  <c:v>42.93</c:v>
                </c:pt>
                <c:pt idx="71">
                  <c:v>42.46</c:v>
                </c:pt>
                <c:pt idx="72">
                  <c:v>42.46</c:v>
                </c:pt>
                <c:pt idx="73">
                  <c:v>42.14</c:v>
                </c:pt>
                <c:pt idx="74">
                  <c:v>42.85</c:v>
                </c:pt>
                <c:pt idx="75">
                  <c:v>43.27</c:v>
                </c:pt>
                <c:pt idx="76">
                  <c:v>43.92</c:v>
                </c:pt>
                <c:pt idx="77">
                  <c:v>44.08</c:v>
                </c:pt>
                <c:pt idx="78">
                  <c:v>44.22</c:v>
                </c:pt>
                <c:pt idx="79">
                  <c:v>44.38</c:v>
                </c:pt>
                <c:pt idx="80">
                  <c:v>44.44</c:v>
                </c:pt>
                <c:pt idx="81">
                  <c:v>44.5</c:v>
                </c:pt>
                <c:pt idx="82">
                  <c:v>45.06</c:v>
                </c:pt>
                <c:pt idx="83">
                  <c:v>44.92</c:v>
                </c:pt>
                <c:pt idx="84">
                  <c:v>44.77</c:v>
                </c:pt>
                <c:pt idx="85">
                  <c:v>44.77</c:v>
                </c:pt>
                <c:pt idx="86">
                  <c:v>44.9</c:v>
                </c:pt>
                <c:pt idx="87">
                  <c:v>44.98</c:v>
                </c:pt>
                <c:pt idx="88">
                  <c:v>45.81</c:v>
                </c:pt>
                <c:pt idx="89">
                  <c:v>46.02</c:v>
                </c:pt>
                <c:pt idx="90">
                  <c:v>45.97</c:v>
                </c:pt>
                <c:pt idx="91">
                  <c:v>46.22</c:v>
                </c:pt>
                <c:pt idx="92">
                  <c:v>46.42</c:v>
                </c:pt>
                <c:pt idx="93">
                  <c:v>46.52</c:v>
                </c:pt>
                <c:pt idx="94">
                  <c:v>46.45</c:v>
                </c:pt>
                <c:pt idx="95">
                  <c:v>45.96</c:v>
                </c:pt>
                <c:pt idx="96">
                  <c:v>45.96</c:v>
                </c:pt>
                <c:pt idx="97">
                  <c:v>45.88</c:v>
                </c:pt>
                <c:pt idx="98">
                  <c:v>46.51</c:v>
                </c:pt>
                <c:pt idx="99">
                  <c:v>46.24</c:v>
                </c:pt>
                <c:pt idx="100">
                  <c:v>46.41</c:v>
                </c:pt>
                <c:pt idx="101">
                  <c:v>46.41</c:v>
                </c:pt>
                <c:pt idx="102">
                  <c:v>46.63</c:v>
                </c:pt>
                <c:pt idx="103">
                  <c:v>46.71</c:v>
                </c:pt>
                <c:pt idx="104">
                  <c:v>46.84</c:v>
                </c:pt>
                <c:pt idx="105">
                  <c:v>46.73</c:v>
                </c:pt>
                <c:pt idx="106">
                  <c:v>46.99</c:v>
                </c:pt>
                <c:pt idx="107">
                  <c:v>47.08</c:v>
                </c:pt>
                <c:pt idx="108">
                  <c:v>47.25</c:v>
                </c:pt>
                <c:pt idx="109">
                  <c:v>47.22</c:v>
                </c:pt>
                <c:pt idx="110">
                  <c:v>47.41</c:v>
                </c:pt>
                <c:pt idx="111">
                  <c:v>46.9</c:v>
                </c:pt>
                <c:pt idx="112">
                  <c:v>47.21</c:v>
                </c:pt>
                <c:pt idx="113">
                  <c:v>46.86</c:v>
                </c:pt>
                <c:pt idx="114">
                  <c:v>46.88</c:v>
                </c:pt>
                <c:pt idx="115">
                  <c:v>46.72</c:v>
                </c:pt>
                <c:pt idx="116">
                  <c:v>47.05</c:v>
                </c:pt>
                <c:pt idx="117">
                  <c:v>47.05</c:v>
                </c:pt>
                <c:pt idx="118">
                  <c:v>47.51</c:v>
                </c:pt>
                <c:pt idx="119">
                  <c:v>47.89</c:v>
                </c:pt>
                <c:pt idx="120">
                  <c:v>48.06</c:v>
                </c:pt>
                <c:pt idx="121">
                  <c:v>47.81</c:v>
                </c:pt>
                <c:pt idx="122">
                  <c:v>47.79</c:v>
                </c:pt>
                <c:pt idx="123">
                  <c:v>47.97</c:v>
                </c:pt>
                <c:pt idx="124">
                  <c:v>48.19</c:v>
                </c:pt>
                <c:pt idx="125">
                  <c:v>47.79</c:v>
                </c:pt>
                <c:pt idx="126">
                  <c:v>47.86</c:v>
                </c:pt>
                <c:pt idx="127">
                  <c:v>48.1</c:v>
                </c:pt>
                <c:pt idx="128">
                  <c:v>48.2</c:v>
                </c:pt>
                <c:pt idx="129">
                  <c:v>47.96</c:v>
                </c:pt>
                <c:pt idx="130">
                  <c:v>48.02</c:v>
                </c:pt>
                <c:pt idx="131">
                  <c:v>47.8</c:v>
                </c:pt>
                <c:pt idx="132">
                  <c:v>47.94</c:v>
                </c:pt>
                <c:pt idx="133">
                  <c:v>48.16</c:v>
                </c:pt>
                <c:pt idx="134">
                  <c:v>48.15</c:v>
                </c:pt>
                <c:pt idx="135">
                  <c:v>48.26</c:v>
                </c:pt>
                <c:pt idx="136">
                  <c:v>48.38</c:v>
                </c:pt>
                <c:pt idx="137">
                  <c:v>48.84</c:v>
                </c:pt>
                <c:pt idx="138">
                  <c:v>48.74</c:v>
                </c:pt>
                <c:pt idx="139">
                  <c:v>48.82</c:v>
                </c:pt>
                <c:pt idx="140">
                  <c:v>48.62</c:v>
                </c:pt>
                <c:pt idx="141">
                  <c:v>48.58</c:v>
                </c:pt>
                <c:pt idx="142">
                  <c:v>48.39</c:v>
                </c:pt>
                <c:pt idx="143">
                  <c:v>48.17</c:v>
                </c:pt>
                <c:pt idx="144">
                  <c:v>47.79</c:v>
                </c:pt>
                <c:pt idx="145">
                  <c:v>48.36</c:v>
                </c:pt>
                <c:pt idx="146">
                  <c:v>48.29</c:v>
                </c:pt>
                <c:pt idx="147">
                  <c:v>48.54</c:v>
                </c:pt>
                <c:pt idx="148">
                  <c:v>48.64</c:v>
                </c:pt>
                <c:pt idx="149">
                  <c:v>48.82</c:v>
                </c:pt>
                <c:pt idx="150">
                  <c:v>48.72</c:v>
                </c:pt>
                <c:pt idx="151">
                  <c:v>49.18</c:v>
                </c:pt>
                <c:pt idx="152">
                  <c:v>49.43</c:v>
                </c:pt>
                <c:pt idx="153">
                  <c:v>49.33</c:v>
                </c:pt>
                <c:pt idx="154">
                  <c:v>49.3</c:v>
                </c:pt>
                <c:pt idx="155">
                  <c:v>49.33</c:v>
                </c:pt>
                <c:pt idx="156">
                  <c:v>49.14</c:v>
                </c:pt>
                <c:pt idx="157">
                  <c:v>49.11</c:v>
                </c:pt>
                <c:pt idx="158">
                  <c:v>48.96</c:v>
                </c:pt>
                <c:pt idx="159">
                  <c:v>49.65</c:v>
                </c:pt>
                <c:pt idx="160">
                  <c:v>49.37</c:v>
                </c:pt>
                <c:pt idx="161">
                  <c:v>49.49</c:v>
                </c:pt>
                <c:pt idx="162">
                  <c:v>49.52</c:v>
                </c:pt>
                <c:pt idx="163">
                  <c:v>49.68</c:v>
                </c:pt>
                <c:pt idx="164">
                  <c:v>49.43</c:v>
                </c:pt>
                <c:pt idx="165">
                  <c:v>49.15</c:v>
                </c:pt>
                <c:pt idx="166">
                  <c:v>49.31</c:v>
                </c:pt>
                <c:pt idx="167">
                  <c:v>49.62</c:v>
                </c:pt>
                <c:pt idx="168">
                  <c:v>49.71</c:v>
                </c:pt>
                <c:pt idx="169">
                  <c:v>49.94</c:v>
                </c:pt>
                <c:pt idx="170">
                  <c:v>49.97</c:v>
                </c:pt>
                <c:pt idx="171">
                  <c:v>50.09</c:v>
                </c:pt>
                <c:pt idx="172">
                  <c:v>50.49</c:v>
                </c:pt>
                <c:pt idx="173">
                  <c:v>50.4</c:v>
                </c:pt>
                <c:pt idx="174">
                  <c:v>50.64</c:v>
                </c:pt>
                <c:pt idx="175">
                  <c:v>50.66</c:v>
                </c:pt>
                <c:pt idx="176">
                  <c:v>50.58</c:v>
                </c:pt>
                <c:pt idx="177">
                  <c:v>50.76</c:v>
                </c:pt>
                <c:pt idx="178">
                  <c:v>50.8</c:v>
                </c:pt>
                <c:pt idx="179">
                  <c:v>50.96</c:v>
                </c:pt>
                <c:pt idx="180">
                  <c:v>50.81</c:v>
                </c:pt>
                <c:pt idx="181">
                  <c:v>50.63</c:v>
                </c:pt>
                <c:pt idx="182">
                  <c:v>50.37</c:v>
                </c:pt>
                <c:pt idx="183">
                  <c:v>50.57</c:v>
                </c:pt>
                <c:pt idx="184">
                  <c:v>50.75</c:v>
                </c:pt>
                <c:pt idx="185">
                  <c:v>50.94</c:v>
                </c:pt>
                <c:pt idx="186">
                  <c:v>51.14</c:v>
                </c:pt>
                <c:pt idx="187">
                  <c:v>51.22</c:v>
                </c:pt>
                <c:pt idx="188">
                  <c:v>51.33</c:v>
                </c:pt>
                <c:pt idx="189">
                  <c:v>51.47</c:v>
                </c:pt>
                <c:pt idx="190">
                  <c:v>51.22</c:v>
                </c:pt>
                <c:pt idx="191">
                  <c:v>51.46</c:v>
                </c:pt>
                <c:pt idx="192">
                  <c:v>51.24</c:v>
                </c:pt>
                <c:pt idx="193">
                  <c:v>50.19</c:v>
                </c:pt>
                <c:pt idx="194">
                  <c:v>50.84</c:v>
                </c:pt>
                <c:pt idx="195">
                  <c:v>50.84</c:v>
                </c:pt>
                <c:pt idx="196">
                  <c:v>51.1</c:v>
                </c:pt>
                <c:pt idx="197">
                  <c:v>51</c:v>
                </c:pt>
                <c:pt idx="198">
                  <c:v>51.09</c:v>
                </c:pt>
                <c:pt idx="199">
                  <c:v>51.54</c:v>
                </c:pt>
                <c:pt idx="200">
                  <c:v>51.42</c:v>
                </c:pt>
                <c:pt idx="201">
                  <c:v>51.24</c:v>
                </c:pt>
                <c:pt idx="202">
                  <c:v>51.51</c:v>
                </c:pt>
                <c:pt idx="203">
                  <c:v>51.77</c:v>
                </c:pt>
                <c:pt idx="204">
                  <c:v>52.2</c:v>
                </c:pt>
                <c:pt idx="205">
                  <c:v>52.23</c:v>
                </c:pt>
                <c:pt idx="206">
                  <c:v>52.08</c:v>
                </c:pt>
                <c:pt idx="207">
                  <c:v>51.73</c:v>
                </c:pt>
                <c:pt idx="208">
                  <c:v>51.8</c:v>
                </c:pt>
                <c:pt idx="209">
                  <c:v>51.88</c:v>
                </c:pt>
                <c:pt idx="210">
                  <c:v>51.34</c:v>
                </c:pt>
                <c:pt idx="211">
                  <c:v>51.52</c:v>
                </c:pt>
                <c:pt idx="212">
                  <c:v>51.19</c:v>
                </c:pt>
                <c:pt idx="213">
                  <c:v>51.27</c:v>
                </c:pt>
                <c:pt idx="214">
                  <c:v>51.85</c:v>
                </c:pt>
                <c:pt idx="215">
                  <c:v>52</c:v>
                </c:pt>
                <c:pt idx="216">
                  <c:v>52.1</c:v>
                </c:pt>
                <c:pt idx="217">
                  <c:v>51.46</c:v>
                </c:pt>
                <c:pt idx="218">
                  <c:v>51.39</c:v>
                </c:pt>
                <c:pt idx="219">
                  <c:v>50.95</c:v>
                </c:pt>
                <c:pt idx="220">
                  <c:v>50.62</c:v>
                </c:pt>
                <c:pt idx="221">
                  <c:v>50.65</c:v>
                </c:pt>
                <c:pt idx="222">
                  <c:v>50.05</c:v>
                </c:pt>
                <c:pt idx="223">
                  <c:v>50.5</c:v>
                </c:pt>
                <c:pt idx="224">
                  <c:v>50.98</c:v>
                </c:pt>
                <c:pt idx="225">
                  <c:v>51.4</c:v>
                </c:pt>
                <c:pt idx="226">
                  <c:v>51.76</c:v>
                </c:pt>
                <c:pt idx="227">
                  <c:v>51.95</c:v>
                </c:pt>
                <c:pt idx="228">
                  <c:v>51.71</c:v>
                </c:pt>
                <c:pt idx="229">
                  <c:v>51.83</c:v>
                </c:pt>
                <c:pt idx="230">
                  <c:v>52</c:v>
                </c:pt>
                <c:pt idx="231">
                  <c:v>52.06</c:v>
                </c:pt>
                <c:pt idx="232">
                  <c:v>52.12</c:v>
                </c:pt>
                <c:pt idx="233">
                  <c:v>51.99</c:v>
                </c:pt>
                <c:pt idx="234">
                  <c:v>51.92</c:v>
                </c:pt>
                <c:pt idx="235">
                  <c:v>52.32</c:v>
                </c:pt>
                <c:pt idx="236">
                  <c:v>52.43</c:v>
                </c:pt>
                <c:pt idx="237">
                  <c:v>52.03</c:v>
                </c:pt>
                <c:pt idx="238">
                  <c:v>52.03</c:v>
                </c:pt>
                <c:pt idx="239">
                  <c:v>51.87</c:v>
                </c:pt>
                <c:pt idx="240">
                  <c:v>51.49</c:v>
                </c:pt>
                <c:pt idx="241">
                  <c:v>51.83</c:v>
                </c:pt>
                <c:pt idx="242">
                  <c:v>52.14</c:v>
                </c:pt>
                <c:pt idx="243">
                  <c:v>52.43</c:v>
                </c:pt>
                <c:pt idx="244">
                  <c:v>50.99</c:v>
                </c:pt>
                <c:pt idx="245">
                  <c:v>51.09</c:v>
                </c:pt>
                <c:pt idx="246">
                  <c:v>51.12</c:v>
                </c:pt>
                <c:pt idx="247">
                  <c:v>51</c:v>
                </c:pt>
                <c:pt idx="248">
                  <c:v>50.98</c:v>
                </c:pt>
                <c:pt idx="249">
                  <c:v>50.73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F3-4F81-BC30-E97BE715875E}"/>
            </c:ext>
          </c:extLst>
        </c:ser>
        <c:ser>
          <c:idx val="3"/>
          <c:order val="3"/>
          <c:tx>
            <c:strRef>
              <c:f>vasgx!$E$1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vasgx!$A$2:$A$251</c:f>
              <c:numCache>
                <c:formatCode>m/d/yyyy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vasgx!$E$2:$E$251</c:f>
              <c:numCache>
                <c:formatCode>General</c:formatCode>
                <c:ptCount val="250"/>
                <c:pt idx="0">
                  <c:v>44.11</c:v>
                </c:pt>
                <c:pt idx="1">
                  <c:v>44.46</c:v>
                </c:pt>
                <c:pt idx="2">
                  <c:v>44.65</c:v>
                </c:pt>
                <c:pt idx="3">
                  <c:v>44.34</c:v>
                </c:pt>
                <c:pt idx="4">
                  <c:v>44.34</c:v>
                </c:pt>
                <c:pt idx="5">
                  <c:v>43.73</c:v>
                </c:pt>
                <c:pt idx="6">
                  <c:v>43.68</c:v>
                </c:pt>
                <c:pt idx="7">
                  <c:v>43.83</c:v>
                </c:pt>
                <c:pt idx="8">
                  <c:v>44.44</c:v>
                </c:pt>
                <c:pt idx="9">
                  <c:v>44.49</c:v>
                </c:pt>
                <c:pt idx="10">
                  <c:v>44.77</c:v>
                </c:pt>
                <c:pt idx="11">
                  <c:v>45.23</c:v>
                </c:pt>
                <c:pt idx="12">
                  <c:v>45.32</c:v>
                </c:pt>
                <c:pt idx="13">
                  <c:v>45.48</c:v>
                </c:pt>
                <c:pt idx="14">
                  <c:v>45.51</c:v>
                </c:pt>
                <c:pt idx="15">
                  <c:v>45.14</c:v>
                </c:pt>
                <c:pt idx="16">
                  <c:v>45.36</c:v>
                </c:pt>
                <c:pt idx="17">
                  <c:v>45.25</c:v>
                </c:pt>
                <c:pt idx="18">
                  <c:v>45.57</c:v>
                </c:pt>
                <c:pt idx="19">
                  <c:v>45.33</c:v>
                </c:pt>
                <c:pt idx="20">
                  <c:v>45.02</c:v>
                </c:pt>
                <c:pt idx="21">
                  <c:v>45.37</c:v>
                </c:pt>
                <c:pt idx="22">
                  <c:v>45.61</c:v>
                </c:pt>
                <c:pt idx="23">
                  <c:v>45.72</c:v>
                </c:pt>
                <c:pt idx="24">
                  <c:v>45.42</c:v>
                </c:pt>
                <c:pt idx="25">
                  <c:v>45.65</c:v>
                </c:pt>
                <c:pt idx="26">
                  <c:v>45.64</c:v>
                </c:pt>
                <c:pt idx="27">
                  <c:v>45.55</c:v>
                </c:pt>
                <c:pt idx="28">
                  <c:v>45.99</c:v>
                </c:pt>
                <c:pt idx="29">
                  <c:v>46.03</c:v>
                </c:pt>
                <c:pt idx="30">
                  <c:v>46.16</c:v>
                </c:pt>
                <c:pt idx="31">
                  <c:v>46.1</c:v>
                </c:pt>
                <c:pt idx="32">
                  <c:v>46.07</c:v>
                </c:pt>
                <c:pt idx="33">
                  <c:v>45.59</c:v>
                </c:pt>
                <c:pt idx="34">
                  <c:v>45.41</c:v>
                </c:pt>
                <c:pt idx="35">
                  <c:v>45.43</c:v>
                </c:pt>
                <c:pt idx="36">
                  <c:v>45.51</c:v>
                </c:pt>
                <c:pt idx="37">
                  <c:v>44.98</c:v>
                </c:pt>
                <c:pt idx="38">
                  <c:v>45.31</c:v>
                </c:pt>
                <c:pt idx="39">
                  <c:v>44.92</c:v>
                </c:pt>
                <c:pt idx="40">
                  <c:v>44.66</c:v>
                </c:pt>
                <c:pt idx="41">
                  <c:v>45.22</c:v>
                </c:pt>
                <c:pt idx="42">
                  <c:v>44.7</c:v>
                </c:pt>
                <c:pt idx="43">
                  <c:v>44.91</c:v>
                </c:pt>
                <c:pt idx="44">
                  <c:v>44.03</c:v>
                </c:pt>
                <c:pt idx="45">
                  <c:v>43.86</c:v>
                </c:pt>
                <c:pt idx="46">
                  <c:v>44.04</c:v>
                </c:pt>
                <c:pt idx="47">
                  <c:v>43.66</c:v>
                </c:pt>
                <c:pt idx="48">
                  <c:v>44.34</c:v>
                </c:pt>
                <c:pt idx="49">
                  <c:v>44.69</c:v>
                </c:pt>
                <c:pt idx="50">
                  <c:v>44.48</c:v>
                </c:pt>
                <c:pt idx="51">
                  <c:v>44.78</c:v>
                </c:pt>
                <c:pt idx="52">
                  <c:v>44.64</c:v>
                </c:pt>
                <c:pt idx="53">
                  <c:v>44.56</c:v>
                </c:pt>
                <c:pt idx="54">
                  <c:v>44.95</c:v>
                </c:pt>
                <c:pt idx="55">
                  <c:v>45.01</c:v>
                </c:pt>
                <c:pt idx="56">
                  <c:v>44.61</c:v>
                </c:pt>
                <c:pt idx="57">
                  <c:v>44.57</c:v>
                </c:pt>
                <c:pt idx="58">
                  <c:v>44.03</c:v>
                </c:pt>
                <c:pt idx="59">
                  <c:v>44.03</c:v>
                </c:pt>
                <c:pt idx="60">
                  <c:v>44.18</c:v>
                </c:pt>
                <c:pt idx="61">
                  <c:v>44.38</c:v>
                </c:pt>
                <c:pt idx="62">
                  <c:v>43.08</c:v>
                </c:pt>
                <c:pt idx="63">
                  <c:v>41.13</c:v>
                </c:pt>
                <c:pt idx="64">
                  <c:v>40.65</c:v>
                </c:pt>
                <c:pt idx="65">
                  <c:v>40.21</c:v>
                </c:pt>
                <c:pt idx="66">
                  <c:v>42.67</c:v>
                </c:pt>
                <c:pt idx="67">
                  <c:v>41.81</c:v>
                </c:pt>
                <c:pt idx="68">
                  <c:v>42.47</c:v>
                </c:pt>
                <c:pt idx="69">
                  <c:v>42.87</c:v>
                </c:pt>
                <c:pt idx="70">
                  <c:v>42.93</c:v>
                </c:pt>
                <c:pt idx="71">
                  <c:v>42.46</c:v>
                </c:pt>
                <c:pt idx="72">
                  <c:v>42.46</c:v>
                </c:pt>
                <c:pt idx="73">
                  <c:v>42.14</c:v>
                </c:pt>
                <c:pt idx="74">
                  <c:v>42.85</c:v>
                </c:pt>
                <c:pt idx="75">
                  <c:v>43.27</c:v>
                </c:pt>
                <c:pt idx="76">
                  <c:v>43.92</c:v>
                </c:pt>
                <c:pt idx="77">
                  <c:v>44.08</c:v>
                </c:pt>
                <c:pt idx="78">
                  <c:v>44.22</c:v>
                </c:pt>
                <c:pt idx="79">
                  <c:v>44.38</c:v>
                </c:pt>
                <c:pt idx="80">
                  <c:v>44.44</c:v>
                </c:pt>
                <c:pt idx="81">
                  <c:v>44.5</c:v>
                </c:pt>
                <c:pt idx="82">
                  <c:v>45.06</c:v>
                </c:pt>
                <c:pt idx="83">
                  <c:v>44.92</c:v>
                </c:pt>
                <c:pt idx="84">
                  <c:v>44.77</c:v>
                </c:pt>
                <c:pt idx="85">
                  <c:v>44.77</c:v>
                </c:pt>
                <c:pt idx="86">
                  <c:v>44.9</c:v>
                </c:pt>
                <c:pt idx="87">
                  <c:v>44.98</c:v>
                </c:pt>
                <c:pt idx="88">
                  <c:v>45.81</c:v>
                </c:pt>
                <c:pt idx="89">
                  <c:v>46.02</c:v>
                </c:pt>
                <c:pt idx="90">
                  <c:v>45.97</c:v>
                </c:pt>
                <c:pt idx="91">
                  <c:v>46.22</c:v>
                </c:pt>
                <c:pt idx="92">
                  <c:v>46.42</c:v>
                </c:pt>
                <c:pt idx="93">
                  <c:v>46.52</c:v>
                </c:pt>
                <c:pt idx="94">
                  <c:v>46.45</c:v>
                </c:pt>
                <c:pt idx="95">
                  <c:v>45.96</c:v>
                </c:pt>
                <c:pt idx="96">
                  <c:v>45.96</c:v>
                </c:pt>
                <c:pt idx="97">
                  <c:v>45.88</c:v>
                </c:pt>
                <c:pt idx="98">
                  <c:v>46.51</c:v>
                </c:pt>
                <c:pt idx="99">
                  <c:v>46.24</c:v>
                </c:pt>
                <c:pt idx="100">
                  <c:v>46.41</c:v>
                </c:pt>
                <c:pt idx="101">
                  <c:v>46.41</c:v>
                </c:pt>
                <c:pt idx="102">
                  <c:v>46.63</c:v>
                </c:pt>
                <c:pt idx="103">
                  <c:v>46.71</c:v>
                </c:pt>
                <c:pt idx="104">
                  <c:v>46.84</c:v>
                </c:pt>
                <c:pt idx="105">
                  <c:v>46.73</c:v>
                </c:pt>
                <c:pt idx="106">
                  <c:v>46.99</c:v>
                </c:pt>
                <c:pt idx="107">
                  <c:v>47.08</c:v>
                </c:pt>
                <c:pt idx="108">
                  <c:v>47.25</c:v>
                </c:pt>
                <c:pt idx="109">
                  <c:v>47.22</c:v>
                </c:pt>
                <c:pt idx="110">
                  <c:v>47.41</c:v>
                </c:pt>
                <c:pt idx="111">
                  <c:v>46.9</c:v>
                </c:pt>
                <c:pt idx="112">
                  <c:v>47.21</c:v>
                </c:pt>
                <c:pt idx="113">
                  <c:v>46.86</c:v>
                </c:pt>
                <c:pt idx="114">
                  <c:v>46.88</c:v>
                </c:pt>
                <c:pt idx="115">
                  <c:v>46.72</c:v>
                </c:pt>
                <c:pt idx="116">
                  <c:v>47.05</c:v>
                </c:pt>
                <c:pt idx="117">
                  <c:v>47.05</c:v>
                </c:pt>
                <c:pt idx="118">
                  <c:v>47.51</c:v>
                </c:pt>
                <c:pt idx="119">
                  <c:v>47.89</c:v>
                </c:pt>
                <c:pt idx="120">
                  <c:v>48.06</c:v>
                </c:pt>
                <c:pt idx="121">
                  <c:v>47.81</c:v>
                </c:pt>
                <c:pt idx="122">
                  <c:v>47.79</c:v>
                </c:pt>
                <c:pt idx="123">
                  <c:v>47.97</c:v>
                </c:pt>
                <c:pt idx="124">
                  <c:v>48.19</c:v>
                </c:pt>
                <c:pt idx="125">
                  <c:v>47.79</c:v>
                </c:pt>
                <c:pt idx="126">
                  <c:v>47.86</c:v>
                </c:pt>
                <c:pt idx="127">
                  <c:v>48.1</c:v>
                </c:pt>
                <c:pt idx="128">
                  <c:v>48.2</c:v>
                </c:pt>
                <c:pt idx="129">
                  <c:v>47.96</c:v>
                </c:pt>
                <c:pt idx="130">
                  <c:v>48.02</c:v>
                </c:pt>
                <c:pt idx="131">
                  <c:v>47.8</c:v>
                </c:pt>
                <c:pt idx="132">
                  <c:v>47.94</c:v>
                </c:pt>
                <c:pt idx="133">
                  <c:v>48.16</c:v>
                </c:pt>
                <c:pt idx="134">
                  <c:v>48.15</c:v>
                </c:pt>
                <c:pt idx="135">
                  <c:v>48.26</c:v>
                </c:pt>
                <c:pt idx="136">
                  <c:v>48.38</c:v>
                </c:pt>
                <c:pt idx="137">
                  <c:v>48.84</c:v>
                </c:pt>
                <c:pt idx="138">
                  <c:v>48.74</c:v>
                </c:pt>
                <c:pt idx="139">
                  <c:v>48.82</c:v>
                </c:pt>
                <c:pt idx="140">
                  <c:v>48.62</c:v>
                </c:pt>
                <c:pt idx="141">
                  <c:v>48.58</c:v>
                </c:pt>
                <c:pt idx="142">
                  <c:v>48.39</c:v>
                </c:pt>
                <c:pt idx="143">
                  <c:v>48.17</c:v>
                </c:pt>
                <c:pt idx="144">
                  <c:v>47.79</c:v>
                </c:pt>
                <c:pt idx="145">
                  <c:v>48.36</c:v>
                </c:pt>
                <c:pt idx="146">
                  <c:v>48.29</c:v>
                </c:pt>
                <c:pt idx="147">
                  <c:v>48.54</c:v>
                </c:pt>
                <c:pt idx="148">
                  <c:v>48.64</c:v>
                </c:pt>
                <c:pt idx="149">
                  <c:v>48.82</c:v>
                </c:pt>
                <c:pt idx="150">
                  <c:v>48.72</c:v>
                </c:pt>
                <c:pt idx="151">
                  <c:v>49.18</c:v>
                </c:pt>
                <c:pt idx="152">
                  <c:v>49.43</c:v>
                </c:pt>
                <c:pt idx="153">
                  <c:v>49.33</c:v>
                </c:pt>
                <c:pt idx="154">
                  <c:v>49.3</c:v>
                </c:pt>
                <c:pt idx="155">
                  <c:v>49.33</c:v>
                </c:pt>
                <c:pt idx="156">
                  <c:v>49.14</c:v>
                </c:pt>
                <c:pt idx="157">
                  <c:v>49.11</c:v>
                </c:pt>
                <c:pt idx="158">
                  <c:v>48.96</c:v>
                </c:pt>
                <c:pt idx="159">
                  <c:v>49.65</c:v>
                </c:pt>
                <c:pt idx="160">
                  <c:v>49.37</c:v>
                </c:pt>
                <c:pt idx="161">
                  <c:v>49.49</c:v>
                </c:pt>
                <c:pt idx="162">
                  <c:v>49.52</c:v>
                </c:pt>
                <c:pt idx="163">
                  <c:v>49.68</c:v>
                </c:pt>
                <c:pt idx="164">
                  <c:v>49.43</c:v>
                </c:pt>
                <c:pt idx="165">
                  <c:v>49.15</c:v>
                </c:pt>
                <c:pt idx="166">
                  <c:v>49.31</c:v>
                </c:pt>
                <c:pt idx="167">
                  <c:v>49.62</c:v>
                </c:pt>
                <c:pt idx="168">
                  <c:v>49.71</c:v>
                </c:pt>
                <c:pt idx="169">
                  <c:v>49.94</c:v>
                </c:pt>
                <c:pt idx="170">
                  <c:v>49.97</c:v>
                </c:pt>
                <c:pt idx="171">
                  <c:v>50.09</c:v>
                </c:pt>
                <c:pt idx="172">
                  <c:v>50.49</c:v>
                </c:pt>
                <c:pt idx="173">
                  <c:v>50.4</c:v>
                </c:pt>
                <c:pt idx="174">
                  <c:v>50.64</c:v>
                </c:pt>
                <c:pt idx="175">
                  <c:v>50.66</c:v>
                </c:pt>
                <c:pt idx="176">
                  <c:v>50.58</c:v>
                </c:pt>
                <c:pt idx="177">
                  <c:v>50.76</c:v>
                </c:pt>
                <c:pt idx="178">
                  <c:v>50.8</c:v>
                </c:pt>
                <c:pt idx="179">
                  <c:v>50.96</c:v>
                </c:pt>
                <c:pt idx="180">
                  <c:v>50.81</c:v>
                </c:pt>
                <c:pt idx="181">
                  <c:v>50.63</c:v>
                </c:pt>
                <c:pt idx="182">
                  <c:v>50.37</c:v>
                </c:pt>
                <c:pt idx="183">
                  <c:v>50.57</c:v>
                </c:pt>
                <c:pt idx="184">
                  <c:v>50.75</c:v>
                </c:pt>
                <c:pt idx="185">
                  <c:v>50.94</c:v>
                </c:pt>
                <c:pt idx="186">
                  <c:v>51.14</c:v>
                </c:pt>
                <c:pt idx="187">
                  <c:v>51.22</c:v>
                </c:pt>
                <c:pt idx="188">
                  <c:v>51.33</c:v>
                </c:pt>
                <c:pt idx="189">
                  <c:v>51.47</c:v>
                </c:pt>
                <c:pt idx="190">
                  <c:v>51.22</c:v>
                </c:pt>
                <c:pt idx="191">
                  <c:v>51.46</c:v>
                </c:pt>
                <c:pt idx="192">
                  <c:v>51.24</c:v>
                </c:pt>
                <c:pt idx="193">
                  <c:v>50.19</c:v>
                </c:pt>
                <c:pt idx="194">
                  <c:v>50.84</c:v>
                </c:pt>
                <c:pt idx="195">
                  <c:v>50.84</c:v>
                </c:pt>
                <c:pt idx="196">
                  <c:v>51.1</c:v>
                </c:pt>
                <c:pt idx="197">
                  <c:v>51</c:v>
                </c:pt>
                <c:pt idx="198">
                  <c:v>51.09</c:v>
                </c:pt>
                <c:pt idx="199">
                  <c:v>51.54</c:v>
                </c:pt>
                <c:pt idx="200">
                  <c:v>51.42</c:v>
                </c:pt>
                <c:pt idx="201">
                  <c:v>51.24</c:v>
                </c:pt>
                <c:pt idx="202">
                  <c:v>51.51</c:v>
                </c:pt>
                <c:pt idx="203">
                  <c:v>51.77</c:v>
                </c:pt>
                <c:pt idx="204">
                  <c:v>52.2</c:v>
                </c:pt>
                <c:pt idx="205">
                  <c:v>52.23</c:v>
                </c:pt>
                <c:pt idx="206">
                  <c:v>52.08</c:v>
                </c:pt>
                <c:pt idx="207">
                  <c:v>51.73</c:v>
                </c:pt>
                <c:pt idx="208">
                  <c:v>51.8</c:v>
                </c:pt>
                <c:pt idx="209">
                  <c:v>51.88</c:v>
                </c:pt>
                <c:pt idx="210">
                  <c:v>51.34</c:v>
                </c:pt>
                <c:pt idx="211">
                  <c:v>51.52</c:v>
                </c:pt>
                <c:pt idx="212">
                  <c:v>51.19</c:v>
                </c:pt>
                <c:pt idx="213">
                  <c:v>51.27</c:v>
                </c:pt>
                <c:pt idx="214">
                  <c:v>51.85</c:v>
                </c:pt>
                <c:pt idx="215">
                  <c:v>52</c:v>
                </c:pt>
                <c:pt idx="216">
                  <c:v>52.1</c:v>
                </c:pt>
                <c:pt idx="217">
                  <c:v>51.46</c:v>
                </c:pt>
                <c:pt idx="218">
                  <c:v>51.39</c:v>
                </c:pt>
                <c:pt idx="219">
                  <c:v>50.95</c:v>
                </c:pt>
                <c:pt idx="220">
                  <c:v>50.62</c:v>
                </c:pt>
                <c:pt idx="221">
                  <c:v>50.65</c:v>
                </c:pt>
                <c:pt idx="222">
                  <c:v>50.05</c:v>
                </c:pt>
                <c:pt idx="223">
                  <c:v>50.5</c:v>
                </c:pt>
                <c:pt idx="224">
                  <c:v>50.98</c:v>
                </c:pt>
                <c:pt idx="225">
                  <c:v>51.4</c:v>
                </c:pt>
                <c:pt idx="226">
                  <c:v>51.76</c:v>
                </c:pt>
                <c:pt idx="227">
                  <c:v>51.95</c:v>
                </c:pt>
                <c:pt idx="228">
                  <c:v>51.71</c:v>
                </c:pt>
                <c:pt idx="229">
                  <c:v>51.83</c:v>
                </c:pt>
                <c:pt idx="230">
                  <c:v>52</c:v>
                </c:pt>
                <c:pt idx="231">
                  <c:v>52.06</c:v>
                </c:pt>
                <c:pt idx="232">
                  <c:v>52.12</c:v>
                </c:pt>
                <c:pt idx="233">
                  <c:v>51.99</c:v>
                </c:pt>
                <c:pt idx="234">
                  <c:v>51.92</c:v>
                </c:pt>
                <c:pt idx="235">
                  <c:v>52.32</c:v>
                </c:pt>
                <c:pt idx="236">
                  <c:v>52.43</c:v>
                </c:pt>
                <c:pt idx="237">
                  <c:v>52.03</c:v>
                </c:pt>
                <c:pt idx="238">
                  <c:v>52.03</c:v>
                </c:pt>
                <c:pt idx="239">
                  <c:v>51.87</c:v>
                </c:pt>
                <c:pt idx="240">
                  <c:v>51.49</c:v>
                </c:pt>
                <c:pt idx="241">
                  <c:v>51.83</c:v>
                </c:pt>
                <c:pt idx="242">
                  <c:v>52.14</c:v>
                </c:pt>
                <c:pt idx="243">
                  <c:v>52.43</c:v>
                </c:pt>
                <c:pt idx="244">
                  <c:v>50.99</c:v>
                </c:pt>
                <c:pt idx="245">
                  <c:v>51.09</c:v>
                </c:pt>
                <c:pt idx="246">
                  <c:v>51.12</c:v>
                </c:pt>
                <c:pt idx="247">
                  <c:v>51</c:v>
                </c:pt>
                <c:pt idx="248">
                  <c:v>50.98</c:v>
                </c:pt>
                <c:pt idx="249">
                  <c:v>50.73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F3-4F81-BC30-E97BE715875E}"/>
            </c:ext>
          </c:extLst>
        </c:ser>
        <c:ser>
          <c:idx val="4"/>
          <c:order val="4"/>
          <c:tx>
            <c:strRef>
              <c:f>vasgx!$F$1</c:f>
              <c:strCache>
                <c:ptCount val="1"/>
                <c:pt idx="0">
                  <c:v>20d SMA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vasgx!$A$2:$A$251</c:f>
              <c:numCache>
                <c:formatCode>m/d/yyyy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vasgx!$F$2:$F$251</c:f>
              <c:numCache>
                <c:formatCode>General</c:formatCode>
                <c:ptCount val="250"/>
                <c:pt idx="19">
                  <c:v>44.751500000000007</c:v>
                </c:pt>
                <c:pt idx="20">
                  <c:v>44.797000000000004</c:v>
                </c:pt>
                <c:pt idx="21">
                  <c:v>44.842500000000001</c:v>
                </c:pt>
                <c:pt idx="22">
                  <c:v>44.89050000000001</c:v>
                </c:pt>
                <c:pt idx="23">
                  <c:v>44.959500000000006</c:v>
                </c:pt>
                <c:pt idx="24">
                  <c:v>45.013500000000008</c:v>
                </c:pt>
                <c:pt idx="25">
                  <c:v>45.109500000000004</c:v>
                </c:pt>
                <c:pt idx="26">
                  <c:v>45.207499999999996</c:v>
                </c:pt>
                <c:pt idx="27">
                  <c:v>45.293499999999995</c:v>
                </c:pt>
                <c:pt idx="28">
                  <c:v>45.370999999999995</c:v>
                </c:pt>
                <c:pt idx="29">
                  <c:v>45.447999999999993</c:v>
                </c:pt>
                <c:pt idx="30">
                  <c:v>45.517499999999991</c:v>
                </c:pt>
                <c:pt idx="31">
                  <c:v>45.560999999999993</c:v>
                </c:pt>
                <c:pt idx="32">
                  <c:v>45.598499999999994</c:v>
                </c:pt>
                <c:pt idx="33">
                  <c:v>45.603999999999999</c:v>
                </c:pt>
                <c:pt idx="34">
                  <c:v>45.599000000000004</c:v>
                </c:pt>
                <c:pt idx="35">
                  <c:v>45.613500000000002</c:v>
                </c:pt>
                <c:pt idx="36">
                  <c:v>45.620999999999995</c:v>
                </c:pt>
                <c:pt idx="37">
                  <c:v>45.607500000000002</c:v>
                </c:pt>
                <c:pt idx="38">
                  <c:v>45.594499999999996</c:v>
                </c:pt>
                <c:pt idx="39">
                  <c:v>45.573999999999998</c:v>
                </c:pt>
                <c:pt idx="40">
                  <c:v>45.555999999999997</c:v>
                </c:pt>
                <c:pt idx="41">
                  <c:v>45.54849999999999</c:v>
                </c:pt>
                <c:pt idx="42">
                  <c:v>45.503</c:v>
                </c:pt>
                <c:pt idx="43">
                  <c:v>45.462499999999991</c:v>
                </c:pt>
                <c:pt idx="44">
                  <c:v>45.393000000000001</c:v>
                </c:pt>
                <c:pt idx="45">
                  <c:v>45.3035</c:v>
                </c:pt>
                <c:pt idx="46">
                  <c:v>45.223499999999994</c:v>
                </c:pt>
                <c:pt idx="47">
                  <c:v>45.128999999999998</c:v>
                </c:pt>
                <c:pt idx="48">
                  <c:v>45.046500000000002</c:v>
                </c:pt>
                <c:pt idx="49">
                  <c:v>44.979499999999994</c:v>
                </c:pt>
                <c:pt idx="50">
                  <c:v>44.895500000000006</c:v>
                </c:pt>
                <c:pt idx="51">
                  <c:v>44.829499999999996</c:v>
                </c:pt>
                <c:pt idx="52">
                  <c:v>44.757999999999996</c:v>
                </c:pt>
                <c:pt idx="53">
                  <c:v>44.706500000000005</c:v>
                </c:pt>
                <c:pt idx="54">
                  <c:v>44.683500000000002</c:v>
                </c:pt>
                <c:pt idx="55">
                  <c:v>44.662500000000009</c:v>
                </c:pt>
                <c:pt idx="56">
                  <c:v>44.6175</c:v>
                </c:pt>
                <c:pt idx="57">
                  <c:v>44.597000000000016</c:v>
                </c:pt>
                <c:pt idx="58">
                  <c:v>44.533000000000001</c:v>
                </c:pt>
                <c:pt idx="59">
                  <c:v>44.488500000000009</c:v>
                </c:pt>
                <c:pt idx="60">
                  <c:v>44.464500000000001</c:v>
                </c:pt>
                <c:pt idx="61">
                  <c:v>44.422499999999999</c:v>
                </c:pt>
                <c:pt idx="62">
                  <c:v>44.341500000000003</c:v>
                </c:pt>
                <c:pt idx="63">
                  <c:v>44.152499999999996</c:v>
                </c:pt>
                <c:pt idx="64">
                  <c:v>43.983499999999999</c:v>
                </c:pt>
                <c:pt idx="65">
                  <c:v>43.801000000000002</c:v>
                </c:pt>
                <c:pt idx="66">
                  <c:v>43.732499999999995</c:v>
                </c:pt>
                <c:pt idx="67">
                  <c:v>43.64</c:v>
                </c:pt>
                <c:pt idx="68">
                  <c:v>43.546499999999995</c:v>
                </c:pt>
                <c:pt idx="69">
                  <c:v>43.455500000000001</c:v>
                </c:pt>
                <c:pt idx="70">
                  <c:v>43.378</c:v>
                </c:pt>
                <c:pt idx="71">
                  <c:v>43.262</c:v>
                </c:pt>
                <c:pt idx="72">
                  <c:v>43.152999999999999</c:v>
                </c:pt>
                <c:pt idx="73">
                  <c:v>43.031999999999996</c:v>
                </c:pt>
                <c:pt idx="74">
                  <c:v>42.927</c:v>
                </c:pt>
                <c:pt idx="75">
                  <c:v>42.839999999999996</c:v>
                </c:pt>
                <c:pt idx="76">
                  <c:v>42.805499999999995</c:v>
                </c:pt>
                <c:pt idx="77">
                  <c:v>42.780999999999999</c:v>
                </c:pt>
                <c:pt idx="78">
                  <c:v>42.790500000000002</c:v>
                </c:pt>
                <c:pt idx="79">
                  <c:v>42.808000000000007</c:v>
                </c:pt>
                <c:pt idx="80">
                  <c:v>42.821000000000005</c:v>
                </c:pt>
                <c:pt idx="81">
                  <c:v>42.826999999999998</c:v>
                </c:pt>
                <c:pt idx="82">
                  <c:v>42.926000000000002</c:v>
                </c:pt>
                <c:pt idx="83">
                  <c:v>43.11549999999999</c:v>
                </c:pt>
                <c:pt idx="84">
                  <c:v>43.3215</c:v>
                </c:pt>
                <c:pt idx="85">
                  <c:v>43.549499999999995</c:v>
                </c:pt>
                <c:pt idx="86">
                  <c:v>43.660999999999987</c:v>
                </c:pt>
                <c:pt idx="87">
                  <c:v>43.819499999999991</c:v>
                </c:pt>
                <c:pt idx="88">
                  <c:v>43.986499999999992</c:v>
                </c:pt>
                <c:pt idx="89">
                  <c:v>44.143999999999991</c:v>
                </c:pt>
                <c:pt idx="90">
                  <c:v>44.295999999999992</c:v>
                </c:pt>
                <c:pt idx="91">
                  <c:v>44.483999999999995</c:v>
                </c:pt>
                <c:pt idx="92">
                  <c:v>44.682000000000002</c:v>
                </c:pt>
                <c:pt idx="93">
                  <c:v>44.901000000000003</c:v>
                </c:pt>
                <c:pt idx="94">
                  <c:v>45.081000000000003</c:v>
                </c:pt>
                <c:pt idx="95">
                  <c:v>45.215500000000006</c:v>
                </c:pt>
                <c:pt idx="96">
                  <c:v>45.317500000000003</c:v>
                </c:pt>
                <c:pt idx="97">
                  <c:v>45.407500000000006</c:v>
                </c:pt>
                <c:pt idx="98">
                  <c:v>45.522000000000006</c:v>
                </c:pt>
                <c:pt idx="99">
                  <c:v>45.615000000000002</c:v>
                </c:pt>
                <c:pt idx="100">
                  <c:v>45.713500000000003</c:v>
                </c:pt>
                <c:pt idx="101">
                  <c:v>45.809000000000012</c:v>
                </c:pt>
                <c:pt idx="102">
                  <c:v>45.887500000000003</c:v>
                </c:pt>
                <c:pt idx="103">
                  <c:v>45.977000000000004</c:v>
                </c:pt>
                <c:pt idx="104">
                  <c:v>46.080500000000001</c:v>
                </c:pt>
                <c:pt idx="105">
                  <c:v>46.1785</c:v>
                </c:pt>
                <c:pt idx="106">
                  <c:v>46.283000000000001</c:v>
                </c:pt>
                <c:pt idx="107">
                  <c:v>46.387999999999998</c:v>
                </c:pt>
                <c:pt idx="108">
                  <c:v>46.46</c:v>
                </c:pt>
                <c:pt idx="109">
                  <c:v>46.52</c:v>
                </c:pt>
                <c:pt idx="110">
                  <c:v>46.592000000000006</c:v>
                </c:pt>
                <c:pt idx="111">
                  <c:v>46.626000000000005</c:v>
                </c:pt>
                <c:pt idx="112">
                  <c:v>46.665500000000002</c:v>
                </c:pt>
                <c:pt idx="113">
                  <c:v>46.682499999999997</c:v>
                </c:pt>
                <c:pt idx="114">
                  <c:v>46.704000000000001</c:v>
                </c:pt>
                <c:pt idx="115">
                  <c:v>46.742000000000004</c:v>
                </c:pt>
                <c:pt idx="116">
                  <c:v>46.796500000000002</c:v>
                </c:pt>
                <c:pt idx="117">
                  <c:v>46.854999999999997</c:v>
                </c:pt>
                <c:pt idx="118">
                  <c:v>46.904999999999994</c:v>
                </c:pt>
                <c:pt idx="119">
                  <c:v>46.987499999999997</c:v>
                </c:pt>
                <c:pt idx="120">
                  <c:v>47.069999999999993</c:v>
                </c:pt>
                <c:pt idx="121">
                  <c:v>47.14</c:v>
                </c:pt>
                <c:pt idx="122">
                  <c:v>47.197999999999993</c:v>
                </c:pt>
                <c:pt idx="123">
                  <c:v>47.260999999999989</c:v>
                </c:pt>
                <c:pt idx="124">
                  <c:v>47.328499999999998</c:v>
                </c:pt>
                <c:pt idx="125">
                  <c:v>47.381499999999996</c:v>
                </c:pt>
                <c:pt idx="126">
                  <c:v>47.424999999999997</c:v>
                </c:pt>
                <c:pt idx="127">
                  <c:v>47.475999999999999</c:v>
                </c:pt>
                <c:pt idx="128">
                  <c:v>47.523499999999999</c:v>
                </c:pt>
                <c:pt idx="129">
                  <c:v>47.560500000000005</c:v>
                </c:pt>
                <c:pt idx="130">
                  <c:v>47.591000000000008</c:v>
                </c:pt>
                <c:pt idx="131">
                  <c:v>47.636000000000003</c:v>
                </c:pt>
                <c:pt idx="132">
                  <c:v>47.672499999999999</c:v>
                </c:pt>
                <c:pt idx="133">
                  <c:v>47.737500000000004</c:v>
                </c:pt>
                <c:pt idx="134">
                  <c:v>47.801000000000002</c:v>
                </c:pt>
                <c:pt idx="135">
                  <c:v>47.878</c:v>
                </c:pt>
                <c:pt idx="136">
                  <c:v>47.944499999999998</c:v>
                </c:pt>
                <c:pt idx="137">
                  <c:v>48.034000000000006</c:v>
                </c:pt>
                <c:pt idx="138">
                  <c:v>48.095499999999994</c:v>
                </c:pt>
                <c:pt idx="139">
                  <c:v>48.142000000000003</c:v>
                </c:pt>
                <c:pt idx="140">
                  <c:v>48.169999999999995</c:v>
                </c:pt>
                <c:pt idx="141">
                  <c:v>48.208500000000001</c:v>
                </c:pt>
                <c:pt idx="142">
                  <c:v>48.238500000000002</c:v>
                </c:pt>
                <c:pt idx="143">
                  <c:v>48.2485</c:v>
                </c:pt>
                <c:pt idx="144">
                  <c:v>48.228500000000004</c:v>
                </c:pt>
                <c:pt idx="145">
                  <c:v>48.257000000000005</c:v>
                </c:pt>
                <c:pt idx="146">
                  <c:v>48.278500000000001</c:v>
                </c:pt>
                <c:pt idx="147">
                  <c:v>48.3005</c:v>
                </c:pt>
                <c:pt idx="148">
                  <c:v>48.322499999999998</c:v>
                </c:pt>
                <c:pt idx="149">
                  <c:v>48.36549999999999</c:v>
                </c:pt>
                <c:pt idx="150">
                  <c:v>48.400499999999994</c:v>
                </c:pt>
                <c:pt idx="151">
                  <c:v>48.469499999999996</c:v>
                </c:pt>
                <c:pt idx="152">
                  <c:v>48.54399999999999</c:v>
                </c:pt>
                <c:pt idx="153">
                  <c:v>48.602499999999999</c:v>
                </c:pt>
                <c:pt idx="154">
                  <c:v>48.66</c:v>
                </c:pt>
                <c:pt idx="155">
                  <c:v>48.713499999999996</c:v>
                </c:pt>
                <c:pt idx="156">
                  <c:v>48.751500000000007</c:v>
                </c:pt>
                <c:pt idx="157">
                  <c:v>48.765000000000001</c:v>
                </c:pt>
                <c:pt idx="158">
                  <c:v>48.776000000000003</c:v>
                </c:pt>
                <c:pt idx="159">
                  <c:v>48.817499999999995</c:v>
                </c:pt>
                <c:pt idx="160">
                  <c:v>48.854999999999997</c:v>
                </c:pt>
                <c:pt idx="161">
                  <c:v>48.900500000000001</c:v>
                </c:pt>
                <c:pt idx="162">
                  <c:v>48.957000000000001</c:v>
                </c:pt>
                <c:pt idx="163">
                  <c:v>49.032499999999999</c:v>
                </c:pt>
                <c:pt idx="164">
                  <c:v>49.1145</c:v>
                </c:pt>
                <c:pt idx="165">
                  <c:v>49.153999999999996</c:v>
                </c:pt>
                <c:pt idx="166">
                  <c:v>49.204999999999998</c:v>
                </c:pt>
                <c:pt idx="167">
                  <c:v>49.259</c:v>
                </c:pt>
                <c:pt idx="168">
                  <c:v>49.312499999999993</c:v>
                </c:pt>
                <c:pt idx="169">
                  <c:v>49.368499999999997</c:v>
                </c:pt>
                <c:pt idx="170">
                  <c:v>49.430999999999997</c:v>
                </c:pt>
                <c:pt idx="171">
                  <c:v>49.476499999999994</c:v>
                </c:pt>
                <c:pt idx="172">
                  <c:v>49.529499999999992</c:v>
                </c:pt>
                <c:pt idx="173">
                  <c:v>49.583000000000006</c:v>
                </c:pt>
                <c:pt idx="174">
                  <c:v>49.650000000000006</c:v>
                </c:pt>
                <c:pt idx="175">
                  <c:v>49.716499999999996</c:v>
                </c:pt>
                <c:pt idx="176">
                  <c:v>49.788500000000006</c:v>
                </c:pt>
                <c:pt idx="177">
                  <c:v>49.870999999999995</c:v>
                </c:pt>
                <c:pt idx="178">
                  <c:v>49.962999999999994</c:v>
                </c:pt>
                <c:pt idx="179">
                  <c:v>50.028499999999994</c:v>
                </c:pt>
                <c:pt idx="180">
                  <c:v>50.100499999999997</c:v>
                </c:pt>
                <c:pt idx="181">
                  <c:v>50.157499999999999</c:v>
                </c:pt>
                <c:pt idx="182">
                  <c:v>50.2</c:v>
                </c:pt>
                <c:pt idx="183">
                  <c:v>50.244500000000002</c:v>
                </c:pt>
                <c:pt idx="184">
                  <c:v>50.310500000000005</c:v>
                </c:pt>
                <c:pt idx="185">
                  <c:v>50.4</c:v>
                </c:pt>
                <c:pt idx="186">
                  <c:v>50.491500000000002</c:v>
                </c:pt>
                <c:pt idx="187">
                  <c:v>50.5715</c:v>
                </c:pt>
                <c:pt idx="188">
                  <c:v>50.652500000000011</c:v>
                </c:pt>
                <c:pt idx="189">
                  <c:v>50.729000000000006</c:v>
                </c:pt>
                <c:pt idx="190">
                  <c:v>50.791500000000006</c:v>
                </c:pt>
                <c:pt idx="191">
                  <c:v>50.86</c:v>
                </c:pt>
                <c:pt idx="192">
                  <c:v>50.897500000000001</c:v>
                </c:pt>
                <c:pt idx="193">
                  <c:v>50.887000000000015</c:v>
                </c:pt>
                <c:pt idx="194">
                  <c:v>50.897000000000006</c:v>
                </c:pt>
                <c:pt idx="195">
                  <c:v>50.90600000000002</c:v>
                </c:pt>
                <c:pt idx="196">
                  <c:v>50.932000000000009</c:v>
                </c:pt>
                <c:pt idx="197">
                  <c:v>50.94400000000001</c:v>
                </c:pt>
                <c:pt idx="198">
                  <c:v>50.958500000000001</c:v>
                </c:pt>
                <c:pt idx="199">
                  <c:v>50.987499999999997</c:v>
                </c:pt>
                <c:pt idx="200">
                  <c:v>51.018000000000001</c:v>
                </c:pt>
                <c:pt idx="201">
                  <c:v>51.048499999999997</c:v>
                </c:pt>
                <c:pt idx="202">
                  <c:v>51.105499999999999</c:v>
                </c:pt>
                <c:pt idx="203">
                  <c:v>51.165500000000002</c:v>
                </c:pt>
                <c:pt idx="204">
                  <c:v>51.238</c:v>
                </c:pt>
                <c:pt idx="205">
                  <c:v>51.302499999999995</c:v>
                </c:pt>
                <c:pt idx="206">
                  <c:v>51.349499999999999</c:v>
                </c:pt>
                <c:pt idx="207">
                  <c:v>51.375</c:v>
                </c:pt>
                <c:pt idx="208">
                  <c:v>51.398499999999999</c:v>
                </c:pt>
                <c:pt idx="209">
                  <c:v>51.419000000000004</c:v>
                </c:pt>
                <c:pt idx="210">
                  <c:v>51.424999999999997</c:v>
                </c:pt>
                <c:pt idx="211">
                  <c:v>51.428000000000011</c:v>
                </c:pt>
                <c:pt idx="212">
                  <c:v>51.425500000000014</c:v>
                </c:pt>
                <c:pt idx="213">
                  <c:v>51.479500000000009</c:v>
                </c:pt>
                <c:pt idx="214">
                  <c:v>51.529999999999994</c:v>
                </c:pt>
                <c:pt idx="215">
                  <c:v>51.587999999999987</c:v>
                </c:pt>
                <c:pt idx="216">
                  <c:v>51.637999999999998</c:v>
                </c:pt>
                <c:pt idx="217">
                  <c:v>51.661000000000001</c:v>
                </c:pt>
                <c:pt idx="218">
                  <c:v>51.676000000000009</c:v>
                </c:pt>
                <c:pt idx="219">
                  <c:v>51.646500000000003</c:v>
                </c:pt>
                <c:pt idx="220">
                  <c:v>51.606500000000004</c:v>
                </c:pt>
                <c:pt idx="221">
                  <c:v>51.577000000000012</c:v>
                </c:pt>
                <c:pt idx="222">
                  <c:v>51.504000000000005</c:v>
                </c:pt>
                <c:pt idx="223">
                  <c:v>51.4405</c:v>
                </c:pt>
                <c:pt idx="224">
                  <c:v>51.379499999999993</c:v>
                </c:pt>
                <c:pt idx="225">
                  <c:v>51.338000000000008</c:v>
                </c:pt>
                <c:pt idx="226">
                  <c:v>51.322000000000003</c:v>
                </c:pt>
                <c:pt idx="227">
                  <c:v>51.333000000000006</c:v>
                </c:pt>
                <c:pt idx="228">
                  <c:v>51.328499999999998</c:v>
                </c:pt>
                <c:pt idx="229">
                  <c:v>51.326000000000001</c:v>
                </c:pt>
                <c:pt idx="230">
                  <c:v>51.359000000000002</c:v>
                </c:pt>
                <c:pt idx="231">
                  <c:v>51.386000000000003</c:v>
                </c:pt>
                <c:pt idx="232">
                  <c:v>51.43249999999999</c:v>
                </c:pt>
                <c:pt idx="233">
                  <c:v>51.468499999999992</c:v>
                </c:pt>
                <c:pt idx="234">
                  <c:v>51.472000000000001</c:v>
                </c:pt>
                <c:pt idx="235">
                  <c:v>51.488</c:v>
                </c:pt>
                <c:pt idx="236">
                  <c:v>51.504500000000007</c:v>
                </c:pt>
                <c:pt idx="237">
                  <c:v>51.533000000000001</c:v>
                </c:pt>
                <c:pt idx="238">
                  <c:v>51.564999999999998</c:v>
                </c:pt>
                <c:pt idx="239">
                  <c:v>51.61099999999999</c:v>
                </c:pt>
                <c:pt idx="240">
                  <c:v>51.654499999999985</c:v>
                </c:pt>
                <c:pt idx="241">
                  <c:v>51.713499999999996</c:v>
                </c:pt>
                <c:pt idx="242">
                  <c:v>51.817999999999998</c:v>
                </c:pt>
                <c:pt idx="243">
                  <c:v>51.914499999999997</c:v>
                </c:pt>
                <c:pt idx="244">
                  <c:v>51.914999999999999</c:v>
                </c:pt>
                <c:pt idx="245">
                  <c:v>51.899500000000003</c:v>
                </c:pt>
                <c:pt idx="246">
                  <c:v>51.867499999999993</c:v>
                </c:pt>
                <c:pt idx="247">
                  <c:v>51.820000000000007</c:v>
                </c:pt>
                <c:pt idx="248">
                  <c:v>51.783500000000004</c:v>
                </c:pt>
                <c:pt idx="249">
                  <c:v>51.728499999999997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F3-4F81-BC30-E97BE715875E}"/>
            </c:ext>
          </c:extLst>
        </c:ser>
        <c:ser>
          <c:idx val="5"/>
          <c:order val="5"/>
          <c:tx>
            <c:strRef>
              <c:f>vasgx!$G$1</c:f>
              <c:strCache>
                <c:ptCount val="1"/>
                <c:pt idx="0">
                  <c:v>50d SMA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vasgx!$A$2:$A$251</c:f>
              <c:numCache>
                <c:formatCode>m/d/yyyy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vasgx!$G$2:$G$251</c:f>
              <c:numCache>
                <c:formatCode>General</c:formatCode>
                <c:ptCount val="250"/>
                <c:pt idx="49">
                  <c:v>45.012400000000007</c:v>
                </c:pt>
                <c:pt idx="50">
                  <c:v>45.019800000000011</c:v>
                </c:pt>
                <c:pt idx="51">
                  <c:v>45.026200000000017</c:v>
                </c:pt>
                <c:pt idx="52">
                  <c:v>45.02600000000001</c:v>
                </c:pt>
                <c:pt idx="53">
                  <c:v>45.0304</c:v>
                </c:pt>
                <c:pt idx="54">
                  <c:v>45.0426</c:v>
                </c:pt>
                <c:pt idx="55">
                  <c:v>45.068199999999997</c:v>
                </c:pt>
                <c:pt idx="56">
                  <c:v>45.086800000000004</c:v>
                </c:pt>
                <c:pt idx="57">
                  <c:v>45.101600000000005</c:v>
                </c:pt>
                <c:pt idx="58">
                  <c:v>45.09340000000001</c:v>
                </c:pt>
                <c:pt idx="59">
                  <c:v>45.084200000000017</c:v>
                </c:pt>
                <c:pt idx="60">
                  <c:v>45.072400000000016</c:v>
                </c:pt>
                <c:pt idx="61">
                  <c:v>45.055400000000006</c:v>
                </c:pt>
                <c:pt idx="62">
                  <c:v>45.010600000000004</c:v>
                </c:pt>
                <c:pt idx="63">
                  <c:v>44.923600000000008</c:v>
                </c:pt>
                <c:pt idx="64">
                  <c:v>44.826400000000007</c:v>
                </c:pt>
                <c:pt idx="65">
                  <c:v>44.727800000000009</c:v>
                </c:pt>
                <c:pt idx="66">
                  <c:v>44.674000000000014</c:v>
                </c:pt>
                <c:pt idx="67">
                  <c:v>44.605200000000004</c:v>
                </c:pt>
                <c:pt idx="68">
                  <c:v>44.543199999999999</c:v>
                </c:pt>
                <c:pt idx="69">
                  <c:v>44.494</c:v>
                </c:pt>
                <c:pt idx="70">
                  <c:v>44.452199999999991</c:v>
                </c:pt>
                <c:pt idx="71">
                  <c:v>44.393999999999998</c:v>
                </c:pt>
                <c:pt idx="72">
                  <c:v>44.331000000000003</c:v>
                </c:pt>
                <c:pt idx="73">
                  <c:v>44.259399999999999</c:v>
                </c:pt>
                <c:pt idx="74">
                  <c:v>44.207999999999998</c:v>
                </c:pt>
                <c:pt idx="75">
                  <c:v>44.160400000000003</c:v>
                </c:pt>
                <c:pt idx="76">
                  <c:v>44.126000000000005</c:v>
                </c:pt>
                <c:pt idx="77">
                  <c:v>44.096600000000009</c:v>
                </c:pt>
                <c:pt idx="78">
                  <c:v>44.061200000000007</c:v>
                </c:pt>
                <c:pt idx="79">
                  <c:v>44.028199999999998</c:v>
                </c:pt>
                <c:pt idx="80">
                  <c:v>43.993800000000007</c:v>
                </c:pt>
                <c:pt idx="81">
                  <c:v>43.961800000000004</c:v>
                </c:pt>
                <c:pt idx="82">
                  <c:v>43.941600000000008</c:v>
                </c:pt>
                <c:pt idx="83">
                  <c:v>43.928200000000004</c:v>
                </c:pt>
                <c:pt idx="84">
                  <c:v>43.915400000000005</c:v>
                </c:pt>
                <c:pt idx="85">
                  <c:v>43.902200000000022</c:v>
                </c:pt>
                <c:pt idx="86">
                  <c:v>43.890000000000008</c:v>
                </c:pt>
                <c:pt idx="87">
                  <c:v>43.890000000000015</c:v>
                </c:pt>
                <c:pt idx="88">
                  <c:v>43.900000000000006</c:v>
                </c:pt>
                <c:pt idx="89">
                  <c:v>43.922000000000004</c:v>
                </c:pt>
                <c:pt idx="90">
                  <c:v>43.948200000000007</c:v>
                </c:pt>
                <c:pt idx="91">
                  <c:v>43.968199999999996</c:v>
                </c:pt>
                <c:pt idx="92">
                  <c:v>44.002600000000001</c:v>
                </c:pt>
                <c:pt idx="93">
                  <c:v>44.034799999999997</c:v>
                </c:pt>
                <c:pt idx="94">
                  <c:v>44.083199999999998</c:v>
                </c:pt>
                <c:pt idx="95">
                  <c:v>44.125200000000007</c:v>
                </c:pt>
                <c:pt idx="96">
                  <c:v>44.163600000000002</c:v>
                </c:pt>
                <c:pt idx="97">
                  <c:v>44.208000000000013</c:v>
                </c:pt>
                <c:pt idx="98">
                  <c:v>44.251400000000011</c:v>
                </c:pt>
                <c:pt idx="99">
                  <c:v>44.28240000000001</c:v>
                </c:pt>
                <c:pt idx="100">
                  <c:v>44.321000000000005</c:v>
                </c:pt>
                <c:pt idx="101">
                  <c:v>44.353600000000007</c:v>
                </c:pt>
                <c:pt idx="102">
                  <c:v>44.3934</c:v>
                </c:pt>
                <c:pt idx="103">
                  <c:v>44.436400000000013</c:v>
                </c:pt>
                <c:pt idx="104">
                  <c:v>44.474200000000017</c:v>
                </c:pt>
                <c:pt idx="105">
                  <c:v>44.508600000000015</c:v>
                </c:pt>
                <c:pt idx="106">
                  <c:v>44.556200000000011</c:v>
                </c:pt>
                <c:pt idx="107">
                  <c:v>44.606400000000015</c:v>
                </c:pt>
                <c:pt idx="108">
                  <c:v>44.670800000000007</c:v>
                </c:pt>
                <c:pt idx="109">
                  <c:v>44.7346</c:v>
                </c:pt>
                <c:pt idx="110">
                  <c:v>44.799199999999999</c:v>
                </c:pt>
                <c:pt idx="111">
                  <c:v>44.849600000000009</c:v>
                </c:pt>
                <c:pt idx="112">
                  <c:v>44.932200000000002</c:v>
                </c:pt>
                <c:pt idx="113">
                  <c:v>45.046800000000005</c:v>
                </c:pt>
                <c:pt idx="114">
                  <c:v>45.171400000000013</c:v>
                </c:pt>
                <c:pt idx="115">
                  <c:v>45.301600000000008</c:v>
                </c:pt>
                <c:pt idx="116">
                  <c:v>45.38920000000001</c:v>
                </c:pt>
                <c:pt idx="117">
                  <c:v>45.494000000000014</c:v>
                </c:pt>
                <c:pt idx="118">
                  <c:v>45.594800000000014</c:v>
                </c:pt>
                <c:pt idx="119">
                  <c:v>45.695200000000014</c:v>
                </c:pt>
                <c:pt idx="120">
                  <c:v>45.797800000000016</c:v>
                </c:pt>
                <c:pt idx="121">
                  <c:v>45.904800000000016</c:v>
                </c:pt>
                <c:pt idx="122">
                  <c:v>46.011400000000009</c:v>
                </c:pt>
                <c:pt idx="123">
                  <c:v>46.128</c:v>
                </c:pt>
                <c:pt idx="124">
                  <c:v>46.234800000000007</c:v>
                </c:pt>
                <c:pt idx="125">
                  <c:v>46.325200000000002</c:v>
                </c:pt>
                <c:pt idx="126">
                  <c:v>46.404000000000003</c:v>
                </c:pt>
                <c:pt idx="127">
                  <c:v>46.484400000000008</c:v>
                </c:pt>
                <c:pt idx="128">
                  <c:v>46.563999999999993</c:v>
                </c:pt>
                <c:pt idx="129">
                  <c:v>46.635599999999997</c:v>
                </c:pt>
                <c:pt idx="130">
                  <c:v>46.7072</c:v>
                </c:pt>
                <c:pt idx="131">
                  <c:v>46.773200000000003</c:v>
                </c:pt>
                <c:pt idx="132">
                  <c:v>46.830799999999996</c:v>
                </c:pt>
                <c:pt idx="133">
                  <c:v>46.895600000000002</c:v>
                </c:pt>
                <c:pt idx="134">
                  <c:v>46.963200000000008</c:v>
                </c:pt>
                <c:pt idx="135">
                  <c:v>47.033000000000001</c:v>
                </c:pt>
                <c:pt idx="136">
                  <c:v>47.10260000000001</c:v>
                </c:pt>
                <c:pt idx="137">
                  <c:v>47.179800000000014</c:v>
                </c:pt>
                <c:pt idx="138">
                  <c:v>47.238399999999999</c:v>
                </c:pt>
                <c:pt idx="139">
                  <c:v>47.294400000000003</c:v>
                </c:pt>
                <c:pt idx="140">
                  <c:v>47.347400000000007</c:v>
                </c:pt>
                <c:pt idx="141">
                  <c:v>47.394600000000011</c:v>
                </c:pt>
                <c:pt idx="142">
                  <c:v>47.433999999999997</c:v>
                </c:pt>
                <c:pt idx="143">
                  <c:v>47.466999999999999</c:v>
                </c:pt>
                <c:pt idx="144">
                  <c:v>47.4938</c:v>
                </c:pt>
                <c:pt idx="145">
                  <c:v>47.541800000000002</c:v>
                </c:pt>
                <c:pt idx="146">
                  <c:v>47.5884</c:v>
                </c:pt>
                <c:pt idx="147">
                  <c:v>47.641599999999997</c:v>
                </c:pt>
                <c:pt idx="148">
                  <c:v>47.68419999999999</c:v>
                </c:pt>
                <c:pt idx="149">
                  <c:v>47.735799999999998</c:v>
                </c:pt>
                <c:pt idx="150">
                  <c:v>47.781999999999989</c:v>
                </c:pt>
                <c:pt idx="151">
                  <c:v>47.837399999999995</c:v>
                </c:pt>
                <c:pt idx="152">
                  <c:v>47.893399999999986</c:v>
                </c:pt>
                <c:pt idx="153">
                  <c:v>47.945799999999984</c:v>
                </c:pt>
                <c:pt idx="154">
                  <c:v>47.99499999999999</c:v>
                </c:pt>
                <c:pt idx="155">
                  <c:v>48.04699999999999</c:v>
                </c:pt>
                <c:pt idx="156">
                  <c:v>48.089999999999989</c:v>
                </c:pt>
                <c:pt idx="157">
                  <c:v>48.130599999999994</c:v>
                </c:pt>
                <c:pt idx="158">
                  <c:v>48.164799999999993</c:v>
                </c:pt>
                <c:pt idx="159">
                  <c:v>48.2134</c:v>
                </c:pt>
                <c:pt idx="160">
                  <c:v>48.252600000000008</c:v>
                </c:pt>
                <c:pt idx="161">
                  <c:v>48.304399999999994</c:v>
                </c:pt>
                <c:pt idx="162">
                  <c:v>48.350599999999993</c:v>
                </c:pt>
                <c:pt idx="163">
                  <c:v>48.406999999999989</c:v>
                </c:pt>
                <c:pt idx="164">
                  <c:v>48.457999999999984</c:v>
                </c:pt>
                <c:pt idx="165">
                  <c:v>48.506599999999978</c:v>
                </c:pt>
                <c:pt idx="166">
                  <c:v>48.551799999999986</c:v>
                </c:pt>
                <c:pt idx="167">
                  <c:v>48.603199999999987</c:v>
                </c:pt>
                <c:pt idx="168">
                  <c:v>48.647199999999984</c:v>
                </c:pt>
                <c:pt idx="169">
                  <c:v>48.688199999999995</c:v>
                </c:pt>
                <c:pt idx="170">
                  <c:v>48.726399999999984</c:v>
                </c:pt>
                <c:pt idx="171">
                  <c:v>48.771999999999998</c:v>
                </c:pt>
                <c:pt idx="172">
                  <c:v>48.825999999999993</c:v>
                </c:pt>
                <c:pt idx="173">
                  <c:v>48.874600000000001</c:v>
                </c:pt>
                <c:pt idx="174">
                  <c:v>48.923599999999993</c:v>
                </c:pt>
                <c:pt idx="175">
                  <c:v>48.980999999999995</c:v>
                </c:pt>
                <c:pt idx="176">
                  <c:v>49.035399999999989</c:v>
                </c:pt>
                <c:pt idx="177">
                  <c:v>49.0886</c:v>
                </c:pt>
                <c:pt idx="178">
                  <c:v>49.140600000000006</c:v>
                </c:pt>
                <c:pt idx="179">
                  <c:v>49.200599999999994</c:v>
                </c:pt>
                <c:pt idx="180">
                  <c:v>49.256399999999992</c:v>
                </c:pt>
                <c:pt idx="181">
                  <c:v>49.313000000000002</c:v>
                </c:pt>
                <c:pt idx="182">
                  <c:v>49.361599999999996</c:v>
                </c:pt>
                <c:pt idx="183">
                  <c:v>49.409800000000011</c:v>
                </c:pt>
                <c:pt idx="184">
                  <c:v>49.461800000000018</c:v>
                </c:pt>
                <c:pt idx="185">
                  <c:v>49.515400000000021</c:v>
                </c:pt>
                <c:pt idx="186">
                  <c:v>49.570600000000013</c:v>
                </c:pt>
                <c:pt idx="187">
                  <c:v>49.618199999999995</c:v>
                </c:pt>
                <c:pt idx="188">
                  <c:v>49.67</c:v>
                </c:pt>
                <c:pt idx="189">
                  <c:v>49.722999999999992</c:v>
                </c:pt>
                <c:pt idx="190">
                  <c:v>49.774999999999991</c:v>
                </c:pt>
                <c:pt idx="191">
                  <c:v>49.832599999999992</c:v>
                </c:pt>
                <c:pt idx="192">
                  <c:v>49.88959999999998</c:v>
                </c:pt>
                <c:pt idx="193">
                  <c:v>49.929999999999978</c:v>
                </c:pt>
                <c:pt idx="194">
                  <c:v>49.990999999999985</c:v>
                </c:pt>
                <c:pt idx="195">
                  <c:v>50.040599999999998</c:v>
                </c:pt>
                <c:pt idx="196">
                  <c:v>50.096799999999995</c:v>
                </c:pt>
                <c:pt idx="197">
                  <c:v>50.145999999999994</c:v>
                </c:pt>
                <c:pt idx="198">
                  <c:v>50.195</c:v>
                </c:pt>
                <c:pt idx="199">
                  <c:v>50.249400000000009</c:v>
                </c:pt>
                <c:pt idx="200">
                  <c:v>50.303400000000003</c:v>
                </c:pt>
                <c:pt idx="201">
                  <c:v>50.3446</c:v>
                </c:pt>
                <c:pt idx="202">
                  <c:v>50.386200000000009</c:v>
                </c:pt>
                <c:pt idx="203">
                  <c:v>50.435000000000009</c:v>
                </c:pt>
                <c:pt idx="204">
                  <c:v>50.493000000000002</c:v>
                </c:pt>
                <c:pt idx="205">
                  <c:v>50.550999999999995</c:v>
                </c:pt>
                <c:pt idx="206">
                  <c:v>50.609799999999993</c:v>
                </c:pt>
                <c:pt idx="207">
                  <c:v>50.662199999999991</c:v>
                </c:pt>
                <c:pt idx="208">
                  <c:v>50.718999999999994</c:v>
                </c:pt>
                <c:pt idx="209">
                  <c:v>50.763599999999997</c:v>
                </c:pt>
                <c:pt idx="210">
                  <c:v>50.803000000000004</c:v>
                </c:pt>
                <c:pt idx="211">
                  <c:v>50.843600000000009</c:v>
                </c:pt>
                <c:pt idx="212">
                  <c:v>50.87700000000001</c:v>
                </c:pt>
                <c:pt idx="213">
                  <c:v>50.908799999999999</c:v>
                </c:pt>
                <c:pt idx="214">
                  <c:v>50.9572</c:v>
                </c:pt>
                <c:pt idx="215">
                  <c:v>51.01420000000001</c:v>
                </c:pt>
                <c:pt idx="216">
                  <c:v>51.07</c:v>
                </c:pt>
                <c:pt idx="217">
                  <c:v>51.1068</c:v>
                </c:pt>
                <c:pt idx="218">
                  <c:v>51.1404</c:v>
                </c:pt>
                <c:pt idx="219">
                  <c:v>51.160599999999995</c:v>
                </c:pt>
                <c:pt idx="220">
                  <c:v>51.173599999999986</c:v>
                </c:pt>
                <c:pt idx="221">
                  <c:v>51.184799999999989</c:v>
                </c:pt>
                <c:pt idx="222">
                  <c:v>51.175999999999995</c:v>
                </c:pt>
                <c:pt idx="223">
                  <c:v>51.17799999999999</c:v>
                </c:pt>
                <c:pt idx="224">
                  <c:v>51.184799999999996</c:v>
                </c:pt>
                <c:pt idx="225">
                  <c:v>51.199600000000004</c:v>
                </c:pt>
                <c:pt idx="226">
                  <c:v>51.223200000000006</c:v>
                </c:pt>
                <c:pt idx="227">
                  <c:v>51.247</c:v>
                </c:pt>
                <c:pt idx="228">
                  <c:v>51.265200000000007</c:v>
                </c:pt>
                <c:pt idx="229">
                  <c:v>51.282600000000002</c:v>
                </c:pt>
                <c:pt idx="230">
                  <c:v>51.306400000000004</c:v>
                </c:pt>
                <c:pt idx="231">
                  <c:v>51.335000000000001</c:v>
                </c:pt>
                <c:pt idx="232">
                  <c:v>51.37</c:v>
                </c:pt>
                <c:pt idx="233">
                  <c:v>51.398399999999995</c:v>
                </c:pt>
                <c:pt idx="234">
                  <c:v>51.42179999999999</c:v>
                </c:pt>
                <c:pt idx="235">
                  <c:v>51.449399999999997</c:v>
                </c:pt>
                <c:pt idx="236">
                  <c:v>51.475199999999994</c:v>
                </c:pt>
                <c:pt idx="237">
                  <c:v>51.491399999999992</c:v>
                </c:pt>
                <c:pt idx="238">
                  <c:v>51.505400000000002</c:v>
                </c:pt>
                <c:pt idx="239">
                  <c:v>51.513400000000004</c:v>
                </c:pt>
                <c:pt idx="240">
                  <c:v>51.518799999999999</c:v>
                </c:pt>
                <c:pt idx="241">
                  <c:v>51.526199999999996</c:v>
                </c:pt>
                <c:pt idx="242">
                  <c:v>51.544200000000004</c:v>
                </c:pt>
                <c:pt idx="243">
                  <c:v>51.588999999999999</c:v>
                </c:pt>
                <c:pt idx="244">
                  <c:v>51.591999999999992</c:v>
                </c:pt>
                <c:pt idx="245">
                  <c:v>51.596999999999987</c:v>
                </c:pt>
                <c:pt idx="246">
                  <c:v>51.597399999999986</c:v>
                </c:pt>
                <c:pt idx="247">
                  <c:v>51.597399999999986</c:v>
                </c:pt>
                <c:pt idx="248">
                  <c:v>51.595199999999984</c:v>
                </c:pt>
                <c:pt idx="249">
                  <c:v>51.578999999999986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F3-4F81-BC30-E97BE715875E}"/>
            </c:ext>
          </c:extLst>
        </c:ser>
        <c:ser>
          <c:idx val="6"/>
          <c:order val="6"/>
          <c:tx>
            <c:strRef>
              <c:f>vasgx!$H$1</c:f>
              <c:strCache>
                <c:ptCount val="1"/>
                <c:pt idx="0">
                  <c:v>100d SMA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vasgx!$A$2:$A$251</c:f>
              <c:numCache>
                <c:formatCode>m/d/yyyy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vasgx!$H$2:$H$251</c:f>
              <c:numCache>
                <c:formatCode>General</c:formatCode>
                <c:ptCount val="250"/>
                <c:pt idx="99">
                  <c:v>44.647400000000005</c:v>
                </c:pt>
                <c:pt idx="100">
                  <c:v>44.670400000000008</c:v>
                </c:pt>
                <c:pt idx="101">
                  <c:v>44.689900000000009</c:v>
                </c:pt>
                <c:pt idx="102">
                  <c:v>44.709700000000005</c:v>
                </c:pt>
                <c:pt idx="103">
                  <c:v>44.733399999999989</c:v>
                </c:pt>
                <c:pt idx="104">
                  <c:v>44.758400000000002</c:v>
                </c:pt>
                <c:pt idx="105">
                  <c:v>44.788399999999996</c:v>
                </c:pt>
                <c:pt idx="106">
                  <c:v>44.821499999999986</c:v>
                </c:pt>
                <c:pt idx="107">
                  <c:v>44.853999999999999</c:v>
                </c:pt>
                <c:pt idx="108">
                  <c:v>44.882099999999994</c:v>
                </c:pt>
                <c:pt idx="109">
                  <c:v>44.909399999999998</c:v>
                </c:pt>
                <c:pt idx="110">
                  <c:v>44.935799999999993</c:v>
                </c:pt>
                <c:pt idx="111">
                  <c:v>44.952499999999979</c:v>
                </c:pt>
                <c:pt idx="112">
                  <c:v>44.971399999999988</c:v>
                </c:pt>
                <c:pt idx="113">
                  <c:v>44.985199999999985</c:v>
                </c:pt>
                <c:pt idx="114">
                  <c:v>44.998899999999985</c:v>
                </c:pt>
                <c:pt idx="115">
                  <c:v>45.014699999999991</c:v>
                </c:pt>
                <c:pt idx="116">
                  <c:v>45.031599999999997</c:v>
                </c:pt>
                <c:pt idx="117">
                  <c:v>45.049599999999991</c:v>
                </c:pt>
                <c:pt idx="118">
                  <c:v>45.068999999999988</c:v>
                </c:pt>
                <c:pt idx="119">
                  <c:v>45.094599999999993</c:v>
                </c:pt>
                <c:pt idx="120">
                  <c:v>45.125</c:v>
                </c:pt>
                <c:pt idx="121">
                  <c:v>45.149400000000007</c:v>
                </c:pt>
                <c:pt idx="122">
                  <c:v>45.171200000000006</c:v>
                </c:pt>
                <c:pt idx="123">
                  <c:v>45.193700000000007</c:v>
                </c:pt>
                <c:pt idx="124">
                  <c:v>45.221400000000003</c:v>
                </c:pt>
                <c:pt idx="125">
                  <c:v>45.24280000000001</c:v>
                </c:pt>
                <c:pt idx="126">
                  <c:v>45.265000000000001</c:v>
                </c:pt>
                <c:pt idx="127">
                  <c:v>45.290500000000009</c:v>
                </c:pt>
                <c:pt idx="128">
                  <c:v>45.31260000000001</c:v>
                </c:pt>
                <c:pt idx="129">
                  <c:v>45.331899999999997</c:v>
                </c:pt>
                <c:pt idx="130">
                  <c:v>45.350500000000004</c:v>
                </c:pt>
                <c:pt idx="131">
                  <c:v>45.3675</c:v>
                </c:pt>
                <c:pt idx="132">
                  <c:v>45.386200000000002</c:v>
                </c:pt>
                <c:pt idx="133">
                  <c:v>45.411899999999996</c:v>
                </c:pt>
                <c:pt idx="134">
                  <c:v>45.439299999999996</c:v>
                </c:pt>
                <c:pt idx="135">
                  <c:v>45.467600000000004</c:v>
                </c:pt>
                <c:pt idx="136">
                  <c:v>45.496299999999998</c:v>
                </c:pt>
                <c:pt idx="137">
                  <c:v>45.534900000000007</c:v>
                </c:pt>
                <c:pt idx="138">
                  <c:v>45.569199999999995</c:v>
                </c:pt>
                <c:pt idx="139">
                  <c:v>45.608199999999989</c:v>
                </c:pt>
                <c:pt idx="140">
                  <c:v>45.647799999999989</c:v>
                </c:pt>
                <c:pt idx="141">
                  <c:v>45.681399999999982</c:v>
                </c:pt>
                <c:pt idx="142">
                  <c:v>45.718299999999999</c:v>
                </c:pt>
                <c:pt idx="143">
                  <c:v>45.750899999999994</c:v>
                </c:pt>
                <c:pt idx="144">
                  <c:v>45.788499999999992</c:v>
                </c:pt>
                <c:pt idx="145">
                  <c:v>45.833499999999994</c:v>
                </c:pt>
                <c:pt idx="146">
                  <c:v>45.875999999999998</c:v>
                </c:pt>
                <c:pt idx="147">
                  <c:v>45.924799999999998</c:v>
                </c:pt>
                <c:pt idx="148">
                  <c:v>45.967800000000004</c:v>
                </c:pt>
                <c:pt idx="149">
                  <c:v>46.009099999999997</c:v>
                </c:pt>
                <c:pt idx="150">
                  <c:v>46.051500000000004</c:v>
                </c:pt>
                <c:pt idx="151">
                  <c:v>46.095500000000008</c:v>
                </c:pt>
                <c:pt idx="152">
                  <c:v>46.143400000000014</c:v>
                </c:pt>
                <c:pt idx="153">
                  <c:v>46.191100000000006</c:v>
                </c:pt>
                <c:pt idx="154">
                  <c:v>46.234600000000022</c:v>
                </c:pt>
                <c:pt idx="155">
                  <c:v>46.277800000000013</c:v>
                </c:pt>
                <c:pt idx="156">
                  <c:v>46.323100000000025</c:v>
                </c:pt>
                <c:pt idx="157">
                  <c:v>46.368500000000019</c:v>
                </c:pt>
                <c:pt idx="158">
                  <c:v>46.417800000000014</c:v>
                </c:pt>
                <c:pt idx="159">
                  <c:v>46.474000000000004</c:v>
                </c:pt>
                <c:pt idx="160">
                  <c:v>46.525900000000007</c:v>
                </c:pt>
                <c:pt idx="161">
                  <c:v>46.577000000000005</c:v>
                </c:pt>
                <c:pt idx="162">
                  <c:v>46.641400000000004</c:v>
                </c:pt>
                <c:pt idx="163">
                  <c:v>46.726900000000008</c:v>
                </c:pt>
                <c:pt idx="164">
                  <c:v>46.814700000000009</c:v>
                </c:pt>
                <c:pt idx="165">
                  <c:v>46.904100000000007</c:v>
                </c:pt>
                <c:pt idx="166">
                  <c:v>46.970500000000001</c:v>
                </c:pt>
                <c:pt idx="167">
                  <c:v>47.048600000000008</c:v>
                </c:pt>
                <c:pt idx="168">
                  <c:v>47.121000000000002</c:v>
                </c:pt>
                <c:pt idx="169">
                  <c:v>47.191699999999997</c:v>
                </c:pt>
                <c:pt idx="170">
                  <c:v>47.262100000000004</c:v>
                </c:pt>
                <c:pt idx="171">
                  <c:v>47.338400000000007</c:v>
                </c:pt>
                <c:pt idx="172">
                  <c:v>47.418700000000008</c:v>
                </c:pt>
                <c:pt idx="173">
                  <c:v>47.501300000000001</c:v>
                </c:pt>
                <c:pt idx="174">
                  <c:v>47.579200000000007</c:v>
                </c:pt>
                <c:pt idx="175">
                  <c:v>47.653100000000002</c:v>
                </c:pt>
                <c:pt idx="176">
                  <c:v>47.719699999999996</c:v>
                </c:pt>
                <c:pt idx="177">
                  <c:v>47.786499999999997</c:v>
                </c:pt>
                <c:pt idx="178">
                  <c:v>47.852299999999993</c:v>
                </c:pt>
                <c:pt idx="179">
                  <c:v>47.918099999999995</c:v>
                </c:pt>
                <c:pt idx="180">
                  <c:v>47.9818</c:v>
                </c:pt>
                <c:pt idx="181">
                  <c:v>48.043100000000003</c:v>
                </c:pt>
                <c:pt idx="182">
                  <c:v>48.096199999999989</c:v>
                </c:pt>
                <c:pt idx="183">
                  <c:v>48.152699999999996</c:v>
                </c:pt>
                <c:pt idx="184">
                  <c:v>48.212499999999999</c:v>
                </c:pt>
                <c:pt idx="185">
                  <c:v>48.274199999999979</c:v>
                </c:pt>
                <c:pt idx="186">
                  <c:v>48.336599999999997</c:v>
                </c:pt>
                <c:pt idx="187">
                  <c:v>48.398999999999994</c:v>
                </c:pt>
                <c:pt idx="188">
                  <c:v>48.454199999999993</c:v>
                </c:pt>
                <c:pt idx="189">
                  <c:v>48.508699999999997</c:v>
                </c:pt>
                <c:pt idx="190">
                  <c:v>48.561199999999999</c:v>
                </c:pt>
                <c:pt idx="191">
                  <c:v>48.613600000000005</c:v>
                </c:pt>
                <c:pt idx="192">
                  <c:v>48.661799999999992</c:v>
                </c:pt>
                <c:pt idx="193">
                  <c:v>48.698499999999989</c:v>
                </c:pt>
                <c:pt idx="194">
                  <c:v>48.742399999999989</c:v>
                </c:pt>
                <c:pt idx="195">
                  <c:v>48.791199999999989</c:v>
                </c:pt>
                <c:pt idx="196">
                  <c:v>48.84259999999999</c:v>
                </c:pt>
                <c:pt idx="197">
                  <c:v>48.893799999999992</c:v>
                </c:pt>
                <c:pt idx="198">
                  <c:v>48.939599999999992</c:v>
                </c:pt>
                <c:pt idx="199">
                  <c:v>48.992600000000003</c:v>
                </c:pt>
                <c:pt idx="200">
                  <c:v>49.042699999999996</c:v>
                </c:pt>
                <c:pt idx="201">
                  <c:v>49.091000000000001</c:v>
                </c:pt>
                <c:pt idx="202">
                  <c:v>49.139799999999994</c:v>
                </c:pt>
                <c:pt idx="203">
                  <c:v>49.190399999999997</c:v>
                </c:pt>
                <c:pt idx="204">
                  <c:v>49.244</c:v>
                </c:pt>
                <c:pt idx="205">
                  <c:v>49.298999999999985</c:v>
                </c:pt>
                <c:pt idx="206">
                  <c:v>49.349899999999991</c:v>
                </c:pt>
                <c:pt idx="207">
                  <c:v>49.396399999999979</c:v>
                </c:pt>
                <c:pt idx="208">
                  <c:v>49.44189999999999</c:v>
                </c:pt>
                <c:pt idx="209">
                  <c:v>49.488499999999988</c:v>
                </c:pt>
                <c:pt idx="210">
                  <c:v>49.527799999999999</c:v>
                </c:pt>
                <c:pt idx="211">
                  <c:v>49.573999999999998</c:v>
                </c:pt>
                <c:pt idx="212">
                  <c:v>49.613799999999991</c:v>
                </c:pt>
                <c:pt idx="213">
                  <c:v>49.657899999999991</c:v>
                </c:pt>
                <c:pt idx="214">
                  <c:v>49.707599999999992</c:v>
                </c:pt>
                <c:pt idx="215">
                  <c:v>49.76039999999999</c:v>
                </c:pt>
                <c:pt idx="216">
                  <c:v>49.810900000000004</c:v>
                </c:pt>
                <c:pt idx="217">
                  <c:v>49.854999999999997</c:v>
                </c:pt>
                <c:pt idx="218">
                  <c:v>49.893799999999999</c:v>
                </c:pt>
                <c:pt idx="219">
                  <c:v>49.924400000000006</c:v>
                </c:pt>
                <c:pt idx="220">
                  <c:v>49.95</c:v>
                </c:pt>
                <c:pt idx="221">
                  <c:v>49.978400000000001</c:v>
                </c:pt>
                <c:pt idx="222">
                  <c:v>50.001000000000005</c:v>
                </c:pt>
                <c:pt idx="223">
                  <c:v>50.026300000000013</c:v>
                </c:pt>
                <c:pt idx="224">
                  <c:v>50.054200000000002</c:v>
                </c:pt>
                <c:pt idx="225">
                  <c:v>50.090299999999999</c:v>
                </c:pt>
                <c:pt idx="226">
                  <c:v>50.129300000000001</c:v>
                </c:pt>
                <c:pt idx="227">
                  <c:v>50.1678</c:v>
                </c:pt>
                <c:pt idx="228">
                  <c:v>50.2029</c:v>
                </c:pt>
                <c:pt idx="229">
                  <c:v>50.241599999999998</c:v>
                </c:pt>
                <c:pt idx="230">
                  <c:v>50.281399999999991</c:v>
                </c:pt>
                <c:pt idx="231">
                  <c:v>50.324000000000005</c:v>
                </c:pt>
                <c:pt idx="232">
                  <c:v>50.3658</c:v>
                </c:pt>
                <c:pt idx="233">
                  <c:v>50.4041</c:v>
                </c:pt>
                <c:pt idx="234">
                  <c:v>50.441800000000001</c:v>
                </c:pt>
                <c:pt idx="235">
                  <c:v>50.482399999999991</c:v>
                </c:pt>
                <c:pt idx="236">
                  <c:v>50.522899999999993</c:v>
                </c:pt>
                <c:pt idx="237">
                  <c:v>50.554799999999986</c:v>
                </c:pt>
                <c:pt idx="238">
                  <c:v>50.587699999999984</c:v>
                </c:pt>
                <c:pt idx="239">
                  <c:v>50.61819999999998</c:v>
                </c:pt>
                <c:pt idx="240">
                  <c:v>50.646899999999981</c:v>
                </c:pt>
                <c:pt idx="241">
                  <c:v>50.67939999999998</c:v>
                </c:pt>
                <c:pt idx="242">
                  <c:v>50.716899999999988</c:v>
                </c:pt>
                <c:pt idx="243">
                  <c:v>50.759499999999989</c:v>
                </c:pt>
                <c:pt idx="244">
                  <c:v>50.791499999999985</c:v>
                </c:pt>
                <c:pt idx="245">
                  <c:v>50.818800000000003</c:v>
                </c:pt>
                <c:pt idx="246">
                  <c:v>50.847099999999998</c:v>
                </c:pt>
                <c:pt idx="247">
                  <c:v>50.87169999999999</c:v>
                </c:pt>
                <c:pt idx="248">
                  <c:v>50.895099999999992</c:v>
                </c:pt>
                <c:pt idx="249">
                  <c:v>50.914199999999994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F3-4F81-BC30-E97BE715875E}"/>
            </c:ext>
          </c:extLst>
        </c:ser>
        <c:ser>
          <c:idx val="7"/>
          <c:order val="7"/>
          <c:tx>
            <c:strRef>
              <c:f>vasgx!$I$1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vasgx!$A$2:$A$251</c:f>
              <c:numCache>
                <c:formatCode>m/d/yyyy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vasgx!$I$2:$I$251</c:f>
              <c:numCache>
                <c:formatCode>General</c:formatCode>
                <c:ptCount val="250"/>
                <c:pt idx="19">
                  <c:v>0.62762941630433955</c:v>
                </c:pt>
                <c:pt idx="20">
                  <c:v>0.61145297189735281</c:v>
                </c:pt>
                <c:pt idx="21">
                  <c:v>0.61886887481155961</c:v>
                </c:pt>
                <c:pt idx="22">
                  <c:v>0.64002035329478257</c:v>
                </c:pt>
                <c:pt idx="23">
                  <c:v>0.65182718891630009</c:v>
                </c:pt>
                <c:pt idx="24">
                  <c:v>0.64247281326875905</c:v>
                </c:pt>
                <c:pt idx="25">
                  <c:v>0.58111032560634779</c:v>
                </c:pt>
                <c:pt idx="26">
                  <c:v>0.48460374479948459</c:v>
                </c:pt>
                <c:pt idx="27">
                  <c:v>0.36518596560339461</c:v>
                </c:pt>
                <c:pt idx="28">
                  <c:v>0.33798006792677721</c:v>
                </c:pt>
                <c:pt idx="29">
                  <c:v>0.29999298237406158</c:v>
                </c:pt>
                <c:pt idx="30">
                  <c:v>0.29563268461137071</c:v>
                </c:pt>
                <c:pt idx="31">
                  <c:v>0.31450713321339019</c:v>
                </c:pt>
                <c:pt idx="32">
                  <c:v>0.32865395335007236</c:v>
                </c:pt>
                <c:pt idx="33">
                  <c:v>0.32748483291516506</c:v>
                </c:pt>
                <c:pt idx="34">
                  <c:v>0.32975110230852023</c:v>
                </c:pt>
                <c:pt idx="35">
                  <c:v>0.31453014247654515</c:v>
                </c:pt>
                <c:pt idx="36">
                  <c:v>0.30992189168783868</c:v>
                </c:pt>
                <c:pt idx="37">
                  <c:v>0.33202528438913265</c:v>
                </c:pt>
                <c:pt idx="38">
                  <c:v>0.33859578447340127</c:v>
                </c:pt>
                <c:pt idx="39">
                  <c:v>0.36669792530235645</c:v>
                </c:pt>
                <c:pt idx="40">
                  <c:v>0.40241900133017994</c:v>
                </c:pt>
                <c:pt idx="41">
                  <c:v>0.40743452815985359</c:v>
                </c:pt>
                <c:pt idx="42">
                  <c:v>0.44890627318546494</c:v>
                </c:pt>
                <c:pt idx="43">
                  <c:v>0.46456402878624348</c:v>
                </c:pt>
                <c:pt idx="44">
                  <c:v>0.5644848606426367</c:v>
                </c:pt>
                <c:pt idx="45">
                  <c:v>0.65606702963067831</c:v>
                </c:pt>
                <c:pt idx="46">
                  <c:v>0.70834332294297442</c:v>
                </c:pt>
                <c:pt idx="47">
                  <c:v>0.78447367538268731</c:v>
                </c:pt>
                <c:pt idx="48">
                  <c:v>0.77587488817802541</c:v>
                </c:pt>
                <c:pt idx="49">
                  <c:v>0.74366429183292682</c:v>
                </c:pt>
                <c:pt idx="50">
                  <c:v>0.69670257189435669</c:v>
                </c:pt>
                <c:pt idx="51">
                  <c:v>0.63651580374807115</c:v>
                </c:pt>
                <c:pt idx="52">
                  <c:v>0.56627685250609594</c:v>
                </c:pt>
                <c:pt idx="53">
                  <c:v>0.53245484117879582</c:v>
                </c:pt>
                <c:pt idx="54">
                  <c:v>0.50992543314529937</c:v>
                </c:pt>
                <c:pt idx="55">
                  <c:v>0.48563441957267017</c:v>
                </c:pt>
                <c:pt idx="56">
                  <c:v>0.44277682390734269</c:v>
                </c:pt>
                <c:pt idx="57">
                  <c:v>0.43452454355003789</c:v>
                </c:pt>
                <c:pt idx="58">
                  <c:v>0.41792847537146338</c:v>
                </c:pt>
                <c:pt idx="59">
                  <c:v>0.4219163673675525</c:v>
                </c:pt>
                <c:pt idx="60">
                  <c:v>0.42528597189977574</c:v>
                </c:pt>
                <c:pt idx="61">
                  <c:v>0.38645317003691282</c:v>
                </c:pt>
                <c:pt idx="62">
                  <c:v>0.48295444919785163</c:v>
                </c:pt>
                <c:pt idx="63">
                  <c:v>0.84938909935627438</c:v>
                </c:pt>
                <c:pt idx="64">
                  <c:v>1.1559697455520102</c:v>
                </c:pt>
                <c:pt idx="65">
                  <c:v>1.4317265984228897</c:v>
                </c:pt>
                <c:pt idx="66">
                  <c:v>1.4523153021441677</c:v>
                </c:pt>
                <c:pt idx="67">
                  <c:v>1.5147485460942802</c:v>
                </c:pt>
                <c:pt idx="68">
                  <c:v>1.5269311327661526</c:v>
                </c:pt>
                <c:pt idx="69">
                  <c:v>1.509327054648772</c:v>
                </c:pt>
                <c:pt idx="70">
                  <c:v>1.4936659247424915</c:v>
                </c:pt>
                <c:pt idx="71">
                  <c:v>1.4689366006884386</c:v>
                </c:pt>
                <c:pt idx="72">
                  <c:v>1.4419361983111458</c:v>
                </c:pt>
                <c:pt idx="73">
                  <c:v>1.4190085493603959</c:v>
                </c:pt>
                <c:pt idx="74">
                  <c:v>1.3454019160791593</c:v>
                </c:pt>
                <c:pt idx="75">
                  <c:v>1.2569679475040847</c:v>
                </c:pt>
                <c:pt idx="76">
                  <c:v>1.2145845076880364</c:v>
                </c:pt>
                <c:pt idx="77">
                  <c:v>1.1816130812089931</c:v>
                </c:pt>
                <c:pt idx="78">
                  <c:v>1.19289332032844</c:v>
                </c:pt>
                <c:pt idx="79">
                  <c:v>1.2144073711724146</c:v>
                </c:pt>
                <c:pt idx="80">
                  <c:v>1.2311436702684642</c:v>
                </c:pt>
                <c:pt idx="81">
                  <c:v>1.2394060546975925</c:v>
                </c:pt>
                <c:pt idx="82">
                  <c:v>1.3359932240609762</c:v>
                </c:pt>
                <c:pt idx="83">
                  <c:v>1.3366276299151654</c:v>
                </c:pt>
                <c:pt idx="84">
                  <c:v>1.2514171966214944</c:v>
                </c:pt>
                <c:pt idx="85">
                  <c:v>1.0546113028030755</c:v>
                </c:pt>
                <c:pt idx="86">
                  <c:v>1.0744295916291682</c:v>
                </c:pt>
                <c:pt idx="87">
                  <c:v>1.0194088844444171</c:v>
                </c:pt>
                <c:pt idx="88">
                  <c:v>1.0594898226082812</c:v>
                </c:pt>
                <c:pt idx="89">
                  <c:v>1.1173342335548859</c:v>
                </c:pt>
                <c:pt idx="90">
                  <c:v>1.1497981516221376</c:v>
                </c:pt>
                <c:pt idx="91">
                  <c:v>1.1411600745686263</c:v>
                </c:pt>
                <c:pt idx="92">
                  <c:v>1.1147366930072957</c:v>
                </c:pt>
                <c:pt idx="93">
                  <c:v>1.0148212183745264</c:v>
                </c:pt>
                <c:pt idx="94">
                  <c:v>0.9490211023109969</c:v>
                </c:pt>
                <c:pt idx="95">
                  <c:v>0.86582163594077455</c:v>
                </c:pt>
                <c:pt idx="96">
                  <c:v>0.8243394484772586</c:v>
                </c:pt>
                <c:pt idx="97">
                  <c:v>0.77914173428540201</c:v>
                </c:pt>
                <c:pt idx="98">
                  <c:v>0.76355539557078866</c:v>
                </c:pt>
                <c:pt idx="99">
                  <c:v>0.72966106046430579</c:v>
                </c:pt>
                <c:pt idx="100">
                  <c:v>0.69483261899615256</c:v>
                </c:pt>
                <c:pt idx="101">
                  <c:v>0.64901463773939605</c:v>
                </c:pt>
                <c:pt idx="102">
                  <c:v>0.64860072057995888</c:v>
                </c:pt>
                <c:pt idx="103">
                  <c:v>0.6313402619157038</c:v>
                </c:pt>
                <c:pt idx="104">
                  <c:v>0.59146984618606624</c:v>
                </c:pt>
                <c:pt idx="105">
                  <c:v>0.52109474843074921</c:v>
                </c:pt>
                <c:pt idx="106">
                  <c:v>0.45680930030167483</c:v>
                </c:pt>
                <c:pt idx="107">
                  <c:v>0.37569024194772027</c:v>
                </c:pt>
                <c:pt idx="108">
                  <c:v>0.39649782636956443</c:v>
                </c:pt>
                <c:pt idx="109">
                  <c:v>0.41669122734630287</c:v>
                </c:pt>
                <c:pt idx="110">
                  <c:v>0.44038977950758151</c:v>
                </c:pt>
                <c:pt idx="111">
                  <c:v>0.43638949285435774</c:v>
                </c:pt>
                <c:pt idx="112">
                  <c:v>0.45222810965031146</c:v>
                </c:pt>
                <c:pt idx="113">
                  <c:v>0.45286078957759357</c:v>
                </c:pt>
                <c:pt idx="114">
                  <c:v>0.45144679700526763</c:v>
                </c:pt>
                <c:pt idx="115">
                  <c:v>0.4161300404036164</c:v>
                </c:pt>
                <c:pt idx="116">
                  <c:v>0.37794840917776018</c:v>
                </c:pt>
                <c:pt idx="117">
                  <c:v>0.31371290931946699</c:v>
                </c:pt>
                <c:pt idx="118">
                  <c:v>0.33481338085566381</c:v>
                </c:pt>
                <c:pt idx="119">
                  <c:v>0.36431442463893748</c:v>
                </c:pt>
                <c:pt idx="120">
                  <c:v>0.41054520874204925</c:v>
                </c:pt>
                <c:pt idx="121">
                  <c:v>0.4114416246885042</c:v>
                </c:pt>
                <c:pt idx="122">
                  <c:v>0.41748116881577996</c:v>
                </c:pt>
                <c:pt idx="123">
                  <c:v>0.43467955529271673</c:v>
                </c:pt>
                <c:pt idx="124">
                  <c:v>0.46930267418799171</c:v>
                </c:pt>
                <c:pt idx="125">
                  <c:v>0.45787006890601634</c:v>
                </c:pt>
                <c:pt idx="126">
                  <c:v>0.46004004402363002</c:v>
                </c:pt>
                <c:pt idx="127">
                  <c:v>0.4760406882211915</c:v>
                </c:pt>
                <c:pt idx="128">
                  <c:v>0.49913899551337992</c:v>
                </c:pt>
                <c:pt idx="129">
                  <c:v>0.50287044475742149</c:v>
                </c:pt>
                <c:pt idx="130">
                  <c:v>0.51168349592301754</c:v>
                </c:pt>
                <c:pt idx="131">
                  <c:v>0.48667940382274627</c:v>
                </c:pt>
                <c:pt idx="132">
                  <c:v>0.48038224911330607</c:v>
                </c:pt>
                <c:pt idx="133">
                  <c:v>0.45175534832123737</c:v>
                </c:pt>
                <c:pt idx="134">
                  <c:v>0.41242415570687296</c:v>
                </c:pt>
                <c:pt idx="135">
                  <c:v>0.33680542563450871</c:v>
                </c:pt>
                <c:pt idx="136">
                  <c:v>0.29319429519832496</c:v>
                </c:pt>
                <c:pt idx="137">
                  <c:v>0.27861310657952765</c:v>
                </c:pt>
                <c:pt idx="138">
                  <c:v>0.29227735565996121</c:v>
                </c:pt>
                <c:pt idx="139">
                  <c:v>0.32947486127249048</c:v>
                </c:pt>
                <c:pt idx="140">
                  <c:v>0.34554305086342052</c:v>
                </c:pt>
                <c:pt idx="141">
                  <c:v>0.34621677115873428</c:v>
                </c:pt>
                <c:pt idx="142">
                  <c:v>0.33381802480425016</c:v>
                </c:pt>
                <c:pt idx="143">
                  <c:v>0.32830145005050393</c:v>
                </c:pt>
                <c:pt idx="144">
                  <c:v>0.34386770712004994</c:v>
                </c:pt>
                <c:pt idx="145">
                  <c:v>0.32890728176797845</c:v>
                </c:pt>
                <c:pt idx="146">
                  <c:v>0.31536570250391821</c:v>
                </c:pt>
                <c:pt idx="147">
                  <c:v>0.31759747778396669</c:v>
                </c:pt>
                <c:pt idx="148">
                  <c:v>0.32541269344116247</c:v>
                </c:pt>
                <c:pt idx="149">
                  <c:v>0.33174935053281995</c:v>
                </c:pt>
                <c:pt idx="150">
                  <c:v>0.33030249293958686</c:v>
                </c:pt>
                <c:pt idx="151">
                  <c:v>0.34218300736055879</c:v>
                </c:pt>
                <c:pt idx="152">
                  <c:v>0.38084946604856101</c:v>
                </c:pt>
                <c:pt idx="153">
                  <c:v>0.4076747284423286</c:v>
                </c:pt>
                <c:pt idx="154">
                  <c:v>0.42136370088209119</c:v>
                </c:pt>
                <c:pt idx="155">
                  <c:v>0.43559124973087432</c:v>
                </c:pt>
                <c:pt idx="156">
                  <c:v>0.43810927500123192</c:v>
                </c:pt>
                <c:pt idx="157">
                  <c:v>0.44508426168535742</c:v>
                </c:pt>
                <c:pt idx="158">
                  <c:v>0.44714768548163003</c:v>
                </c:pt>
                <c:pt idx="159">
                  <c:v>0.48808837638064534</c:v>
                </c:pt>
                <c:pt idx="160">
                  <c:v>0.50076257637201316</c:v>
                </c:pt>
                <c:pt idx="161">
                  <c:v>0.51558321601035328</c:v>
                </c:pt>
                <c:pt idx="162">
                  <c:v>0.51860237277960031</c:v>
                </c:pt>
                <c:pt idx="163">
                  <c:v>0.50780098671158891</c:v>
                </c:pt>
                <c:pt idx="164">
                  <c:v>0.42171922562666969</c:v>
                </c:pt>
                <c:pt idx="165">
                  <c:v>0.38250421394307615</c:v>
                </c:pt>
                <c:pt idx="166">
                  <c:v>0.32490484436945055</c:v>
                </c:pt>
                <c:pt idx="167">
                  <c:v>0.29712481871216473</c:v>
                </c:pt>
                <c:pt idx="168">
                  <c:v>0.27533472451965774</c:v>
                </c:pt>
                <c:pt idx="169">
                  <c:v>0.28366538849774903</c:v>
                </c:pt>
                <c:pt idx="170">
                  <c:v>0.27066973466414335</c:v>
                </c:pt>
                <c:pt idx="171">
                  <c:v>0.30103811613883907</c:v>
                </c:pt>
                <c:pt idx="172">
                  <c:v>0.37631838423838637</c:v>
                </c:pt>
                <c:pt idx="173">
                  <c:v>0.41998872165308165</c:v>
                </c:pt>
                <c:pt idx="174">
                  <c:v>0.47566020600734255</c:v>
                </c:pt>
                <c:pt idx="175">
                  <c:v>0.51951672887304323</c:v>
                </c:pt>
                <c:pt idx="176">
                  <c:v>0.53496950232798546</c:v>
                </c:pt>
                <c:pt idx="177">
                  <c:v>0.55179038735641894</c:v>
                </c:pt>
                <c:pt idx="178">
                  <c:v>0.54525802679967317</c:v>
                </c:pt>
                <c:pt idx="179">
                  <c:v>0.58305253893443787</c:v>
                </c:pt>
                <c:pt idx="180">
                  <c:v>0.58635784834500937</c:v>
                </c:pt>
                <c:pt idx="181">
                  <c:v>0.57925428467624585</c:v>
                </c:pt>
                <c:pt idx="182">
                  <c:v>0.56091091327552089</c:v>
                </c:pt>
                <c:pt idx="183">
                  <c:v>0.55272982835911322</c:v>
                </c:pt>
                <c:pt idx="184">
                  <c:v>0.52863752380903439</c:v>
                </c:pt>
                <c:pt idx="185">
                  <c:v>0.47010637094172608</c:v>
                </c:pt>
                <c:pt idx="186">
                  <c:v>0.42246488486898953</c:v>
                </c:pt>
                <c:pt idx="187">
                  <c:v>0.39962186073705636</c:v>
                </c:pt>
                <c:pt idx="188">
                  <c:v>0.37948545496015484</c:v>
                </c:pt>
                <c:pt idx="189">
                  <c:v>0.38249733401203662</c:v>
                </c:pt>
                <c:pt idx="190">
                  <c:v>0.35293170652929984</c:v>
                </c:pt>
                <c:pt idx="191">
                  <c:v>0.3424063452437146</c:v>
                </c:pt>
                <c:pt idx="192">
                  <c:v>0.3408175156111678</c:v>
                </c:pt>
                <c:pt idx="193">
                  <c:v>0.35966504885576711</c:v>
                </c:pt>
                <c:pt idx="194">
                  <c:v>0.35518860816251041</c:v>
                </c:pt>
                <c:pt idx="195">
                  <c:v>0.35112450933056749</c:v>
                </c:pt>
                <c:pt idx="196">
                  <c:v>0.34491188806174244</c:v>
                </c:pt>
                <c:pt idx="197">
                  <c:v>0.34278119459565048</c:v>
                </c:pt>
                <c:pt idx="198">
                  <c:v>0.34250278523646632</c:v>
                </c:pt>
                <c:pt idx="199">
                  <c:v>0.36636011906607047</c:v>
                </c:pt>
                <c:pt idx="200">
                  <c:v>0.37606830286671694</c:v>
                </c:pt>
                <c:pt idx="201">
                  <c:v>0.36758493468928599</c:v>
                </c:pt>
                <c:pt idx="202">
                  <c:v>0.34449772743884138</c:v>
                </c:pt>
                <c:pt idx="203">
                  <c:v>0.35076570377870259</c:v>
                </c:pt>
                <c:pt idx="204">
                  <c:v>0.40588564632755514</c:v>
                </c:pt>
                <c:pt idx="205">
                  <c:v>0.45550290310473546</c:v>
                </c:pt>
                <c:pt idx="206">
                  <c:v>0.4853699077697553</c:v>
                </c:pt>
                <c:pt idx="207">
                  <c:v>0.49156570476922279</c:v>
                </c:pt>
                <c:pt idx="208">
                  <c:v>0.50045531900039675</c:v>
                </c:pt>
                <c:pt idx="209">
                  <c:v>0.51180691260422928</c:v>
                </c:pt>
                <c:pt idx="210">
                  <c:v>0.51005159697715563</c:v>
                </c:pt>
                <c:pt idx="211">
                  <c:v>0.51044459465305914</c:v>
                </c:pt>
                <c:pt idx="212">
                  <c:v>0.51153509937709696</c:v>
                </c:pt>
                <c:pt idx="213">
                  <c:v>0.42371135905174029</c:v>
                </c:pt>
                <c:pt idx="214">
                  <c:v>0.40317163642926557</c:v>
                </c:pt>
                <c:pt idx="215">
                  <c:v>0.38154257539900416</c:v>
                </c:pt>
                <c:pt idx="216">
                  <c:v>0.37974506684020704</c:v>
                </c:pt>
                <c:pt idx="217">
                  <c:v>0.35198534658494784</c:v>
                </c:pt>
                <c:pt idx="218">
                  <c:v>0.33220792474466587</c:v>
                </c:pt>
                <c:pt idx="219">
                  <c:v>0.36907102440130829</c:v>
                </c:pt>
                <c:pt idx="220">
                  <c:v>0.43276680240420223</c:v>
                </c:pt>
                <c:pt idx="221">
                  <c:v>0.47692104609728264</c:v>
                </c:pt>
                <c:pt idx="222">
                  <c:v>0.5867968356388692</c:v>
                </c:pt>
                <c:pt idx="223">
                  <c:v>0.62403167092367196</c:v>
                </c:pt>
                <c:pt idx="224">
                  <c:v>0.60522701265071244</c:v>
                </c:pt>
                <c:pt idx="225">
                  <c:v>0.57134743784919773</c:v>
                </c:pt>
                <c:pt idx="226">
                  <c:v>0.55368240944273872</c:v>
                </c:pt>
                <c:pt idx="227">
                  <c:v>0.56429835333708744</c:v>
                </c:pt>
                <c:pt idx="228">
                  <c:v>0.56072579845467496</c:v>
                </c:pt>
                <c:pt idx="229">
                  <c:v>0.55824348583184125</c:v>
                </c:pt>
                <c:pt idx="230">
                  <c:v>0.5782632800486579</c:v>
                </c:pt>
                <c:pt idx="231">
                  <c:v>0.59843128260477918</c:v>
                </c:pt>
                <c:pt idx="232">
                  <c:v>0.61820516948578508</c:v>
                </c:pt>
                <c:pt idx="233">
                  <c:v>0.6291119471964145</c:v>
                </c:pt>
                <c:pt idx="234">
                  <c:v>0.63153613890009752</c:v>
                </c:pt>
                <c:pt idx="235">
                  <c:v>0.64941755280769697</c:v>
                </c:pt>
                <c:pt idx="236">
                  <c:v>0.66966193356286796</c:v>
                </c:pt>
                <c:pt idx="237">
                  <c:v>0.67972207942890817</c:v>
                </c:pt>
                <c:pt idx="238">
                  <c:v>0.68765428890732061</c:v>
                </c:pt>
                <c:pt idx="239">
                  <c:v>0.67500409355483959</c:v>
                </c:pt>
                <c:pt idx="240">
                  <c:v>0.63460285964820962</c:v>
                </c:pt>
                <c:pt idx="241">
                  <c:v>0.58955179228756038</c:v>
                </c:pt>
                <c:pt idx="242">
                  <c:v>0.44722065671150985</c:v>
                </c:pt>
                <c:pt idx="243">
                  <c:v>0.3442226176855846</c:v>
                </c:pt>
                <c:pt idx="244">
                  <c:v>0.3427980838858195</c:v>
                </c:pt>
                <c:pt idx="245">
                  <c:v>0.37298899377016975</c:v>
                </c:pt>
                <c:pt idx="246">
                  <c:v>0.4110944954758286</c:v>
                </c:pt>
                <c:pt idx="247">
                  <c:v>0.45373305391003427</c:v>
                </c:pt>
                <c:pt idx="248">
                  <c:v>0.49088829257731714</c:v>
                </c:pt>
                <c:pt idx="249">
                  <c:v>0.5441388657899362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F3-4F81-BC30-E97BE715875E}"/>
            </c:ext>
          </c:extLst>
        </c:ser>
        <c:ser>
          <c:idx val="8"/>
          <c:order val="8"/>
          <c:tx>
            <c:strRef>
              <c:f>vasgx!$J$1</c:f>
              <c:strCache>
                <c:ptCount val="1"/>
                <c:pt idx="0">
                  <c:v> Upper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vasgx!$A$2:$A$251</c:f>
              <c:numCache>
                <c:formatCode>m/d/yyyy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vasgx!$J$2:$J$251</c:f>
              <c:numCache>
                <c:formatCode>_(* #,##0.00_);_(* \(#,##0.00\);_(* "-"??_);_(@_)</c:formatCode>
                <c:ptCount val="250"/>
                <c:pt idx="19">
                  <c:v>46.006758832608689</c:v>
                </c:pt>
                <c:pt idx="20">
                  <c:v>46.019905943794711</c:v>
                </c:pt>
                <c:pt idx="21">
                  <c:v>46.080237749623123</c:v>
                </c:pt>
                <c:pt idx="22">
                  <c:v>46.170540706589577</c:v>
                </c:pt>
                <c:pt idx="23">
                  <c:v>46.263154377832606</c:v>
                </c:pt>
                <c:pt idx="24">
                  <c:v>46.298445626537529</c:v>
                </c:pt>
                <c:pt idx="25">
                  <c:v>46.271720651212696</c:v>
                </c:pt>
                <c:pt idx="26">
                  <c:v>46.176707489598968</c:v>
                </c:pt>
                <c:pt idx="27">
                  <c:v>46.023871931206784</c:v>
                </c:pt>
                <c:pt idx="28">
                  <c:v>46.046960135853553</c:v>
                </c:pt>
                <c:pt idx="29">
                  <c:v>46.047985964748115</c:v>
                </c:pt>
                <c:pt idx="30">
                  <c:v>46.108765369222731</c:v>
                </c:pt>
                <c:pt idx="31">
                  <c:v>46.190014266426772</c:v>
                </c:pt>
                <c:pt idx="32">
                  <c:v>46.255807906700142</c:v>
                </c:pt>
                <c:pt idx="33">
                  <c:v>46.258969665830328</c:v>
                </c:pt>
                <c:pt idx="34">
                  <c:v>46.258502204617045</c:v>
                </c:pt>
                <c:pt idx="35">
                  <c:v>46.242560284953093</c:v>
                </c:pt>
                <c:pt idx="36">
                  <c:v>46.240843783375674</c:v>
                </c:pt>
                <c:pt idx="37">
                  <c:v>46.271550568778267</c:v>
                </c:pt>
                <c:pt idx="38">
                  <c:v>46.2716915689468</c:v>
                </c:pt>
                <c:pt idx="39">
                  <c:v>46.307395850604713</c:v>
                </c:pt>
                <c:pt idx="40">
                  <c:v>46.360838002660358</c:v>
                </c:pt>
                <c:pt idx="41">
                  <c:v>46.363369056319698</c:v>
                </c:pt>
                <c:pt idx="42">
                  <c:v>46.400812546370929</c:v>
                </c:pt>
                <c:pt idx="43">
                  <c:v>46.391628057572476</c:v>
                </c:pt>
                <c:pt idx="44">
                  <c:v>46.521969721285274</c:v>
                </c:pt>
                <c:pt idx="45">
                  <c:v>46.615634059261353</c:v>
                </c:pt>
                <c:pt idx="46">
                  <c:v>46.64018664588594</c:v>
                </c:pt>
                <c:pt idx="47">
                  <c:v>46.697947350765375</c:v>
                </c:pt>
                <c:pt idx="48">
                  <c:v>46.598249776356056</c:v>
                </c:pt>
                <c:pt idx="49">
                  <c:v>46.466828583665851</c:v>
                </c:pt>
                <c:pt idx="50">
                  <c:v>46.288905143788718</c:v>
                </c:pt>
                <c:pt idx="51">
                  <c:v>46.10253160749614</c:v>
                </c:pt>
                <c:pt idx="52">
                  <c:v>45.890553705012188</c:v>
                </c:pt>
                <c:pt idx="53">
                  <c:v>45.7714096823576</c:v>
                </c:pt>
                <c:pt idx="54">
                  <c:v>45.703350866290599</c:v>
                </c:pt>
                <c:pt idx="55">
                  <c:v>45.633768839145347</c:v>
                </c:pt>
                <c:pt idx="56">
                  <c:v>45.503053647814689</c:v>
                </c:pt>
                <c:pt idx="57">
                  <c:v>45.466049087100089</c:v>
                </c:pt>
                <c:pt idx="58">
                  <c:v>45.368856950742931</c:v>
                </c:pt>
                <c:pt idx="59">
                  <c:v>45.332332734735111</c:v>
                </c:pt>
                <c:pt idx="60">
                  <c:v>45.315071943799552</c:v>
                </c:pt>
                <c:pt idx="61">
                  <c:v>45.195406340073824</c:v>
                </c:pt>
                <c:pt idx="62">
                  <c:v>45.307408898395707</c:v>
                </c:pt>
                <c:pt idx="63">
                  <c:v>45.851278198712542</c:v>
                </c:pt>
                <c:pt idx="64">
                  <c:v>46.29543949110402</c:v>
                </c:pt>
                <c:pt idx="65">
                  <c:v>46.664453196845784</c:v>
                </c:pt>
                <c:pt idx="66">
                  <c:v>46.63713060428833</c:v>
                </c:pt>
                <c:pt idx="67">
                  <c:v>46.669497092188564</c:v>
                </c:pt>
                <c:pt idx="68">
                  <c:v>46.600362265532297</c:v>
                </c:pt>
                <c:pt idx="69">
                  <c:v>46.474154109297544</c:v>
                </c:pt>
                <c:pt idx="70">
                  <c:v>46.365331849484981</c:v>
                </c:pt>
                <c:pt idx="71">
                  <c:v>46.199873201376874</c:v>
                </c:pt>
                <c:pt idx="72">
                  <c:v>46.036872396622293</c:v>
                </c:pt>
                <c:pt idx="73">
                  <c:v>45.870017098720787</c:v>
                </c:pt>
                <c:pt idx="74">
                  <c:v>45.617803832158316</c:v>
                </c:pt>
                <c:pt idx="75">
                  <c:v>45.353935895008163</c:v>
                </c:pt>
                <c:pt idx="76">
                  <c:v>45.23466901537607</c:v>
                </c:pt>
                <c:pt idx="77">
                  <c:v>45.144226162417986</c:v>
                </c:pt>
                <c:pt idx="78">
                  <c:v>45.176286640656883</c:v>
                </c:pt>
                <c:pt idx="79">
                  <c:v>45.236814742344833</c:v>
                </c:pt>
                <c:pt idx="80">
                  <c:v>45.28328734053693</c:v>
                </c:pt>
                <c:pt idx="81">
                  <c:v>45.305812109395184</c:v>
                </c:pt>
                <c:pt idx="82">
                  <c:v>45.597986448121958</c:v>
                </c:pt>
                <c:pt idx="83">
                  <c:v>45.788755259830324</c:v>
                </c:pt>
                <c:pt idx="84">
                  <c:v>45.824334393242992</c:v>
                </c:pt>
                <c:pt idx="85">
                  <c:v>45.658722605606144</c:v>
                </c:pt>
                <c:pt idx="86">
                  <c:v>45.809859183258325</c:v>
                </c:pt>
                <c:pt idx="87">
                  <c:v>45.858317768888824</c:v>
                </c:pt>
                <c:pt idx="88">
                  <c:v>46.105479645216555</c:v>
                </c:pt>
                <c:pt idx="89">
                  <c:v>46.378668467109762</c:v>
                </c:pt>
                <c:pt idx="90">
                  <c:v>46.595596303244264</c:v>
                </c:pt>
                <c:pt idx="91">
                  <c:v>46.76632014913725</c:v>
                </c:pt>
                <c:pt idx="92">
                  <c:v>46.911473386014592</c:v>
                </c:pt>
                <c:pt idx="93">
                  <c:v>46.930642436749054</c:v>
                </c:pt>
                <c:pt idx="94">
                  <c:v>46.979042204621997</c:v>
                </c:pt>
                <c:pt idx="95">
                  <c:v>46.947143271881558</c:v>
                </c:pt>
                <c:pt idx="96">
                  <c:v>46.966178896954517</c:v>
                </c:pt>
                <c:pt idx="97">
                  <c:v>46.965783468570812</c:v>
                </c:pt>
                <c:pt idx="98">
                  <c:v>47.04911079114158</c:v>
                </c:pt>
                <c:pt idx="99">
                  <c:v>47.074322120928613</c:v>
                </c:pt>
                <c:pt idx="100">
                  <c:v>47.103165237992307</c:v>
                </c:pt>
                <c:pt idx="101">
                  <c:v>47.107029275478801</c:v>
                </c:pt>
                <c:pt idx="102">
                  <c:v>47.184701441159923</c:v>
                </c:pt>
                <c:pt idx="103">
                  <c:v>47.23968052383141</c:v>
                </c:pt>
                <c:pt idx="104">
                  <c:v>47.263439692372131</c:v>
                </c:pt>
                <c:pt idx="105">
                  <c:v>47.220689496861496</c:v>
                </c:pt>
                <c:pt idx="106">
                  <c:v>47.196618600603351</c:v>
                </c:pt>
                <c:pt idx="107">
                  <c:v>47.139380483895437</c:v>
                </c:pt>
                <c:pt idx="108">
                  <c:v>47.252995652739131</c:v>
                </c:pt>
                <c:pt idx="109">
                  <c:v>47.353382454692607</c:v>
                </c:pt>
                <c:pt idx="110">
                  <c:v>47.472779559015166</c:v>
                </c:pt>
                <c:pt idx="111">
                  <c:v>47.498778985708718</c:v>
                </c:pt>
                <c:pt idx="112">
                  <c:v>47.569956219300622</c:v>
                </c:pt>
                <c:pt idx="113">
                  <c:v>47.588221579155181</c:v>
                </c:pt>
                <c:pt idx="114">
                  <c:v>47.606893594010536</c:v>
                </c:pt>
                <c:pt idx="115">
                  <c:v>47.574260080807235</c:v>
                </c:pt>
                <c:pt idx="116">
                  <c:v>47.552396818355525</c:v>
                </c:pt>
                <c:pt idx="117">
                  <c:v>47.48242581863893</c:v>
                </c:pt>
                <c:pt idx="118">
                  <c:v>47.574626761711322</c:v>
                </c:pt>
                <c:pt idx="119">
                  <c:v>47.716128849277872</c:v>
                </c:pt>
                <c:pt idx="120">
                  <c:v>47.891090417484094</c:v>
                </c:pt>
                <c:pt idx="121">
                  <c:v>47.962883249377008</c:v>
                </c:pt>
                <c:pt idx="122">
                  <c:v>48.032962337631552</c:v>
                </c:pt>
                <c:pt idx="123">
                  <c:v>48.130359110585424</c:v>
                </c:pt>
                <c:pt idx="124">
                  <c:v>48.267105348375985</c:v>
                </c:pt>
                <c:pt idx="125">
                  <c:v>48.297240137812025</c:v>
                </c:pt>
                <c:pt idx="126">
                  <c:v>48.345080088047254</c:v>
                </c:pt>
                <c:pt idx="127">
                  <c:v>48.428081376442385</c:v>
                </c:pt>
                <c:pt idx="128">
                  <c:v>48.521777991026759</c:v>
                </c:pt>
                <c:pt idx="129">
                  <c:v>48.566240889514845</c:v>
                </c:pt>
                <c:pt idx="130">
                  <c:v>48.61436699184604</c:v>
                </c:pt>
                <c:pt idx="131">
                  <c:v>48.609358807645492</c:v>
                </c:pt>
                <c:pt idx="132">
                  <c:v>48.633264498226609</c:v>
                </c:pt>
                <c:pt idx="133">
                  <c:v>48.641010696642482</c:v>
                </c:pt>
                <c:pt idx="134">
                  <c:v>48.625848311413748</c:v>
                </c:pt>
                <c:pt idx="135">
                  <c:v>48.551610851269018</c:v>
                </c:pt>
                <c:pt idx="136">
                  <c:v>48.53088859039665</c:v>
                </c:pt>
                <c:pt idx="137">
                  <c:v>48.591226213159061</c:v>
                </c:pt>
                <c:pt idx="138">
                  <c:v>48.680054711319919</c:v>
                </c:pt>
                <c:pt idx="139">
                  <c:v>48.800949722544985</c:v>
                </c:pt>
                <c:pt idx="140">
                  <c:v>48.861086101726833</c:v>
                </c:pt>
                <c:pt idx="141">
                  <c:v>48.900933542317468</c:v>
                </c:pt>
                <c:pt idx="142">
                  <c:v>48.906136049608506</c:v>
                </c:pt>
                <c:pt idx="143">
                  <c:v>48.905102900101006</c:v>
                </c:pt>
                <c:pt idx="144">
                  <c:v>48.916235414240106</c:v>
                </c:pt>
                <c:pt idx="145">
                  <c:v>48.914814563535963</c:v>
                </c:pt>
                <c:pt idx="146">
                  <c:v>48.909231405007837</c:v>
                </c:pt>
                <c:pt idx="147">
                  <c:v>48.935694955567932</c:v>
                </c:pt>
                <c:pt idx="148">
                  <c:v>48.973325386882323</c:v>
                </c:pt>
                <c:pt idx="149">
                  <c:v>49.028998701065632</c:v>
                </c:pt>
                <c:pt idx="150">
                  <c:v>49.061104985879169</c:v>
                </c:pt>
                <c:pt idx="151">
                  <c:v>49.153866014721117</c:v>
                </c:pt>
                <c:pt idx="152">
                  <c:v>49.305698932097108</c:v>
                </c:pt>
                <c:pt idx="153">
                  <c:v>49.417849456884653</c:v>
                </c:pt>
                <c:pt idx="154">
                  <c:v>49.502727401764176</c:v>
                </c:pt>
                <c:pt idx="155">
                  <c:v>49.584682499461742</c:v>
                </c:pt>
                <c:pt idx="156">
                  <c:v>49.62771855000247</c:v>
                </c:pt>
                <c:pt idx="157">
                  <c:v>49.655168523370719</c:v>
                </c:pt>
                <c:pt idx="158">
                  <c:v>49.670295370963267</c:v>
                </c:pt>
                <c:pt idx="159">
                  <c:v>49.793676752761286</c:v>
                </c:pt>
                <c:pt idx="160">
                  <c:v>49.856525152744027</c:v>
                </c:pt>
                <c:pt idx="161">
                  <c:v>49.931666432020705</c:v>
                </c:pt>
                <c:pt idx="162">
                  <c:v>49.994204745559202</c:v>
                </c:pt>
                <c:pt idx="163">
                  <c:v>50.048101973423179</c:v>
                </c:pt>
                <c:pt idx="164">
                  <c:v>49.957938451253341</c:v>
                </c:pt>
                <c:pt idx="165">
                  <c:v>49.919008427886148</c:v>
                </c:pt>
                <c:pt idx="166">
                  <c:v>49.854809688738897</c:v>
                </c:pt>
                <c:pt idx="167">
                  <c:v>49.853249637424327</c:v>
                </c:pt>
                <c:pt idx="168">
                  <c:v>49.863169449039312</c:v>
                </c:pt>
                <c:pt idx="169">
                  <c:v>49.935830776995495</c:v>
                </c:pt>
                <c:pt idx="170">
                  <c:v>49.972339469328283</c:v>
                </c:pt>
                <c:pt idx="171">
                  <c:v>50.078576232277669</c:v>
                </c:pt>
                <c:pt idx="172">
                  <c:v>50.282136768476761</c:v>
                </c:pt>
                <c:pt idx="173">
                  <c:v>50.422977443306166</c:v>
                </c:pt>
                <c:pt idx="174">
                  <c:v>50.601320412014694</c:v>
                </c:pt>
                <c:pt idx="175">
                  <c:v>50.755533457746083</c:v>
                </c:pt>
                <c:pt idx="176">
                  <c:v>50.858439004655978</c:v>
                </c:pt>
                <c:pt idx="177">
                  <c:v>50.974580774712834</c:v>
                </c:pt>
                <c:pt idx="178">
                  <c:v>51.053516053599338</c:v>
                </c:pt>
                <c:pt idx="179">
                  <c:v>51.194605077868871</c:v>
                </c:pt>
                <c:pt idx="180">
                  <c:v>51.273215696690016</c:v>
                </c:pt>
                <c:pt idx="181">
                  <c:v>51.316008569352491</c:v>
                </c:pt>
                <c:pt idx="182">
                  <c:v>51.321821826551044</c:v>
                </c:pt>
                <c:pt idx="183">
                  <c:v>51.349959656718227</c:v>
                </c:pt>
                <c:pt idx="184">
                  <c:v>51.367775047618075</c:v>
                </c:pt>
                <c:pt idx="185">
                  <c:v>51.340212741883448</c:v>
                </c:pt>
                <c:pt idx="186">
                  <c:v>51.336429769737983</c:v>
                </c:pt>
                <c:pt idx="187">
                  <c:v>51.370743721474113</c:v>
                </c:pt>
                <c:pt idx="188">
                  <c:v>51.411470909920318</c:v>
                </c:pt>
                <c:pt idx="189">
                  <c:v>51.493994668024079</c:v>
                </c:pt>
                <c:pt idx="190">
                  <c:v>51.497363413058608</c:v>
                </c:pt>
                <c:pt idx="191">
                  <c:v>51.544812690487426</c:v>
                </c:pt>
                <c:pt idx="192">
                  <c:v>51.579135031222336</c:v>
                </c:pt>
                <c:pt idx="193">
                  <c:v>51.606330097711549</c:v>
                </c:pt>
                <c:pt idx="194">
                  <c:v>51.607377216325027</c:v>
                </c:pt>
                <c:pt idx="195">
                  <c:v>51.608249018661155</c:v>
                </c:pt>
                <c:pt idx="196">
                  <c:v>51.621823776123492</c:v>
                </c:pt>
                <c:pt idx="197">
                  <c:v>51.629562389191314</c:v>
                </c:pt>
                <c:pt idx="198">
                  <c:v>51.643505570472932</c:v>
                </c:pt>
                <c:pt idx="199">
                  <c:v>51.720220238132136</c:v>
                </c:pt>
                <c:pt idx="200">
                  <c:v>51.770136605733434</c:v>
                </c:pt>
                <c:pt idx="201">
                  <c:v>51.783669869378571</c:v>
                </c:pt>
                <c:pt idx="202">
                  <c:v>51.794495454877683</c:v>
                </c:pt>
                <c:pt idx="203">
                  <c:v>51.867031407557405</c:v>
                </c:pt>
                <c:pt idx="204">
                  <c:v>52.049771292655109</c:v>
                </c:pt>
                <c:pt idx="205">
                  <c:v>52.213505806209469</c:v>
                </c:pt>
                <c:pt idx="206">
                  <c:v>52.320239815539509</c:v>
                </c:pt>
                <c:pt idx="207">
                  <c:v>52.358131409538444</c:v>
                </c:pt>
                <c:pt idx="208">
                  <c:v>52.399410638000795</c:v>
                </c:pt>
                <c:pt idx="209">
                  <c:v>52.442613825208461</c:v>
                </c:pt>
                <c:pt idx="210">
                  <c:v>52.44510319395431</c:v>
                </c:pt>
                <c:pt idx="211">
                  <c:v>52.448889189306129</c:v>
                </c:pt>
                <c:pt idx="212">
                  <c:v>52.448570198754204</c:v>
                </c:pt>
                <c:pt idx="213">
                  <c:v>52.326922718103489</c:v>
                </c:pt>
                <c:pt idx="214">
                  <c:v>52.336343272858528</c:v>
                </c:pt>
                <c:pt idx="215">
                  <c:v>52.351085150797992</c:v>
                </c:pt>
                <c:pt idx="216">
                  <c:v>52.397490133680414</c:v>
                </c:pt>
                <c:pt idx="217">
                  <c:v>52.364970693169894</c:v>
                </c:pt>
                <c:pt idx="218">
                  <c:v>52.340415849489339</c:v>
                </c:pt>
                <c:pt idx="219">
                  <c:v>52.384642048802618</c:v>
                </c:pt>
                <c:pt idx="220">
                  <c:v>52.472033604808409</c:v>
                </c:pt>
                <c:pt idx="221">
                  <c:v>52.530842092194575</c:v>
                </c:pt>
                <c:pt idx="222">
                  <c:v>52.677593671277741</c:v>
                </c:pt>
                <c:pt idx="223">
                  <c:v>52.688563341847342</c:v>
                </c:pt>
                <c:pt idx="224">
                  <c:v>52.589954025301417</c:v>
                </c:pt>
                <c:pt idx="225">
                  <c:v>52.480694875698404</c:v>
                </c:pt>
                <c:pt idx="226">
                  <c:v>52.429364818885482</c:v>
                </c:pt>
                <c:pt idx="227">
                  <c:v>52.461596706674179</c:v>
                </c:pt>
                <c:pt idx="228">
                  <c:v>52.449951596909351</c:v>
                </c:pt>
                <c:pt idx="229">
                  <c:v>52.442486971663683</c:v>
                </c:pt>
                <c:pt idx="230">
                  <c:v>52.515526560097321</c:v>
                </c:pt>
                <c:pt idx="231">
                  <c:v>52.58286256520956</c:v>
                </c:pt>
                <c:pt idx="232">
                  <c:v>52.668910338971557</c:v>
                </c:pt>
                <c:pt idx="233">
                  <c:v>52.726723894392819</c:v>
                </c:pt>
                <c:pt idx="234">
                  <c:v>52.735072277800199</c:v>
                </c:pt>
                <c:pt idx="235">
                  <c:v>52.786835105615395</c:v>
                </c:pt>
                <c:pt idx="236">
                  <c:v>52.843823867125742</c:v>
                </c:pt>
                <c:pt idx="237">
                  <c:v>52.89244415885782</c:v>
                </c:pt>
                <c:pt idx="238">
                  <c:v>52.940308577814641</c:v>
                </c:pt>
                <c:pt idx="239">
                  <c:v>52.96100818710967</c:v>
                </c:pt>
                <c:pt idx="240">
                  <c:v>52.923705719296407</c:v>
                </c:pt>
                <c:pt idx="241">
                  <c:v>52.89260358457512</c:v>
                </c:pt>
                <c:pt idx="242">
                  <c:v>52.712441313423021</c:v>
                </c:pt>
                <c:pt idx="243">
                  <c:v>52.602945235371166</c:v>
                </c:pt>
                <c:pt idx="244">
                  <c:v>52.600596167771641</c:v>
                </c:pt>
                <c:pt idx="245">
                  <c:v>52.645477987540346</c:v>
                </c:pt>
                <c:pt idx="246">
                  <c:v>52.689688990951652</c:v>
                </c:pt>
                <c:pt idx="247">
                  <c:v>52.727466107820078</c:v>
                </c:pt>
                <c:pt idx="248">
                  <c:v>52.765276585154638</c:v>
                </c:pt>
                <c:pt idx="249">
                  <c:v>52.816777731579869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F3-4F81-BC30-E97BE715875E}"/>
            </c:ext>
          </c:extLst>
        </c:ser>
        <c:ser>
          <c:idx val="9"/>
          <c:order val="9"/>
          <c:tx>
            <c:strRef>
              <c:f>vasgx!$K$1</c:f>
              <c:strCache>
                <c:ptCount val="1"/>
                <c:pt idx="0">
                  <c:v>Lower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vasgx!$A$2:$A$251</c:f>
              <c:numCache>
                <c:formatCode>m/d/yyyy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vasgx!$K$2:$K$251</c:f>
              <c:numCache>
                <c:formatCode>General</c:formatCode>
                <c:ptCount val="250"/>
                <c:pt idx="19">
                  <c:v>43.496241167391325</c:v>
                </c:pt>
                <c:pt idx="20">
                  <c:v>43.574094056205297</c:v>
                </c:pt>
                <c:pt idx="21">
                  <c:v>43.604762250376879</c:v>
                </c:pt>
                <c:pt idx="22">
                  <c:v>43.610459293410443</c:v>
                </c:pt>
                <c:pt idx="23">
                  <c:v>43.655845622167405</c:v>
                </c:pt>
                <c:pt idx="24">
                  <c:v>43.728554373462487</c:v>
                </c:pt>
                <c:pt idx="25">
                  <c:v>43.947279348787312</c:v>
                </c:pt>
                <c:pt idx="26">
                  <c:v>44.238292510401024</c:v>
                </c:pt>
                <c:pt idx="27">
                  <c:v>44.563128068793205</c:v>
                </c:pt>
                <c:pt idx="28">
                  <c:v>44.695039864146437</c:v>
                </c:pt>
                <c:pt idx="29">
                  <c:v>44.848014035251872</c:v>
                </c:pt>
                <c:pt idx="30">
                  <c:v>44.926234630777252</c:v>
                </c:pt>
                <c:pt idx="31">
                  <c:v>44.931985733573214</c:v>
                </c:pt>
                <c:pt idx="32">
                  <c:v>44.941192093299847</c:v>
                </c:pt>
                <c:pt idx="33">
                  <c:v>44.94903033416967</c:v>
                </c:pt>
                <c:pt idx="34">
                  <c:v>44.939497795382962</c:v>
                </c:pt>
                <c:pt idx="35">
                  <c:v>44.984439715046911</c:v>
                </c:pt>
                <c:pt idx="36">
                  <c:v>45.001156216624317</c:v>
                </c:pt>
                <c:pt idx="37">
                  <c:v>44.943449431221737</c:v>
                </c:pt>
                <c:pt idx="38">
                  <c:v>44.917308431053193</c:v>
                </c:pt>
                <c:pt idx="39">
                  <c:v>44.840604149395283</c:v>
                </c:pt>
                <c:pt idx="40">
                  <c:v>44.751161997339636</c:v>
                </c:pt>
                <c:pt idx="41">
                  <c:v>44.733630943680282</c:v>
                </c:pt>
                <c:pt idx="42">
                  <c:v>44.605187453629071</c:v>
                </c:pt>
                <c:pt idx="43">
                  <c:v>44.533371942427507</c:v>
                </c:pt>
                <c:pt idx="44">
                  <c:v>44.264030278714728</c:v>
                </c:pt>
                <c:pt idx="45">
                  <c:v>43.991365940738646</c:v>
                </c:pt>
                <c:pt idx="46">
                  <c:v>43.806813354114048</c:v>
                </c:pt>
                <c:pt idx="47">
                  <c:v>43.560052649234621</c:v>
                </c:pt>
                <c:pt idx="48">
                  <c:v>43.494750223643948</c:v>
                </c:pt>
                <c:pt idx="49">
                  <c:v>43.492171416334138</c:v>
                </c:pt>
                <c:pt idx="50">
                  <c:v>43.502094856211293</c:v>
                </c:pt>
                <c:pt idx="51">
                  <c:v>43.556468392503852</c:v>
                </c:pt>
                <c:pt idx="52">
                  <c:v>43.625446294987803</c:v>
                </c:pt>
                <c:pt idx="53">
                  <c:v>43.641590317642411</c:v>
                </c:pt>
                <c:pt idx="54">
                  <c:v>43.663649133709406</c:v>
                </c:pt>
                <c:pt idx="55">
                  <c:v>43.69123116085467</c:v>
                </c:pt>
                <c:pt idx="56">
                  <c:v>43.731946352185311</c:v>
                </c:pt>
                <c:pt idx="57">
                  <c:v>43.727950912899942</c:v>
                </c:pt>
                <c:pt idx="58">
                  <c:v>43.697143049257072</c:v>
                </c:pt>
                <c:pt idx="59">
                  <c:v>43.644667265264907</c:v>
                </c:pt>
                <c:pt idx="60">
                  <c:v>43.61392805620045</c:v>
                </c:pt>
                <c:pt idx="61">
                  <c:v>43.649593659926175</c:v>
                </c:pt>
                <c:pt idx="62">
                  <c:v>43.3755911016043</c:v>
                </c:pt>
                <c:pt idx="63">
                  <c:v>42.45372180128745</c:v>
                </c:pt>
                <c:pt idx="64">
                  <c:v>41.671560508895979</c:v>
                </c:pt>
                <c:pt idx="65">
                  <c:v>40.93754680315422</c:v>
                </c:pt>
                <c:pt idx="66">
                  <c:v>40.827869395711659</c:v>
                </c:pt>
                <c:pt idx="67">
                  <c:v>40.610502907811437</c:v>
                </c:pt>
                <c:pt idx="68">
                  <c:v>40.492637734467692</c:v>
                </c:pt>
                <c:pt idx="69">
                  <c:v>40.436845890702457</c:v>
                </c:pt>
                <c:pt idx="70">
                  <c:v>40.390668150515019</c:v>
                </c:pt>
                <c:pt idx="71">
                  <c:v>40.324126798623126</c:v>
                </c:pt>
                <c:pt idx="72">
                  <c:v>40.269127603377704</c:v>
                </c:pt>
                <c:pt idx="73">
                  <c:v>40.193982901279206</c:v>
                </c:pt>
                <c:pt idx="74">
                  <c:v>40.236196167841683</c:v>
                </c:pt>
                <c:pt idx="75">
                  <c:v>40.326064104991829</c:v>
                </c:pt>
                <c:pt idx="76">
                  <c:v>40.37633098462392</c:v>
                </c:pt>
                <c:pt idx="77">
                  <c:v>40.417773837582011</c:v>
                </c:pt>
                <c:pt idx="78">
                  <c:v>40.40471335934312</c:v>
                </c:pt>
                <c:pt idx="79">
                  <c:v>40.37918525765518</c:v>
                </c:pt>
                <c:pt idx="80">
                  <c:v>40.35871265946308</c:v>
                </c:pt>
                <c:pt idx="81">
                  <c:v>40.348187890604812</c:v>
                </c:pt>
                <c:pt idx="82">
                  <c:v>40.254013551878046</c:v>
                </c:pt>
                <c:pt idx="83">
                  <c:v>40.442244740169656</c:v>
                </c:pt>
                <c:pt idx="84">
                  <c:v>40.818665606757008</c:v>
                </c:pt>
                <c:pt idx="85">
                  <c:v>41.440277394393846</c:v>
                </c:pt>
                <c:pt idx="86">
                  <c:v>41.512140816741649</c:v>
                </c:pt>
                <c:pt idx="87">
                  <c:v>41.780682231111157</c:v>
                </c:pt>
                <c:pt idx="88">
                  <c:v>41.86752035478343</c:v>
                </c:pt>
                <c:pt idx="89">
                  <c:v>41.909331532890221</c:v>
                </c:pt>
                <c:pt idx="90">
                  <c:v>41.996403696755721</c:v>
                </c:pt>
                <c:pt idx="91">
                  <c:v>42.201679850862739</c:v>
                </c:pt>
                <c:pt idx="92">
                  <c:v>42.452526613985412</c:v>
                </c:pt>
                <c:pt idx="93">
                  <c:v>42.871357563250953</c:v>
                </c:pt>
                <c:pt idx="94">
                  <c:v>43.182957795378009</c:v>
                </c:pt>
                <c:pt idx="95">
                  <c:v>43.483856728118454</c:v>
                </c:pt>
                <c:pt idx="96">
                  <c:v>43.668821103045488</c:v>
                </c:pt>
                <c:pt idx="97">
                  <c:v>43.8492165314292</c:v>
                </c:pt>
                <c:pt idx="98">
                  <c:v>43.994889208858432</c:v>
                </c:pt>
                <c:pt idx="99">
                  <c:v>44.155677879071391</c:v>
                </c:pt>
                <c:pt idx="100">
                  <c:v>44.323834762007699</c:v>
                </c:pt>
                <c:pt idx="101">
                  <c:v>44.510970724521222</c:v>
                </c:pt>
                <c:pt idx="102">
                  <c:v>44.590298558840082</c:v>
                </c:pt>
                <c:pt idx="103">
                  <c:v>44.714319476168598</c:v>
                </c:pt>
                <c:pt idx="104">
                  <c:v>44.89756030762787</c:v>
                </c:pt>
                <c:pt idx="105">
                  <c:v>45.136310503138503</c:v>
                </c:pt>
                <c:pt idx="106">
                  <c:v>45.369381399396651</c:v>
                </c:pt>
                <c:pt idx="107">
                  <c:v>45.63661951610456</c:v>
                </c:pt>
                <c:pt idx="108">
                  <c:v>45.667004347260871</c:v>
                </c:pt>
                <c:pt idx="109">
                  <c:v>45.686617545307399</c:v>
                </c:pt>
                <c:pt idx="110">
                  <c:v>45.711220440984846</c:v>
                </c:pt>
                <c:pt idx="111">
                  <c:v>45.753221014291292</c:v>
                </c:pt>
                <c:pt idx="112">
                  <c:v>45.761043780699382</c:v>
                </c:pt>
                <c:pt idx="113">
                  <c:v>45.776778420844813</c:v>
                </c:pt>
                <c:pt idx="114">
                  <c:v>45.801106405989465</c:v>
                </c:pt>
                <c:pt idx="115">
                  <c:v>45.909739919192774</c:v>
                </c:pt>
                <c:pt idx="116">
                  <c:v>46.040603181644478</c:v>
                </c:pt>
                <c:pt idx="117">
                  <c:v>46.227574181361064</c:v>
                </c:pt>
                <c:pt idx="118">
                  <c:v>46.235373238288666</c:v>
                </c:pt>
                <c:pt idx="119">
                  <c:v>46.258871150722122</c:v>
                </c:pt>
                <c:pt idx="120">
                  <c:v>46.248909582515893</c:v>
                </c:pt>
                <c:pt idx="121">
                  <c:v>46.317116750622993</c:v>
                </c:pt>
                <c:pt idx="122">
                  <c:v>46.363037662368434</c:v>
                </c:pt>
                <c:pt idx="123">
                  <c:v>46.391640889414553</c:v>
                </c:pt>
                <c:pt idx="124">
                  <c:v>46.389894651624012</c:v>
                </c:pt>
                <c:pt idx="125">
                  <c:v>46.465759862187966</c:v>
                </c:pt>
                <c:pt idx="126">
                  <c:v>46.50491991195274</c:v>
                </c:pt>
                <c:pt idx="127">
                  <c:v>46.523918623557613</c:v>
                </c:pt>
                <c:pt idx="128">
                  <c:v>46.525222008973238</c:v>
                </c:pt>
                <c:pt idx="129">
                  <c:v>46.554759110485165</c:v>
                </c:pt>
                <c:pt idx="130">
                  <c:v>46.567633008153976</c:v>
                </c:pt>
                <c:pt idx="131">
                  <c:v>46.662641192354513</c:v>
                </c:pt>
                <c:pt idx="132">
                  <c:v>46.71173550177339</c:v>
                </c:pt>
                <c:pt idx="133">
                  <c:v>46.833989303357527</c:v>
                </c:pt>
                <c:pt idx="134">
                  <c:v>46.976151688586256</c:v>
                </c:pt>
                <c:pt idx="135">
                  <c:v>47.204389148730982</c:v>
                </c:pt>
                <c:pt idx="136">
                  <c:v>47.358111409603346</c:v>
                </c:pt>
                <c:pt idx="137">
                  <c:v>47.476773786840951</c:v>
                </c:pt>
                <c:pt idx="138">
                  <c:v>47.51094528868007</c:v>
                </c:pt>
                <c:pt idx="139">
                  <c:v>47.483050277455021</c:v>
                </c:pt>
                <c:pt idx="140">
                  <c:v>47.478913898273156</c:v>
                </c:pt>
                <c:pt idx="141">
                  <c:v>47.516066457682534</c:v>
                </c:pt>
                <c:pt idx="142">
                  <c:v>47.570863950391498</c:v>
                </c:pt>
                <c:pt idx="143">
                  <c:v>47.591897099898993</c:v>
                </c:pt>
                <c:pt idx="144">
                  <c:v>47.540764585759902</c:v>
                </c:pt>
                <c:pt idx="145">
                  <c:v>47.599185436464047</c:v>
                </c:pt>
                <c:pt idx="146">
                  <c:v>47.647768594992165</c:v>
                </c:pt>
                <c:pt idx="147">
                  <c:v>47.665305044432067</c:v>
                </c:pt>
                <c:pt idx="148">
                  <c:v>47.671674613117673</c:v>
                </c:pt>
                <c:pt idx="149">
                  <c:v>47.702001298934348</c:v>
                </c:pt>
                <c:pt idx="150">
                  <c:v>47.739895014120819</c:v>
                </c:pt>
                <c:pt idx="151">
                  <c:v>47.785133985278875</c:v>
                </c:pt>
                <c:pt idx="152">
                  <c:v>47.782301067902871</c:v>
                </c:pt>
                <c:pt idx="153">
                  <c:v>47.787150543115345</c:v>
                </c:pt>
                <c:pt idx="154">
                  <c:v>47.817272598235817</c:v>
                </c:pt>
                <c:pt idx="155">
                  <c:v>47.84231750053825</c:v>
                </c:pt>
                <c:pt idx="156">
                  <c:v>47.875281449997544</c:v>
                </c:pt>
                <c:pt idx="157">
                  <c:v>47.874831476629282</c:v>
                </c:pt>
                <c:pt idx="158">
                  <c:v>47.88170462903674</c:v>
                </c:pt>
                <c:pt idx="159">
                  <c:v>47.841323247238705</c:v>
                </c:pt>
                <c:pt idx="160">
                  <c:v>47.853474847255967</c:v>
                </c:pt>
                <c:pt idx="161">
                  <c:v>47.869333567979297</c:v>
                </c:pt>
                <c:pt idx="162">
                  <c:v>47.9197952544408</c:v>
                </c:pt>
                <c:pt idx="163">
                  <c:v>48.016898026576818</c:v>
                </c:pt>
                <c:pt idx="164">
                  <c:v>48.271061548746658</c:v>
                </c:pt>
                <c:pt idx="165">
                  <c:v>48.388991572113845</c:v>
                </c:pt>
                <c:pt idx="166">
                  <c:v>48.5551903112611</c:v>
                </c:pt>
                <c:pt idx="167">
                  <c:v>48.664750362575674</c:v>
                </c:pt>
                <c:pt idx="168">
                  <c:v>48.761830550960674</c:v>
                </c:pt>
                <c:pt idx="169">
                  <c:v>48.8011692230045</c:v>
                </c:pt>
                <c:pt idx="170">
                  <c:v>48.889660530671712</c:v>
                </c:pt>
                <c:pt idx="171">
                  <c:v>48.87442376772232</c:v>
                </c:pt>
                <c:pt idx="172">
                  <c:v>48.776863231523222</c:v>
                </c:pt>
                <c:pt idx="173">
                  <c:v>48.743022556693845</c:v>
                </c:pt>
                <c:pt idx="174">
                  <c:v>48.698679587985318</c:v>
                </c:pt>
                <c:pt idx="175">
                  <c:v>48.67746654225391</c:v>
                </c:pt>
                <c:pt idx="176">
                  <c:v>48.718560995344035</c:v>
                </c:pt>
                <c:pt idx="177">
                  <c:v>48.767419225287156</c:v>
                </c:pt>
                <c:pt idx="178">
                  <c:v>48.872483946400649</c:v>
                </c:pt>
                <c:pt idx="179">
                  <c:v>48.862394922131116</c:v>
                </c:pt>
                <c:pt idx="180">
                  <c:v>48.927784303309977</c:v>
                </c:pt>
                <c:pt idx="181">
                  <c:v>48.998991430647507</c:v>
                </c:pt>
                <c:pt idx="182">
                  <c:v>49.078178173448961</c:v>
                </c:pt>
                <c:pt idx="183">
                  <c:v>49.139040343281778</c:v>
                </c:pt>
                <c:pt idx="184">
                  <c:v>49.253224952381935</c:v>
                </c:pt>
                <c:pt idx="185">
                  <c:v>49.459787258116549</c:v>
                </c:pt>
                <c:pt idx="186">
                  <c:v>49.646570230262022</c:v>
                </c:pt>
                <c:pt idx="187">
                  <c:v>49.772256278525887</c:v>
                </c:pt>
                <c:pt idx="188">
                  <c:v>49.893529090079703</c:v>
                </c:pt>
                <c:pt idx="189">
                  <c:v>49.964005331975933</c:v>
                </c:pt>
                <c:pt idx="190">
                  <c:v>50.085636586941405</c:v>
                </c:pt>
                <c:pt idx="191">
                  <c:v>50.175187309512573</c:v>
                </c:pt>
                <c:pt idx="192">
                  <c:v>50.215864968777666</c:v>
                </c:pt>
                <c:pt idx="193">
                  <c:v>50.16766990228848</c:v>
                </c:pt>
                <c:pt idx="194">
                  <c:v>50.186622783674984</c:v>
                </c:pt>
                <c:pt idx="195">
                  <c:v>50.203750981338885</c:v>
                </c:pt>
                <c:pt idx="196">
                  <c:v>50.242176223876527</c:v>
                </c:pt>
                <c:pt idx="197">
                  <c:v>50.258437610808706</c:v>
                </c:pt>
                <c:pt idx="198">
                  <c:v>50.273494429527069</c:v>
                </c:pt>
                <c:pt idx="199">
                  <c:v>50.254779761867859</c:v>
                </c:pt>
                <c:pt idx="200">
                  <c:v>50.265863394266567</c:v>
                </c:pt>
                <c:pt idx="201">
                  <c:v>50.313330130621424</c:v>
                </c:pt>
                <c:pt idx="202">
                  <c:v>50.416504545122315</c:v>
                </c:pt>
                <c:pt idx="203">
                  <c:v>50.463968592442598</c:v>
                </c:pt>
                <c:pt idx="204">
                  <c:v>50.42622870734489</c:v>
                </c:pt>
                <c:pt idx="205">
                  <c:v>50.391494193790521</c:v>
                </c:pt>
                <c:pt idx="206">
                  <c:v>50.378760184460489</c:v>
                </c:pt>
                <c:pt idx="207">
                  <c:v>50.391868590461556</c:v>
                </c:pt>
                <c:pt idx="208">
                  <c:v>50.397589361999202</c:v>
                </c:pt>
                <c:pt idx="209">
                  <c:v>50.395386174791547</c:v>
                </c:pt>
                <c:pt idx="210">
                  <c:v>50.404896806045684</c:v>
                </c:pt>
                <c:pt idx="211">
                  <c:v>50.407110810693894</c:v>
                </c:pt>
                <c:pt idx="212">
                  <c:v>50.402429801245823</c:v>
                </c:pt>
                <c:pt idx="213">
                  <c:v>50.632077281896528</c:v>
                </c:pt>
                <c:pt idx="214">
                  <c:v>50.72365672714146</c:v>
                </c:pt>
                <c:pt idx="215">
                  <c:v>50.824914849201981</c:v>
                </c:pt>
                <c:pt idx="216">
                  <c:v>50.878509866319582</c:v>
                </c:pt>
                <c:pt idx="217">
                  <c:v>50.957029306830108</c:v>
                </c:pt>
                <c:pt idx="218">
                  <c:v>51.011584150510679</c:v>
                </c:pt>
                <c:pt idx="219">
                  <c:v>50.908357951197388</c:v>
                </c:pt>
                <c:pt idx="220">
                  <c:v>50.740966395191599</c:v>
                </c:pt>
                <c:pt idx="221">
                  <c:v>50.623157907805449</c:v>
                </c:pt>
                <c:pt idx="222">
                  <c:v>50.330406328722269</c:v>
                </c:pt>
                <c:pt idx="223">
                  <c:v>50.192436658152658</c:v>
                </c:pt>
                <c:pt idx="224">
                  <c:v>50.16904597469857</c:v>
                </c:pt>
                <c:pt idx="225">
                  <c:v>50.195305124301612</c:v>
                </c:pt>
                <c:pt idx="226">
                  <c:v>50.214635181114524</c:v>
                </c:pt>
                <c:pt idx="227">
                  <c:v>50.204403293325832</c:v>
                </c:pt>
                <c:pt idx="228">
                  <c:v>50.207048403090646</c:v>
                </c:pt>
                <c:pt idx="229">
                  <c:v>50.209513028336318</c:v>
                </c:pt>
                <c:pt idx="230">
                  <c:v>50.202473439902683</c:v>
                </c:pt>
                <c:pt idx="231">
                  <c:v>50.189137434790446</c:v>
                </c:pt>
                <c:pt idx="232">
                  <c:v>50.196089661028424</c:v>
                </c:pt>
                <c:pt idx="233">
                  <c:v>50.210276105607164</c:v>
                </c:pt>
                <c:pt idx="234">
                  <c:v>50.208927722199803</c:v>
                </c:pt>
                <c:pt idx="235">
                  <c:v>50.189164894384604</c:v>
                </c:pt>
                <c:pt idx="236">
                  <c:v>50.165176132874272</c:v>
                </c:pt>
                <c:pt idx="237">
                  <c:v>50.173555841142182</c:v>
                </c:pt>
                <c:pt idx="238">
                  <c:v>50.189691422185355</c:v>
                </c:pt>
                <c:pt idx="239">
                  <c:v>50.26099181289031</c:v>
                </c:pt>
                <c:pt idx="240">
                  <c:v>50.385294280703562</c:v>
                </c:pt>
                <c:pt idx="241">
                  <c:v>50.534396415424872</c:v>
                </c:pt>
                <c:pt idx="242">
                  <c:v>50.923558686576975</c:v>
                </c:pt>
                <c:pt idx="243">
                  <c:v>51.226054764628827</c:v>
                </c:pt>
                <c:pt idx="244">
                  <c:v>51.229403832228357</c:v>
                </c:pt>
                <c:pt idx="245">
                  <c:v>51.153522012459661</c:v>
                </c:pt>
                <c:pt idx="246">
                  <c:v>51.045311009048334</c:v>
                </c:pt>
                <c:pt idx="247">
                  <c:v>50.912533892179937</c:v>
                </c:pt>
                <c:pt idx="248">
                  <c:v>50.80172341484537</c:v>
                </c:pt>
                <c:pt idx="249">
                  <c:v>50.640222268420125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0F3-4F81-BC30-E97BE715875E}"/>
            </c:ext>
          </c:extLst>
        </c:ser>
        <c:ser>
          <c:idx val="10"/>
          <c:order val="10"/>
          <c:tx>
            <c:strRef>
              <c:f>vasgx!$L$1</c:f>
              <c:strCache>
                <c:ptCount val="1"/>
                <c:pt idx="0">
                  <c:v>50d High  ]EMA2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vasgx!$A$2:$A$251</c:f>
              <c:numCache>
                <c:formatCode>m/d/yyyy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vasgx!$L$2:$L$251</c:f>
              <c:numCache>
                <c:formatCode>General</c:formatCode>
                <c:ptCount val="250"/>
                <c:pt idx="49">
                  <c:v>45.012400000000007</c:v>
                </c:pt>
                <c:pt idx="50">
                  <c:v>45.019800000000011</c:v>
                </c:pt>
                <c:pt idx="51">
                  <c:v>45.026200000000017</c:v>
                </c:pt>
                <c:pt idx="52">
                  <c:v>45.02600000000001</c:v>
                </c:pt>
                <c:pt idx="53">
                  <c:v>45.0304</c:v>
                </c:pt>
                <c:pt idx="54">
                  <c:v>45.0426</c:v>
                </c:pt>
                <c:pt idx="55">
                  <c:v>45.068199999999997</c:v>
                </c:pt>
                <c:pt idx="56">
                  <c:v>45.086800000000004</c:v>
                </c:pt>
                <c:pt idx="57">
                  <c:v>45.101600000000005</c:v>
                </c:pt>
                <c:pt idx="58">
                  <c:v>45.09340000000001</c:v>
                </c:pt>
                <c:pt idx="59">
                  <c:v>45.084200000000017</c:v>
                </c:pt>
                <c:pt idx="60">
                  <c:v>45.072400000000016</c:v>
                </c:pt>
                <c:pt idx="61">
                  <c:v>45.055400000000006</c:v>
                </c:pt>
                <c:pt idx="62">
                  <c:v>45.010600000000004</c:v>
                </c:pt>
                <c:pt idx="63">
                  <c:v>44.923600000000008</c:v>
                </c:pt>
                <c:pt idx="64">
                  <c:v>44.826400000000007</c:v>
                </c:pt>
                <c:pt idx="65">
                  <c:v>44.727800000000009</c:v>
                </c:pt>
                <c:pt idx="66">
                  <c:v>44.674000000000014</c:v>
                </c:pt>
                <c:pt idx="67">
                  <c:v>44.605200000000004</c:v>
                </c:pt>
                <c:pt idx="68">
                  <c:v>44.543199999999999</c:v>
                </c:pt>
                <c:pt idx="69">
                  <c:v>44.494</c:v>
                </c:pt>
                <c:pt idx="70">
                  <c:v>44.452199999999991</c:v>
                </c:pt>
                <c:pt idx="71">
                  <c:v>44.393999999999998</c:v>
                </c:pt>
                <c:pt idx="72">
                  <c:v>44.331000000000003</c:v>
                </c:pt>
                <c:pt idx="73">
                  <c:v>44.259399999999999</c:v>
                </c:pt>
                <c:pt idx="74">
                  <c:v>44.207999999999998</c:v>
                </c:pt>
                <c:pt idx="75">
                  <c:v>44.160400000000003</c:v>
                </c:pt>
                <c:pt idx="76">
                  <c:v>44.126000000000005</c:v>
                </c:pt>
                <c:pt idx="77">
                  <c:v>44.096600000000009</c:v>
                </c:pt>
                <c:pt idx="78">
                  <c:v>44.061200000000007</c:v>
                </c:pt>
                <c:pt idx="79">
                  <c:v>44.028199999999998</c:v>
                </c:pt>
                <c:pt idx="80">
                  <c:v>43.993800000000007</c:v>
                </c:pt>
                <c:pt idx="81">
                  <c:v>43.961800000000004</c:v>
                </c:pt>
                <c:pt idx="82">
                  <c:v>43.941600000000008</c:v>
                </c:pt>
                <c:pt idx="83">
                  <c:v>43.928200000000004</c:v>
                </c:pt>
                <c:pt idx="84">
                  <c:v>43.915400000000005</c:v>
                </c:pt>
                <c:pt idx="85">
                  <c:v>43.902200000000022</c:v>
                </c:pt>
                <c:pt idx="86">
                  <c:v>43.890000000000008</c:v>
                </c:pt>
                <c:pt idx="87">
                  <c:v>43.890000000000015</c:v>
                </c:pt>
                <c:pt idx="88">
                  <c:v>43.900000000000006</c:v>
                </c:pt>
                <c:pt idx="89">
                  <c:v>43.922000000000004</c:v>
                </c:pt>
                <c:pt idx="90">
                  <c:v>43.948200000000007</c:v>
                </c:pt>
                <c:pt idx="91">
                  <c:v>43.968199999999996</c:v>
                </c:pt>
                <c:pt idx="92">
                  <c:v>44.002600000000001</c:v>
                </c:pt>
                <c:pt idx="93">
                  <c:v>44.034799999999997</c:v>
                </c:pt>
                <c:pt idx="94">
                  <c:v>44.083199999999998</c:v>
                </c:pt>
                <c:pt idx="95">
                  <c:v>44.125200000000007</c:v>
                </c:pt>
                <c:pt idx="96">
                  <c:v>44.163600000000002</c:v>
                </c:pt>
                <c:pt idx="97">
                  <c:v>44.208000000000013</c:v>
                </c:pt>
                <c:pt idx="98">
                  <c:v>44.251400000000011</c:v>
                </c:pt>
                <c:pt idx="99">
                  <c:v>44.28240000000001</c:v>
                </c:pt>
                <c:pt idx="100">
                  <c:v>44.321000000000005</c:v>
                </c:pt>
                <c:pt idx="101">
                  <c:v>44.353600000000007</c:v>
                </c:pt>
                <c:pt idx="102">
                  <c:v>44.3934</c:v>
                </c:pt>
                <c:pt idx="103">
                  <c:v>44.436400000000013</c:v>
                </c:pt>
                <c:pt idx="104">
                  <c:v>44.474200000000017</c:v>
                </c:pt>
                <c:pt idx="105">
                  <c:v>44.508600000000015</c:v>
                </c:pt>
                <c:pt idx="106">
                  <c:v>44.556200000000011</c:v>
                </c:pt>
                <c:pt idx="107">
                  <c:v>44.606400000000015</c:v>
                </c:pt>
                <c:pt idx="108">
                  <c:v>44.670800000000007</c:v>
                </c:pt>
                <c:pt idx="109">
                  <c:v>44.7346</c:v>
                </c:pt>
                <c:pt idx="110">
                  <c:v>44.799199999999999</c:v>
                </c:pt>
                <c:pt idx="111">
                  <c:v>44.849600000000009</c:v>
                </c:pt>
                <c:pt idx="112">
                  <c:v>44.932200000000002</c:v>
                </c:pt>
                <c:pt idx="113">
                  <c:v>45.046800000000005</c:v>
                </c:pt>
                <c:pt idx="114">
                  <c:v>45.171400000000013</c:v>
                </c:pt>
                <c:pt idx="115">
                  <c:v>45.301600000000008</c:v>
                </c:pt>
                <c:pt idx="116">
                  <c:v>45.38920000000001</c:v>
                </c:pt>
                <c:pt idx="117">
                  <c:v>45.494000000000014</c:v>
                </c:pt>
                <c:pt idx="118">
                  <c:v>45.594800000000014</c:v>
                </c:pt>
                <c:pt idx="119">
                  <c:v>45.695200000000014</c:v>
                </c:pt>
                <c:pt idx="120">
                  <c:v>45.797800000000016</c:v>
                </c:pt>
                <c:pt idx="121">
                  <c:v>45.904800000000016</c:v>
                </c:pt>
                <c:pt idx="122">
                  <c:v>46.011400000000009</c:v>
                </c:pt>
                <c:pt idx="123">
                  <c:v>46.128</c:v>
                </c:pt>
                <c:pt idx="124">
                  <c:v>46.234800000000007</c:v>
                </c:pt>
                <c:pt idx="125">
                  <c:v>46.325200000000002</c:v>
                </c:pt>
                <c:pt idx="126">
                  <c:v>46.404000000000003</c:v>
                </c:pt>
                <c:pt idx="127">
                  <c:v>46.484400000000008</c:v>
                </c:pt>
                <c:pt idx="128">
                  <c:v>46.563999999999993</c:v>
                </c:pt>
                <c:pt idx="129">
                  <c:v>46.635599999999997</c:v>
                </c:pt>
                <c:pt idx="130">
                  <c:v>46.7072</c:v>
                </c:pt>
                <c:pt idx="131">
                  <c:v>46.773200000000003</c:v>
                </c:pt>
                <c:pt idx="132">
                  <c:v>46.830799999999996</c:v>
                </c:pt>
                <c:pt idx="133">
                  <c:v>46.895600000000002</c:v>
                </c:pt>
                <c:pt idx="134">
                  <c:v>46.963200000000008</c:v>
                </c:pt>
                <c:pt idx="135">
                  <c:v>47.033000000000001</c:v>
                </c:pt>
                <c:pt idx="136">
                  <c:v>47.10260000000001</c:v>
                </c:pt>
                <c:pt idx="137">
                  <c:v>47.179800000000014</c:v>
                </c:pt>
                <c:pt idx="138">
                  <c:v>47.238399999999999</c:v>
                </c:pt>
                <c:pt idx="139">
                  <c:v>47.294400000000003</c:v>
                </c:pt>
                <c:pt idx="140">
                  <c:v>47.347400000000007</c:v>
                </c:pt>
                <c:pt idx="141">
                  <c:v>47.394600000000011</c:v>
                </c:pt>
                <c:pt idx="142">
                  <c:v>47.433999999999997</c:v>
                </c:pt>
                <c:pt idx="143">
                  <c:v>47.466999999999999</c:v>
                </c:pt>
                <c:pt idx="144">
                  <c:v>47.4938</c:v>
                </c:pt>
                <c:pt idx="145">
                  <c:v>47.541800000000002</c:v>
                </c:pt>
                <c:pt idx="146">
                  <c:v>47.5884</c:v>
                </c:pt>
                <c:pt idx="147">
                  <c:v>47.641599999999997</c:v>
                </c:pt>
                <c:pt idx="148">
                  <c:v>47.68419999999999</c:v>
                </c:pt>
                <c:pt idx="149">
                  <c:v>47.735799999999998</c:v>
                </c:pt>
                <c:pt idx="150">
                  <c:v>47.781999999999989</c:v>
                </c:pt>
                <c:pt idx="151">
                  <c:v>47.837399999999995</c:v>
                </c:pt>
                <c:pt idx="152">
                  <c:v>47.893399999999986</c:v>
                </c:pt>
                <c:pt idx="153">
                  <c:v>47.945799999999984</c:v>
                </c:pt>
                <c:pt idx="154">
                  <c:v>47.99499999999999</c:v>
                </c:pt>
                <c:pt idx="155">
                  <c:v>48.04699999999999</c:v>
                </c:pt>
                <c:pt idx="156">
                  <c:v>48.089999999999989</c:v>
                </c:pt>
                <c:pt idx="157">
                  <c:v>48.130599999999994</c:v>
                </c:pt>
                <c:pt idx="158">
                  <c:v>48.164799999999993</c:v>
                </c:pt>
                <c:pt idx="159">
                  <c:v>48.2134</c:v>
                </c:pt>
                <c:pt idx="160">
                  <c:v>48.252600000000008</c:v>
                </c:pt>
                <c:pt idx="161">
                  <c:v>48.304399999999994</c:v>
                </c:pt>
                <c:pt idx="162">
                  <c:v>48.350599999999993</c:v>
                </c:pt>
                <c:pt idx="163">
                  <c:v>48.406999999999989</c:v>
                </c:pt>
                <c:pt idx="164">
                  <c:v>48.457999999999984</c:v>
                </c:pt>
                <c:pt idx="165">
                  <c:v>48.506599999999978</c:v>
                </c:pt>
                <c:pt idx="166">
                  <c:v>48.551799999999986</c:v>
                </c:pt>
                <c:pt idx="167">
                  <c:v>48.603199999999987</c:v>
                </c:pt>
                <c:pt idx="168">
                  <c:v>48.647199999999984</c:v>
                </c:pt>
                <c:pt idx="169">
                  <c:v>48.688199999999995</c:v>
                </c:pt>
                <c:pt idx="170">
                  <c:v>48.726399999999984</c:v>
                </c:pt>
                <c:pt idx="171">
                  <c:v>48.771999999999998</c:v>
                </c:pt>
                <c:pt idx="172">
                  <c:v>48.825999999999993</c:v>
                </c:pt>
                <c:pt idx="173">
                  <c:v>48.874600000000001</c:v>
                </c:pt>
                <c:pt idx="174">
                  <c:v>48.923599999999993</c:v>
                </c:pt>
                <c:pt idx="175">
                  <c:v>48.980999999999995</c:v>
                </c:pt>
                <c:pt idx="176">
                  <c:v>49.035399999999989</c:v>
                </c:pt>
                <c:pt idx="177">
                  <c:v>49.0886</c:v>
                </c:pt>
                <c:pt idx="178">
                  <c:v>49.140600000000006</c:v>
                </c:pt>
                <c:pt idx="179">
                  <c:v>49.200599999999994</c:v>
                </c:pt>
                <c:pt idx="180">
                  <c:v>49.256399999999992</c:v>
                </c:pt>
                <c:pt idx="181">
                  <c:v>49.313000000000002</c:v>
                </c:pt>
                <c:pt idx="182">
                  <c:v>49.361599999999996</c:v>
                </c:pt>
                <c:pt idx="183">
                  <c:v>49.409800000000011</c:v>
                </c:pt>
                <c:pt idx="184">
                  <c:v>49.461800000000018</c:v>
                </c:pt>
                <c:pt idx="185">
                  <c:v>49.515400000000021</c:v>
                </c:pt>
                <c:pt idx="186">
                  <c:v>49.570600000000013</c:v>
                </c:pt>
                <c:pt idx="187">
                  <c:v>49.618199999999995</c:v>
                </c:pt>
                <c:pt idx="188">
                  <c:v>49.67</c:v>
                </c:pt>
                <c:pt idx="189">
                  <c:v>49.722999999999992</c:v>
                </c:pt>
                <c:pt idx="190">
                  <c:v>49.774999999999991</c:v>
                </c:pt>
                <c:pt idx="191">
                  <c:v>49.832599999999992</c:v>
                </c:pt>
                <c:pt idx="192">
                  <c:v>49.88959999999998</c:v>
                </c:pt>
                <c:pt idx="193">
                  <c:v>49.929999999999978</c:v>
                </c:pt>
                <c:pt idx="194">
                  <c:v>49.990999999999985</c:v>
                </c:pt>
                <c:pt idx="195">
                  <c:v>50.040599999999998</c:v>
                </c:pt>
                <c:pt idx="196">
                  <c:v>50.096799999999995</c:v>
                </c:pt>
                <c:pt idx="197">
                  <c:v>50.145999999999994</c:v>
                </c:pt>
                <c:pt idx="198">
                  <c:v>50.195</c:v>
                </c:pt>
                <c:pt idx="199">
                  <c:v>50.249400000000009</c:v>
                </c:pt>
                <c:pt idx="200">
                  <c:v>50.303400000000003</c:v>
                </c:pt>
                <c:pt idx="201">
                  <c:v>50.3446</c:v>
                </c:pt>
                <c:pt idx="202">
                  <c:v>50.386200000000009</c:v>
                </c:pt>
                <c:pt idx="203">
                  <c:v>50.435000000000009</c:v>
                </c:pt>
                <c:pt idx="204">
                  <c:v>50.493000000000002</c:v>
                </c:pt>
                <c:pt idx="205">
                  <c:v>50.550999999999995</c:v>
                </c:pt>
                <c:pt idx="206">
                  <c:v>50.609799999999993</c:v>
                </c:pt>
                <c:pt idx="207">
                  <c:v>50.662199999999991</c:v>
                </c:pt>
                <c:pt idx="208">
                  <c:v>50.718999999999994</c:v>
                </c:pt>
                <c:pt idx="209">
                  <c:v>50.763599999999997</c:v>
                </c:pt>
                <c:pt idx="210">
                  <c:v>50.803000000000004</c:v>
                </c:pt>
                <c:pt idx="211">
                  <c:v>50.843600000000009</c:v>
                </c:pt>
                <c:pt idx="212">
                  <c:v>50.87700000000001</c:v>
                </c:pt>
                <c:pt idx="213">
                  <c:v>50.908799999999999</c:v>
                </c:pt>
                <c:pt idx="214">
                  <c:v>50.9572</c:v>
                </c:pt>
                <c:pt idx="215">
                  <c:v>51.01420000000001</c:v>
                </c:pt>
                <c:pt idx="216">
                  <c:v>51.07</c:v>
                </c:pt>
                <c:pt idx="217">
                  <c:v>51.1068</c:v>
                </c:pt>
                <c:pt idx="218">
                  <c:v>51.1404</c:v>
                </c:pt>
                <c:pt idx="219">
                  <c:v>51.160599999999995</c:v>
                </c:pt>
                <c:pt idx="220">
                  <c:v>51.173599999999986</c:v>
                </c:pt>
                <c:pt idx="221">
                  <c:v>51.184799999999989</c:v>
                </c:pt>
                <c:pt idx="222">
                  <c:v>51.175999999999995</c:v>
                </c:pt>
                <c:pt idx="223">
                  <c:v>51.17799999999999</c:v>
                </c:pt>
                <c:pt idx="224">
                  <c:v>51.184799999999996</c:v>
                </c:pt>
                <c:pt idx="225">
                  <c:v>51.199600000000004</c:v>
                </c:pt>
                <c:pt idx="226">
                  <c:v>51.223200000000006</c:v>
                </c:pt>
                <c:pt idx="227">
                  <c:v>51.247</c:v>
                </c:pt>
                <c:pt idx="228">
                  <c:v>51.265200000000007</c:v>
                </c:pt>
                <c:pt idx="229">
                  <c:v>51.282600000000002</c:v>
                </c:pt>
                <c:pt idx="230">
                  <c:v>51.306400000000004</c:v>
                </c:pt>
                <c:pt idx="231">
                  <c:v>51.335000000000001</c:v>
                </c:pt>
                <c:pt idx="232">
                  <c:v>51.37</c:v>
                </c:pt>
                <c:pt idx="233">
                  <c:v>51.398399999999995</c:v>
                </c:pt>
                <c:pt idx="234">
                  <c:v>51.42179999999999</c:v>
                </c:pt>
                <c:pt idx="235">
                  <c:v>51.449399999999997</c:v>
                </c:pt>
                <c:pt idx="236">
                  <c:v>51.475199999999994</c:v>
                </c:pt>
                <c:pt idx="237">
                  <c:v>51.491399999999992</c:v>
                </c:pt>
                <c:pt idx="238">
                  <c:v>51.505400000000002</c:v>
                </c:pt>
                <c:pt idx="239">
                  <c:v>51.513400000000004</c:v>
                </c:pt>
                <c:pt idx="240">
                  <c:v>51.518799999999999</c:v>
                </c:pt>
                <c:pt idx="241">
                  <c:v>51.526199999999996</c:v>
                </c:pt>
                <c:pt idx="242">
                  <c:v>51.544200000000004</c:v>
                </c:pt>
                <c:pt idx="243">
                  <c:v>51.588999999999999</c:v>
                </c:pt>
                <c:pt idx="244">
                  <c:v>51.591999999999992</c:v>
                </c:pt>
                <c:pt idx="245">
                  <c:v>51.596999999999987</c:v>
                </c:pt>
                <c:pt idx="246">
                  <c:v>51.597399999999986</c:v>
                </c:pt>
                <c:pt idx="247">
                  <c:v>51.597399999999986</c:v>
                </c:pt>
                <c:pt idx="248">
                  <c:v>51.595199999999984</c:v>
                </c:pt>
                <c:pt idx="249">
                  <c:v>51.578999999999986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F3-4F81-BC30-E97BE715875E}"/>
            </c:ext>
          </c:extLst>
        </c:ser>
        <c:ser>
          <c:idx val="11"/>
          <c:order val="11"/>
          <c:tx>
            <c:strRef>
              <c:f>vasgx!$M$1</c:f>
              <c:strCache>
                <c:ptCount val="1"/>
                <c:pt idx="0">
                  <c:v>50d Low EMA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vasgx!$A$2:$A$251</c:f>
              <c:numCache>
                <c:formatCode>m/d/yyyy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vasgx!$M$2:$M$251</c:f>
              <c:numCache>
                <c:formatCode>General</c:formatCode>
                <c:ptCount val="250"/>
                <c:pt idx="49">
                  <c:v>45.012400000000007</c:v>
                </c:pt>
                <c:pt idx="50">
                  <c:v>45.019800000000011</c:v>
                </c:pt>
                <c:pt idx="51">
                  <c:v>45.026200000000017</c:v>
                </c:pt>
                <c:pt idx="52">
                  <c:v>45.02600000000001</c:v>
                </c:pt>
                <c:pt idx="53">
                  <c:v>45.0304</c:v>
                </c:pt>
                <c:pt idx="54">
                  <c:v>45.0426</c:v>
                </c:pt>
                <c:pt idx="55">
                  <c:v>45.068199999999997</c:v>
                </c:pt>
                <c:pt idx="56">
                  <c:v>45.086800000000004</c:v>
                </c:pt>
                <c:pt idx="57">
                  <c:v>45.101600000000005</c:v>
                </c:pt>
                <c:pt idx="58">
                  <c:v>45.09340000000001</c:v>
                </c:pt>
                <c:pt idx="59">
                  <c:v>45.084200000000017</c:v>
                </c:pt>
                <c:pt idx="60">
                  <c:v>45.072400000000016</c:v>
                </c:pt>
                <c:pt idx="61">
                  <c:v>45.055400000000006</c:v>
                </c:pt>
                <c:pt idx="62">
                  <c:v>45.010600000000004</c:v>
                </c:pt>
                <c:pt idx="63">
                  <c:v>44.923600000000008</c:v>
                </c:pt>
                <c:pt idx="64">
                  <c:v>44.826400000000007</c:v>
                </c:pt>
                <c:pt idx="65">
                  <c:v>44.727800000000009</c:v>
                </c:pt>
                <c:pt idx="66">
                  <c:v>44.674000000000014</c:v>
                </c:pt>
                <c:pt idx="67">
                  <c:v>44.605200000000004</c:v>
                </c:pt>
                <c:pt idx="68">
                  <c:v>44.543199999999999</c:v>
                </c:pt>
                <c:pt idx="69">
                  <c:v>44.494</c:v>
                </c:pt>
                <c:pt idx="70">
                  <c:v>44.452199999999991</c:v>
                </c:pt>
                <c:pt idx="71">
                  <c:v>44.393999999999998</c:v>
                </c:pt>
                <c:pt idx="72">
                  <c:v>44.331000000000003</c:v>
                </c:pt>
                <c:pt idx="73">
                  <c:v>44.259399999999999</c:v>
                </c:pt>
                <c:pt idx="74">
                  <c:v>44.207999999999998</c:v>
                </c:pt>
                <c:pt idx="75">
                  <c:v>44.160400000000003</c:v>
                </c:pt>
                <c:pt idx="76">
                  <c:v>44.126000000000005</c:v>
                </c:pt>
                <c:pt idx="77">
                  <c:v>44.096600000000009</c:v>
                </c:pt>
                <c:pt idx="78">
                  <c:v>44.061200000000007</c:v>
                </c:pt>
                <c:pt idx="79">
                  <c:v>44.028199999999998</c:v>
                </c:pt>
                <c:pt idx="80">
                  <c:v>43.993800000000007</c:v>
                </c:pt>
                <c:pt idx="81">
                  <c:v>43.961800000000004</c:v>
                </c:pt>
                <c:pt idx="82">
                  <c:v>43.941600000000008</c:v>
                </c:pt>
                <c:pt idx="83">
                  <c:v>43.928200000000004</c:v>
                </c:pt>
                <c:pt idx="84">
                  <c:v>43.915400000000005</c:v>
                </c:pt>
                <c:pt idx="85">
                  <c:v>43.902200000000022</c:v>
                </c:pt>
                <c:pt idx="86">
                  <c:v>43.890000000000008</c:v>
                </c:pt>
                <c:pt idx="87">
                  <c:v>43.890000000000015</c:v>
                </c:pt>
                <c:pt idx="88">
                  <c:v>43.900000000000006</c:v>
                </c:pt>
                <c:pt idx="89">
                  <c:v>43.922000000000004</c:v>
                </c:pt>
                <c:pt idx="90">
                  <c:v>43.948200000000007</c:v>
                </c:pt>
                <c:pt idx="91">
                  <c:v>43.968199999999996</c:v>
                </c:pt>
                <c:pt idx="92">
                  <c:v>44.002600000000001</c:v>
                </c:pt>
                <c:pt idx="93">
                  <c:v>44.034799999999997</c:v>
                </c:pt>
                <c:pt idx="94">
                  <c:v>44.083199999999998</c:v>
                </c:pt>
                <c:pt idx="95">
                  <c:v>44.125200000000007</c:v>
                </c:pt>
                <c:pt idx="96">
                  <c:v>44.163600000000002</c:v>
                </c:pt>
                <c:pt idx="97">
                  <c:v>44.208000000000013</c:v>
                </c:pt>
                <c:pt idx="98">
                  <c:v>44.251400000000011</c:v>
                </c:pt>
                <c:pt idx="99">
                  <c:v>44.28240000000001</c:v>
                </c:pt>
                <c:pt idx="100">
                  <c:v>44.321000000000005</c:v>
                </c:pt>
                <c:pt idx="101">
                  <c:v>44.353600000000007</c:v>
                </c:pt>
                <c:pt idx="102">
                  <c:v>44.3934</c:v>
                </c:pt>
                <c:pt idx="103">
                  <c:v>44.436400000000013</c:v>
                </c:pt>
                <c:pt idx="104">
                  <c:v>44.474200000000017</c:v>
                </c:pt>
                <c:pt idx="105">
                  <c:v>44.508600000000015</c:v>
                </c:pt>
                <c:pt idx="106">
                  <c:v>44.556200000000011</c:v>
                </c:pt>
                <c:pt idx="107">
                  <c:v>44.606400000000015</c:v>
                </c:pt>
                <c:pt idx="108">
                  <c:v>44.670800000000007</c:v>
                </c:pt>
                <c:pt idx="109">
                  <c:v>44.7346</c:v>
                </c:pt>
                <c:pt idx="110">
                  <c:v>44.799199999999999</c:v>
                </c:pt>
                <c:pt idx="111">
                  <c:v>44.849600000000009</c:v>
                </c:pt>
                <c:pt idx="112">
                  <c:v>44.932200000000002</c:v>
                </c:pt>
                <c:pt idx="113">
                  <c:v>45.046800000000005</c:v>
                </c:pt>
                <c:pt idx="114">
                  <c:v>45.171400000000013</c:v>
                </c:pt>
                <c:pt idx="115">
                  <c:v>45.301600000000008</c:v>
                </c:pt>
                <c:pt idx="116">
                  <c:v>45.38920000000001</c:v>
                </c:pt>
                <c:pt idx="117">
                  <c:v>45.494000000000014</c:v>
                </c:pt>
                <c:pt idx="118">
                  <c:v>45.594800000000014</c:v>
                </c:pt>
                <c:pt idx="119">
                  <c:v>45.695200000000014</c:v>
                </c:pt>
                <c:pt idx="120">
                  <c:v>45.797800000000016</c:v>
                </c:pt>
                <c:pt idx="121">
                  <c:v>45.904800000000016</c:v>
                </c:pt>
                <c:pt idx="122">
                  <c:v>46.011400000000009</c:v>
                </c:pt>
                <c:pt idx="123">
                  <c:v>46.128</c:v>
                </c:pt>
                <c:pt idx="124">
                  <c:v>46.234800000000007</c:v>
                </c:pt>
                <c:pt idx="125">
                  <c:v>46.325200000000002</c:v>
                </c:pt>
                <c:pt idx="126">
                  <c:v>46.404000000000003</c:v>
                </c:pt>
                <c:pt idx="127">
                  <c:v>46.484400000000008</c:v>
                </c:pt>
                <c:pt idx="128">
                  <c:v>46.563999999999993</c:v>
                </c:pt>
                <c:pt idx="129">
                  <c:v>46.635599999999997</c:v>
                </c:pt>
                <c:pt idx="130">
                  <c:v>46.7072</c:v>
                </c:pt>
                <c:pt idx="131">
                  <c:v>46.773200000000003</c:v>
                </c:pt>
                <c:pt idx="132">
                  <c:v>46.830799999999996</c:v>
                </c:pt>
                <c:pt idx="133">
                  <c:v>46.895600000000002</c:v>
                </c:pt>
                <c:pt idx="134">
                  <c:v>46.963200000000008</c:v>
                </c:pt>
                <c:pt idx="135">
                  <c:v>47.033000000000001</c:v>
                </c:pt>
                <c:pt idx="136">
                  <c:v>47.10260000000001</c:v>
                </c:pt>
                <c:pt idx="137">
                  <c:v>47.179800000000014</c:v>
                </c:pt>
                <c:pt idx="138">
                  <c:v>47.238399999999999</c:v>
                </c:pt>
                <c:pt idx="139">
                  <c:v>47.294400000000003</c:v>
                </c:pt>
                <c:pt idx="140">
                  <c:v>47.347400000000007</c:v>
                </c:pt>
                <c:pt idx="141">
                  <c:v>47.394600000000011</c:v>
                </c:pt>
                <c:pt idx="142">
                  <c:v>47.433999999999997</c:v>
                </c:pt>
                <c:pt idx="143">
                  <c:v>47.466999999999999</c:v>
                </c:pt>
                <c:pt idx="144">
                  <c:v>47.4938</c:v>
                </c:pt>
                <c:pt idx="145">
                  <c:v>47.541800000000002</c:v>
                </c:pt>
                <c:pt idx="146">
                  <c:v>47.5884</c:v>
                </c:pt>
                <c:pt idx="147">
                  <c:v>47.641599999999997</c:v>
                </c:pt>
                <c:pt idx="148">
                  <c:v>47.68419999999999</c:v>
                </c:pt>
                <c:pt idx="149">
                  <c:v>47.735799999999998</c:v>
                </c:pt>
                <c:pt idx="150">
                  <c:v>47.781999999999989</c:v>
                </c:pt>
                <c:pt idx="151">
                  <c:v>47.837399999999995</c:v>
                </c:pt>
                <c:pt idx="152">
                  <c:v>47.893399999999986</c:v>
                </c:pt>
                <c:pt idx="153">
                  <c:v>47.945799999999984</c:v>
                </c:pt>
                <c:pt idx="154">
                  <c:v>47.99499999999999</c:v>
                </c:pt>
                <c:pt idx="155">
                  <c:v>48.04699999999999</c:v>
                </c:pt>
                <c:pt idx="156">
                  <c:v>48.089999999999989</c:v>
                </c:pt>
                <c:pt idx="157">
                  <c:v>48.130599999999994</c:v>
                </c:pt>
                <c:pt idx="158">
                  <c:v>48.164799999999993</c:v>
                </c:pt>
                <c:pt idx="159">
                  <c:v>48.2134</c:v>
                </c:pt>
                <c:pt idx="160">
                  <c:v>48.252600000000008</c:v>
                </c:pt>
                <c:pt idx="161">
                  <c:v>48.304399999999994</c:v>
                </c:pt>
                <c:pt idx="162">
                  <c:v>48.350599999999993</c:v>
                </c:pt>
                <c:pt idx="163">
                  <c:v>48.406999999999989</c:v>
                </c:pt>
                <c:pt idx="164">
                  <c:v>48.457999999999984</c:v>
                </c:pt>
                <c:pt idx="165">
                  <c:v>48.506599999999978</c:v>
                </c:pt>
                <c:pt idx="166">
                  <c:v>48.551799999999986</c:v>
                </c:pt>
                <c:pt idx="167">
                  <c:v>48.603199999999987</c:v>
                </c:pt>
                <c:pt idx="168">
                  <c:v>48.647199999999984</c:v>
                </c:pt>
                <c:pt idx="169">
                  <c:v>48.688199999999995</c:v>
                </c:pt>
                <c:pt idx="170">
                  <c:v>48.726399999999984</c:v>
                </c:pt>
                <c:pt idx="171">
                  <c:v>48.771999999999998</c:v>
                </c:pt>
                <c:pt idx="172">
                  <c:v>48.825999999999993</c:v>
                </c:pt>
                <c:pt idx="173">
                  <c:v>48.874600000000001</c:v>
                </c:pt>
                <c:pt idx="174">
                  <c:v>48.923599999999993</c:v>
                </c:pt>
                <c:pt idx="175">
                  <c:v>48.980999999999995</c:v>
                </c:pt>
                <c:pt idx="176">
                  <c:v>49.035399999999989</c:v>
                </c:pt>
                <c:pt idx="177">
                  <c:v>49.0886</c:v>
                </c:pt>
                <c:pt idx="178">
                  <c:v>49.140600000000006</c:v>
                </c:pt>
                <c:pt idx="179">
                  <c:v>49.200599999999994</c:v>
                </c:pt>
                <c:pt idx="180">
                  <c:v>49.256399999999992</c:v>
                </c:pt>
                <c:pt idx="181">
                  <c:v>49.313000000000002</c:v>
                </c:pt>
                <c:pt idx="182">
                  <c:v>49.361599999999996</c:v>
                </c:pt>
                <c:pt idx="183">
                  <c:v>49.409800000000011</c:v>
                </c:pt>
                <c:pt idx="184">
                  <c:v>49.461800000000018</c:v>
                </c:pt>
                <c:pt idx="185">
                  <c:v>49.515400000000021</c:v>
                </c:pt>
                <c:pt idx="186">
                  <c:v>49.570600000000013</c:v>
                </c:pt>
                <c:pt idx="187">
                  <c:v>49.618199999999995</c:v>
                </c:pt>
                <c:pt idx="188">
                  <c:v>49.67</c:v>
                </c:pt>
                <c:pt idx="189">
                  <c:v>49.722999999999992</c:v>
                </c:pt>
                <c:pt idx="190">
                  <c:v>49.774999999999991</c:v>
                </c:pt>
                <c:pt idx="191">
                  <c:v>49.832599999999992</c:v>
                </c:pt>
                <c:pt idx="192">
                  <c:v>49.88959999999998</c:v>
                </c:pt>
                <c:pt idx="193">
                  <c:v>49.929999999999978</c:v>
                </c:pt>
                <c:pt idx="194">
                  <c:v>49.990999999999985</c:v>
                </c:pt>
                <c:pt idx="195">
                  <c:v>50.040599999999998</c:v>
                </c:pt>
                <c:pt idx="196">
                  <c:v>50.096799999999995</c:v>
                </c:pt>
                <c:pt idx="197">
                  <c:v>50.145999999999994</c:v>
                </c:pt>
                <c:pt idx="198">
                  <c:v>50.195</c:v>
                </c:pt>
                <c:pt idx="199">
                  <c:v>50.249400000000009</c:v>
                </c:pt>
                <c:pt idx="200">
                  <c:v>50.303400000000003</c:v>
                </c:pt>
                <c:pt idx="201">
                  <c:v>50.3446</c:v>
                </c:pt>
                <c:pt idx="202">
                  <c:v>50.386200000000009</c:v>
                </c:pt>
                <c:pt idx="203">
                  <c:v>50.435000000000009</c:v>
                </c:pt>
                <c:pt idx="204">
                  <c:v>50.493000000000002</c:v>
                </c:pt>
                <c:pt idx="205">
                  <c:v>50.550999999999995</c:v>
                </c:pt>
                <c:pt idx="206">
                  <c:v>50.609799999999993</c:v>
                </c:pt>
                <c:pt idx="207">
                  <c:v>50.662199999999991</c:v>
                </c:pt>
                <c:pt idx="208">
                  <c:v>50.718999999999994</c:v>
                </c:pt>
                <c:pt idx="209">
                  <c:v>50.763599999999997</c:v>
                </c:pt>
                <c:pt idx="210">
                  <c:v>50.803000000000004</c:v>
                </c:pt>
                <c:pt idx="211">
                  <c:v>50.843600000000009</c:v>
                </c:pt>
                <c:pt idx="212">
                  <c:v>50.87700000000001</c:v>
                </c:pt>
                <c:pt idx="213">
                  <c:v>50.908799999999999</c:v>
                </c:pt>
                <c:pt idx="214">
                  <c:v>50.9572</c:v>
                </c:pt>
                <c:pt idx="215">
                  <c:v>51.01420000000001</c:v>
                </c:pt>
                <c:pt idx="216">
                  <c:v>51.07</c:v>
                </c:pt>
                <c:pt idx="217">
                  <c:v>51.1068</c:v>
                </c:pt>
                <c:pt idx="218">
                  <c:v>51.1404</c:v>
                </c:pt>
                <c:pt idx="219">
                  <c:v>51.160599999999995</c:v>
                </c:pt>
                <c:pt idx="220">
                  <c:v>51.173599999999986</c:v>
                </c:pt>
                <c:pt idx="221">
                  <c:v>51.184799999999989</c:v>
                </c:pt>
                <c:pt idx="222">
                  <c:v>51.175999999999995</c:v>
                </c:pt>
                <c:pt idx="223">
                  <c:v>51.17799999999999</c:v>
                </c:pt>
                <c:pt idx="224">
                  <c:v>51.184799999999996</c:v>
                </c:pt>
                <c:pt idx="225">
                  <c:v>51.199600000000004</c:v>
                </c:pt>
                <c:pt idx="226">
                  <c:v>51.223200000000006</c:v>
                </c:pt>
                <c:pt idx="227">
                  <c:v>51.247</c:v>
                </c:pt>
                <c:pt idx="228">
                  <c:v>51.265200000000007</c:v>
                </c:pt>
                <c:pt idx="229">
                  <c:v>51.282600000000002</c:v>
                </c:pt>
                <c:pt idx="230">
                  <c:v>51.306400000000004</c:v>
                </c:pt>
                <c:pt idx="231">
                  <c:v>51.335000000000001</c:v>
                </c:pt>
                <c:pt idx="232">
                  <c:v>51.37</c:v>
                </c:pt>
                <c:pt idx="233">
                  <c:v>51.398399999999995</c:v>
                </c:pt>
                <c:pt idx="234">
                  <c:v>51.42179999999999</c:v>
                </c:pt>
                <c:pt idx="235">
                  <c:v>51.449399999999997</c:v>
                </c:pt>
                <c:pt idx="236">
                  <c:v>51.475199999999994</c:v>
                </c:pt>
                <c:pt idx="237">
                  <c:v>51.491399999999992</c:v>
                </c:pt>
                <c:pt idx="238">
                  <c:v>51.505400000000002</c:v>
                </c:pt>
                <c:pt idx="239">
                  <c:v>51.513400000000004</c:v>
                </c:pt>
                <c:pt idx="240">
                  <c:v>51.518799999999999</c:v>
                </c:pt>
                <c:pt idx="241">
                  <c:v>51.526199999999996</c:v>
                </c:pt>
                <c:pt idx="242">
                  <c:v>51.544200000000004</c:v>
                </c:pt>
                <c:pt idx="243">
                  <c:v>51.588999999999999</c:v>
                </c:pt>
                <c:pt idx="244">
                  <c:v>51.591999999999992</c:v>
                </c:pt>
                <c:pt idx="245">
                  <c:v>51.596999999999987</c:v>
                </c:pt>
                <c:pt idx="246">
                  <c:v>51.597399999999986</c:v>
                </c:pt>
                <c:pt idx="247">
                  <c:v>51.597399999999986</c:v>
                </c:pt>
                <c:pt idx="248">
                  <c:v>51.595199999999984</c:v>
                </c:pt>
                <c:pt idx="249">
                  <c:v>51.578999999999986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0F3-4F81-BC30-E97BE7158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99439"/>
        <c:axId val="54707599"/>
      </c:barChart>
      <c:dateAx>
        <c:axId val="54699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7599"/>
        <c:crosses val="autoZero"/>
        <c:auto val="1"/>
        <c:lblOffset val="100"/>
        <c:baseTimeUnit val="days"/>
      </c:dateAx>
      <c:valAx>
        <c:axId val="5470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E0B2EB-EAE9-40AC-A4B9-AEFA86B24634}">
  <sheetPr/>
  <sheetViews>
    <sheetView zoomScale="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189" cy="629274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E2303-FBDA-CB9F-BF1B-EBEF9C02DF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C070F2-EDF4-4A3E-8EE3-2F1F21705BA0}" autoFormatId="16" applyNumberFormats="0" applyBorderFormats="0" applyFontFormats="0" applyPatternFormats="0" applyAlignmentFormats="0" applyWidthHeightFormats="0">
  <queryTableRefresh nextId="14" unboundColumnsRight="8">
    <queryTableFields count="13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1F8EF-FEB9-484B-A62B-42E0E2725460}" name="vasgx" displayName="vasgx" ref="A1:M251" tableType="queryTable" totalsRowShown="0">
  <autoFilter ref="A1:M251" xr:uid="{0DE1F8EF-FEB9-484B-A62B-42E0E2725460}"/>
  <sortState xmlns:xlrd2="http://schemas.microsoft.com/office/spreadsheetml/2017/richdata2" ref="A2:E251">
    <sortCondition ref="A1:A251"/>
  </sortState>
  <tableColumns count="13">
    <tableColumn id="1" xr3:uid="{834E2B98-5D42-4FBF-807B-00CC79235214}" uniqueName="1" name="date" queryTableFieldId="1" dataDxfId="2"/>
    <tableColumn id="2" xr3:uid="{78362AF4-6D26-4D97-8444-1D732A636385}" uniqueName="2" name="open" queryTableFieldId="2"/>
    <tableColumn id="3" xr3:uid="{4A9B52B9-67FA-460E-86E3-32F5DAE6971F}" uniqueName="3" name="high" queryTableFieldId="3"/>
    <tableColumn id="4" xr3:uid="{895E424B-F24A-4669-9BBC-4BCE99AD7E67}" uniqueName="4" name="low" queryTableFieldId="4"/>
    <tableColumn id="5" xr3:uid="{7E30644F-6FEA-451E-86E2-18385FEEDE29}" uniqueName="5" name="close" queryTableFieldId="5"/>
    <tableColumn id="6" xr3:uid="{2BF19CBC-4EF7-4F5F-8B6D-7B372012C091}" uniqueName="6" name="20d SMA" queryTableFieldId="6"/>
    <tableColumn id="7" xr3:uid="{2D516398-7D11-468D-ADB8-8E7D629F455F}" uniqueName="7" name="50d SMA" queryTableFieldId="7"/>
    <tableColumn id="8" xr3:uid="{FDCDC03B-E1C2-45D3-A569-AF8388D0C647}" uniqueName="8" name="100d SMA" queryTableFieldId="8"/>
    <tableColumn id="9" xr3:uid="{12F0A21B-6889-41D0-8E38-C6180EC07C46}" uniqueName="9" name="SD" queryTableFieldId="9"/>
    <tableColumn id="10" xr3:uid="{AC60A9F8-48FB-4477-A9A9-C9EB76AF9EC7}" uniqueName="10" name="Upper" queryTableFieldId="10" dataDxfId="1" dataCellStyle="Comma">
      <calculatedColumnFormula>F2 +I2*2</calculatedColumnFormula>
    </tableColumn>
    <tableColumn id="11" xr3:uid="{480310BC-591A-4ECD-9302-1EA714B68BC6}" uniqueName="11" name="Lower" queryTableFieldId="11" dataDxfId="0">
      <calculatedColumnFormula>F2-I2*2</calculatedColumnFormula>
    </tableColumn>
    <tableColumn id="12" xr3:uid="{2FB3EFA0-56F2-45C4-913B-17674B46EBB0}" uniqueName="12" name="50d High  ]EMA2" queryTableFieldId="12"/>
    <tableColumn id="13" xr3:uid="{E6F057AA-0DE6-41BF-A3CB-046647F4BFF3}" uniqueName="13" name="50d Low EMA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181E-92F3-4708-B15D-9A9DB13E6B2A}">
  <dimension ref="A1:AB251"/>
  <sheetViews>
    <sheetView tabSelected="1" topLeftCell="A15" zoomScale="85" zoomScaleNormal="85" workbookViewId="0">
      <selection activeCell="B31" sqref="B31:E31"/>
    </sheetView>
  </sheetViews>
  <sheetFormatPr defaultRowHeight="15" x14ac:dyDescent="0.25"/>
  <cols>
    <col min="1" max="1" width="10.42578125" bestFit="1" customWidth="1"/>
    <col min="2" max="2" width="7.85546875" bestFit="1" customWidth="1"/>
    <col min="3" max="3" width="7.140625" bestFit="1" customWidth="1"/>
    <col min="4" max="4" width="6.42578125" bestFit="1" customWidth="1"/>
    <col min="5" max="5" width="8.140625" bestFit="1" customWidth="1"/>
    <col min="10" max="10" width="10.5703125" style="8" bestFit="1" customWidth="1"/>
    <col min="12" max="12" width="17.5703125" bestFit="1" customWidth="1"/>
    <col min="13" max="13" width="12" customWidth="1"/>
    <col min="16" max="16" width="10.5703125" style="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9</v>
      </c>
      <c r="J1" s="7" t="s">
        <v>8</v>
      </c>
      <c r="K1" s="1" t="s">
        <v>10</v>
      </c>
      <c r="L1" s="1" t="s">
        <v>11</v>
      </c>
      <c r="M1" s="1" t="s">
        <v>12</v>
      </c>
      <c r="N1" s="1"/>
      <c r="O1" s="1"/>
      <c r="P1" s="4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7</v>
      </c>
      <c r="V1" s="1" t="s">
        <v>5</v>
      </c>
      <c r="W1" s="1" t="s">
        <v>6</v>
      </c>
      <c r="X1" s="1" t="s">
        <v>9</v>
      </c>
      <c r="Y1" s="9" t="s">
        <v>8</v>
      </c>
      <c r="Z1" s="2" t="s">
        <v>10</v>
      </c>
      <c r="AA1" s="6" t="s">
        <v>13</v>
      </c>
      <c r="AB1" s="6" t="s">
        <v>14</v>
      </c>
    </row>
    <row r="2" spans="1:28" x14ac:dyDescent="0.25">
      <c r="A2" s="3">
        <v>45659</v>
      </c>
      <c r="B2">
        <v>44.11</v>
      </c>
      <c r="C2">
        <v>44.11</v>
      </c>
      <c r="D2">
        <v>44.11</v>
      </c>
      <c r="E2">
        <v>44.11</v>
      </c>
      <c r="P2" s="5" cm="1">
        <f t="array" ref="P2:AB31">_xlfn.TAKE(vasgx[],-30)</f>
        <v>45979</v>
      </c>
      <c r="Q2">
        <v>50.62</v>
      </c>
      <c r="R2">
        <v>50.62</v>
      </c>
      <c r="S2">
        <v>50.62</v>
      </c>
      <c r="T2">
        <v>50.62</v>
      </c>
      <c r="U2">
        <v>51.606500000000004</v>
      </c>
      <c r="V2">
        <v>51.173599999999986</v>
      </c>
      <c r="W2">
        <v>49.95</v>
      </c>
      <c r="X2">
        <v>0.43276680240420223</v>
      </c>
      <c r="Y2">
        <v>52.472033604808409</v>
      </c>
      <c r="Z2">
        <v>50.740966395191599</v>
      </c>
      <c r="AA2">
        <v>51.173599999999986</v>
      </c>
      <c r="AB2">
        <v>51.173599999999986</v>
      </c>
    </row>
    <row r="3" spans="1:28" x14ac:dyDescent="0.25">
      <c r="A3" s="3">
        <v>45660</v>
      </c>
      <c r="B3">
        <v>44.46</v>
      </c>
      <c r="C3">
        <v>44.46</v>
      </c>
      <c r="D3">
        <v>44.46</v>
      </c>
      <c r="E3">
        <v>44.46</v>
      </c>
      <c r="P3" s="5">
        <v>45980</v>
      </c>
      <c r="Q3">
        <v>50.65</v>
      </c>
      <c r="R3">
        <v>50.65</v>
      </c>
      <c r="S3">
        <v>50.65</v>
      </c>
      <c r="T3">
        <v>50.65</v>
      </c>
      <c r="U3">
        <v>51.577000000000012</v>
      </c>
      <c r="V3">
        <v>51.184799999999989</v>
      </c>
      <c r="W3">
        <v>49.978400000000001</v>
      </c>
      <c r="X3">
        <v>0.47692104609728264</v>
      </c>
      <c r="Y3">
        <v>52.530842092194575</v>
      </c>
      <c r="Z3">
        <v>50.623157907805449</v>
      </c>
      <c r="AA3">
        <v>51.184799999999989</v>
      </c>
      <c r="AB3">
        <v>51.184799999999989</v>
      </c>
    </row>
    <row r="4" spans="1:28" x14ac:dyDescent="0.25">
      <c r="A4" s="3">
        <v>45663</v>
      </c>
      <c r="B4">
        <v>44.65</v>
      </c>
      <c r="C4">
        <v>44.65</v>
      </c>
      <c r="D4">
        <v>44.65</v>
      </c>
      <c r="E4">
        <v>44.65</v>
      </c>
      <c r="P4" s="5">
        <v>45981</v>
      </c>
      <c r="Q4">
        <v>50.05</v>
      </c>
      <c r="R4">
        <v>50.05</v>
      </c>
      <c r="S4">
        <v>50.05</v>
      </c>
      <c r="T4">
        <v>50.05</v>
      </c>
      <c r="U4">
        <v>51.504000000000005</v>
      </c>
      <c r="V4">
        <v>51.175999999999995</v>
      </c>
      <c r="W4">
        <v>50.001000000000005</v>
      </c>
      <c r="X4">
        <v>0.5867968356388692</v>
      </c>
      <c r="Y4">
        <v>52.677593671277741</v>
      </c>
      <c r="Z4">
        <v>50.330406328722269</v>
      </c>
      <c r="AA4">
        <v>51.175999999999995</v>
      </c>
      <c r="AB4">
        <v>51.175999999999995</v>
      </c>
    </row>
    <row r="5" spans="1:28" x14ac:dyDescent="0.25">
      <c r="A5" s="3">
        <v>45664</v>
      </c>
      <c r="B5">
        <v>44.34</v>
      </c>
      <c r="C5">
        <v>44.34</v>
      </c>
      <c r="D5">
        <v>44.34</v>
      </c>
      <c r="E5">
        <v>44.34</v>
      </c>
      <c r="P5" s="5">
        <v>45982</v>
      </c>
      <c r="Q5">
        <v>50.5</v>
      </c>
      <c r="R5">
        <v>50.5</v>
      </c>
      <c r="S5">
        <v>50.5</v>
      </c>
      <c r="T5">
        <v>50.5</v>
      </c>
      <c r="U5">
        <v>51.4405</v>
      </c>
      <c r="V5">
        <v>51.17799999999999</v>
      </c>
      <c r="W5">
        <v>50.026300000000013</v>
      </c>
      <c r="X5">
        <v>0.62403167092367196</v>
      </c>
      <c r="Y5">
        <v>52.688563341847342</v>
      </c>
      <c r="Z5">
        <v>50.192436658152658</v>
      </c>
      <c r="AA5">
        <v>51.17799999999999</v>
      </c>
      <c r="AB5">
        <v>51.17799999999999</v>
      </c>
    </row>
    <row r="6" spans="1:28" x14ac:dyDescent="0.25">
      <c r="A6" s="3">
        <v>45665</v>
      </c>
      <c r="B6">
        <v>44.34</v>
      </c>
      <c r="C6">
        <v>44.34</v>
      </c>
      <c r="D6">
        <v>44.34</v>
      </c>
      <c r="E6">
        <v>44.34</v>
      </c>
      <c r="P6" s="5">
        <v>45985</v>
      </c>
      <c r="Q6">
        <v>50.98</v>
      </c>
      <c r="R6">
        <v>50.98</v>
      </c>
      <c r="S6">
        <v>50.98</v>
      </c>
      <c r="T6">
        <v>50.98</v>
      </c>
      <c r="U6">
        <v>51.379499999999993</v>
      </c>
      <c r="V6">
        <v>51.184799999999996</v>
      </c>
      <c r="W6">
        <v>50.054200000000002</v>
      </c>
      <c r="X6">
        <v>0.60522701265071244</v>
      </c>
      <c r="Y6">
        <v>52.589954025301417</v>
      </c>
      <c r="Z6">
        <v>50.16904597469857</v>
      </c>
      <c r="AA6">
        <v>51.184799999999996</v>
      </c>
      <c r="AB6">
        <v>51.184799999999996</v>
      </c>
    </row>
    <row r="7" spans="1:28" x14ac:dyDescent="0.25">
      <c r="A7" s="3">
        <v>45667</v>
      </c>
      <c r="B7">
        <v>43.73</v>
      </c>
      <c r="C7">
        <v>43.73</v>
      </c>
      <c r="D7">
        <v>43.73</v>
      </c>
      <c r="E7">
        <v>43.73</v>
      </c>
      <c r="P7" s="5">
        <v>45986</v>
      </c>
      <c r="Q7">
        <v>51.4</v>
      </c>
      <c r="R7">
        <v>51.4</v>
      </c>
      <c r="S7">
        <v>51.4</v>
      </c>
      <c r="T7">
        <v>51.4</v>
      </c>
      <c r="U7">
        <v>51.338000000000008</v>
      </c>
      <c r="V7">
        <v>51.199600000000004</v>
      </c>
      <c r="W7">
        <v>50.090299999999999</v>
      </c>
      <c r="X7">
        <v>0.57134743784919773</v>
      </c>
      <c r="Y7">
        <v>52.480694875698404</v>
      </c>
      <c r="Z7">
        <v>50.195305124301612</v>
      </c>
      <c r="AA7">
        <v>51.199600000000004</v>
      </c>
      <c r="AB7">
        <v>51.199600000000004</v>
      </c>
    </row>
    <row r="8" spans="1:28" x14ac:dyDescent="0.25">
      <c r="A8" s="3">
        <v>45670</v>
      </c>
      <c r="B8">
        <v>43.68</v>
      </c>
      <c r="C8">
        <v>43.68</v>
      </c>
      <c r="D8">
        <v>43.68</v>
      </c>
      <c r="E8">
        <v>43.68</v>
      </c>
      <c r="P8" s="5">
        <v>45987</v>
      </c>
      <c r="Q8">
        <v>51.76</v>
      </c>
      <c r="R8">
        <v>51.76</v>
      </c>
      <c r="S8">
        <v>51.76</v>
      </c>
      <c r="T8">
        <v>51.76</v>
      </c>
      <c r="U8">
        <v>51.322000000000003</v>
      </c>
      <c r="V8">
        <v>51.223200000000006</v>
      </c>
      <c r="W8">
        <v>50.129300000000001</v>
      </c>
      <c r="X8">
        <v>0.55368240944273872</v>
      </c>
      <c r="Y8">
        <v>52.429364818885482</v>
      </c>
      <c r="Z8">
        <v>50.214635181114524</v>
      </c>
      <c r="AA8">
        <v>51.223200000000006</v>
      </c>
      <c r="AB8">
        <v>51.223200000000006</v>
      </c>
    </row>
    <row r="9" spans="1:28" x14ac:dyDescent="0.25">
      <c r="A9" s="3">
        <v>45671</v>
      </c>
      <c r="B9">
        <v>43.83</v>
      </c>
      <c r="C9">
        <v>43.83</v>
      </c>
      <c r="D9">
        <v>43.83</v>
      </c>
      <c r="E9">
        <v>43.83</v>
      </c>
      <c r="P9" s="5">
        <v>45989</v>
      </c>
      <c r="Q9">
        <v>51.95</v>
      </c>
      <c r="R9">
        <v>51.95</v>
      </c>
      <c r="S9">
        <v>51.95</v>
      </c>
      <c r="T9">
        <v>51.95</v>
      </c>
      <c r="U9">
        <v>51.333000000000006</v>
      </c>
      <c r="V9">
        <v>51.247</v>
      </c>
      <c r="W9">
        <v>50.1678</v>
      </c>
      <c r="X9">
        <v>0.56429835333708744</v>
      </c>
      <c r="Y9">
        <v>52.461596706674179</v>
      </c>
      <c r="Z9">
        <v>50.204403293325832</v>
      </c>
      <c r="AA9">
        <v>51.247</v>
      </c>
      <c r="AB9">
        <v>51.247</v>
      </c>
    </row>
    <row r="10" spans="1:28" x14ac:dyDescent="0.25">
      <c r="A10" s="3">
        <v>45672</v>
      </c>
      <c r="B10">
        <v>44.44</v>
      </c>
      <c r="C10">
        <v>44.44</v>
      </c>
      <c r="D10">
        <v>44.44</v>
      </c>
      <c r="E10">
        <v>44.44</v>
      </c>
      <c r="P10" s="5">
        <v>45992</v>
      </c>
      <c r="Q10">
        <v>51.71</v>
      </c>
      <c r="R10">
        <v>51.71</v>
      </c>
      <c r="S10">
        <v>51.71</v>
      </c>
      <c r="T10">
        <v>51.71</v>
      </c>
      <c r="U10">
        <v>51.328499999999998</v>
      </c>
      <c r="V10">
        <v>51.265200000000007</v>
      </c>
      <c r="W10">
        <v>50.2029</v>
      </c>
      <c r="X10">
        <v>0.56072579845467496</v>
      </c>
      <c r="Y10">
        <v>52.449951596909351</v>
      </c>
      <c r="Z10">
        <v>50.207048403090646</v>
      </c>
      <c r="AA10">
        <v>51.265200000000007</v>
      </c>
      <c r="AB10">
        <v>51.265200000000007</v>
      </c>
    </row>
    <row r="11" spans="1:28" x14ac:dyDescent="0.25">
      <c r="A11" s="3">
        <v>45673</v>
      </c>
      <c r="B11">
        <v>44.49</v>
      </c>
      <c r="C11">
        <v>44.49</v>
      </c>
      <c r="D11">
        <v>44.49</v>
      </c>
      <c r="E11">
        <v>44.49</v>
      </c>
      <c r="P11" s="5">
        <v>45993</v>
      </c>
      <c r="Q11">
        <v>51.83</v>
      </c>
      <c r="R11">
        <v>51.83</v>
      </c>
      <c r="S11">
        <v>51.83</v>
      </c>
      <c r="T11">
        <v>51.83</v>
      </c>
      <c r="U11">
        <v>51.326000000000001</v>
      </c>
      <c r="V11">
        <v>51.282600000000002</v>
      </c>
      <c r="W11">
        <v>50.241599999999998</v>
      </c>
      <c r="X11">
        <v>0.55824348583184125</v>
      </c>
      <c r="Y11">
        <v>52.442486971663683</v>
      </c>
      <c r="Z11">
        <v>50.209513028336318</v>
      </c>
      <c r="AA11">
        <v>51.282600000000002</v>
      </c>
      <c r="AB11">
        <v>51.282600000000002</v>
      </c>
    </row>
    <row r="12" spans="1:28" x14ac:dyDescent="0.25">
      <c r="A12" s="3">
        <v>45674</v>
      </c>
      <c r="B12">
        <v>44.77</v>
      </c>
      <c r="C12">
        <v>44.77</v>
      </c>
      <c r="D12">
        <v>44.77</v>
      </c>
      <c r="E12">
        <v>44.77</v>
      </c>
      <c r="P12" s="5">
        <v>45994</v>
      </c>
      <c r="Q12">
        <v>52</v>
      </c>
      <c r="R12">
        <v>52</v>
      </c>
      <c r="S12">
        <v>52</v>
      </c>
      <c r="T12">
        <v>52</v>
      </c>
      <c r="U12">
        <v>51.359000000000002</v>
      </c>
      <c r="V12">
        <v>51.306400000000004</v>
      </c>
      <c r="W12">
        <v>50.281399999999991</v>
      </c>
      <c r="X12">
        <v>0.5782632800486579</v>
      </c>
      <c r="Y12">
        <v>52.515526560097321</v>
      </c>
      <c r="Z12">
        <v>50.202473439902683</v>
      </c>
      <c r="AA12">
        <v>51.306400000000004</v>
      </c>
      <c r="AB12">
        <v>51.306400000000004</v>
      </c>
    </row>
    <row r="13" spans="1:28" x14ac:dyDescent="0.25">
      <c r="A13" s="3">
        <v>45678</v>
      </c>
      <c r="B13">
        <v>45.23</v>
      </c>
      <c r="C13">
        <v>45.23</v>
      </c>
      <c r="D13">
        <v>45.23</v>
      </c>
      <c r="E13">
        <v>45.23</v>
      </c>
      <c r="P13" s="5">
        <v>45995</v>
      </c>
      <c r="Q13">
        <v>52.06</v>
      </c>
      <c r="R13">
        <v>52.06</v>
      </c>
      <c r="S13">
        <v>52.06</v>
      </c>
      <c r="T13">
        <v>52.06</v>
      </c>
      <c r="U13">
        <v>51.386000000000003</v>
      </c>
      <c r="V13">
        <v>51.335000000000001</v>
      </c>
      <c r="W13">
        <v>50.324000000000005</v>
      </c>
      <c r="X13">
        <v>0.59843128260477918</v>
      </c>
      <c r="Y13">
        <v>52.58286256520956</v>
      </c>
      <c r="Z13">
        <v>50.189137434790446</v>
      </c>
      <c r="AA13">
        <v>51.335000000000001</v>
      </c>
      <c r="AB13">
        <v>51.335000000000001</v>
      </c>
    </row>
    <row r="14" spans="1:28" x14ac:dyDescent="0.25">
      <c r="A14" s="3">
        <v>45679</v>
      </c>
      <c r="B14">
        <v>45.32</v>
      </c>
      <c r="C14">
        <v>45.32</v>
      </c>
      <c r="D14">
        <v>45.32</v>
      </c>
      <c r="E14">
        <v>45.32</v>
      </c>
      <c r="P14" s="5">
        <v>45996</v>
      </c>
      <c r="Q14">
        <v>52.12</v>
      </c>
      <c r="R14">
        <v>52.12</v>
      </c>
      <c r="S14">
        <v>52.12</v>
      </c>
      <c r="T14">
        <v>52.12</v>
      </c>
      <c r="U14">
        <v>51.43249999999999</v>
      </c>
      <c r="V14">
        <v>51.37</v>
      </c>
      <c r="W14">
        <v>50.3658</v>
      </c>
      <c r="X14">
        <v>0.61820516948578508</v>
      </c>
      <c r="Y14">
        <v>52.668910338971557</v>
      </c>
      <c r="Z14">
        <v>50.196089661028424</v>
      </c>
      <c r="AA14">
        <v>51.37</v>
      </c>
      <c r="AB14">
        <v>51.37</v>
      </c>
    </row>
    <row r="15" spans="1:28" x14ac:dyDescent="0.25">
      <c r="A15" s="3">
        <v>45680</v>
      </c>
      <c r="B15">
        <v>45.48</v>
      </c>
      <c r="C15">
        <v>45.48</v>
      </c>
      <c r="D15">
        <v>45.48</v>
      </c>
      <c r="E15">
        <v>45.48</v>
      </c>
      <c r="P15" s="5">
        <v>45999</v>
      </c>
      <c r="Q15">
        <v>51.99</v>
      </c>
      <c r="R15">
        <v>51.99</v>
      </c>
      <c r="S15">
        <v>51.99</v>
      </c>
      <c r="T15">
        <v>51.99</v>
      </c>
      <c r="U15">
        <v>51.468499999999992</v>
      </c>
      <c r="V15">
        <v>51.398399999999995</v>
      </c>
      <c r="W15">
        <v>50.4041</v>
      </c>
      <c r="X15">
        <v>0.6291119471964145</v>
      </c>
      <c r="Y15">
        <v>52.726723894392819</v>
      </c>
      <c r="Z15">
        <v>50.210276105607164</v>
      </c>
      <c r="AA15">
        <v>51.398399999999995</v>
      </c>
      <c r="AB15">
        <v>51.398399999999995</v>
      </c>
    </row>
    <row r="16" spans="1:28" x14ac:dyDescent="0.25">
      <c r="A16" s="3">
        <v>45681</v>
      </c>
      <c r="B16">
        <v>45.51</v>
      </c>
      <c r="C16">
        <v>45.51</v>
      </c>
      <c r="D16">
        <v>45.51</v>
      </c>
      <c r="E16">
        <v>45.51</v>
      </c>
      <c r="P16" s="5">
        <v>46000</v>
      </c>
      <c r="Q16">
        <v>51.92</v>
      </c>
      <c r="R16">
        <v>51.92</v>
      </c>
      <c r="S16">
        <v>51.92</v>
      </c>
      <c r="T16">
        <v>51.92</v>
      </c>
      <c r="U16">
        <v>51.472000000000001</v>
      </c>
      <c r="V16">
        <v>51.42179999999999</v>
      </c>
      <c r="W16">
        <v>50.441800000000001</v>
      </c>
      <c r="X16">
        <v>0.63153613890009752</v>
      </c>
      <c r="Y16">
        <v>52.735072277800199</v>
      </c>
      <c r="Z16">
        <v>50.208927722199803</v>
      </c>
      <c r="AA16">
        <v>51.42179999999999</v>
      </c>
      <c r="AB16">
        <v>51.42179999999999</v>
      </c>
    </row>
    <row r="17" spans="1:28" x14ac:dyDescent="0.25">
      <c r="A17" s="3">
        <v>45684</v>
      </c>
      <c r="B17">
        <v>45.14</v>
      </c>
      <c r="C17">
        <v>45.14</v>
      </c>
      <c r="D17">
        <v>45.14</v>
      </c>
      <c r="E17">
        <v>45.14</v>
      </c>
      <c r="P17" s="5">
        <v>46001</v>
      </c>
      <c r="Q17">
        <v>52.32</v>
      </c>
      <c r="R17">
        <v>52.32</v>
      </c>
      <c r="S17">
        <v>52.32</v>
      </c>
      <c r="T17">
        <v>52.32</v>
      </c>
      <c r="U17">
        <v>51.488</v>
      </c>
      <c r="V17">
        <v>51.449399999999997</v>
      </c>
      <c r="W17">
        <v>50.482399999999991</v>
      </c>
      <c r="X17">
        <v>0.64941755280769697</v>
      </c>
      <c r="Y17">
        <v>52.786835105615395</v>
      </c>
      <c r="Z17">
        <v>50.189164894384604</v>
      </c>
      <c r="AA17">
        <v>51.449399999999997</v>
      </c>
      <c r="AB17">
        <v>51.449399999999997</v>
      </c>
    </row>
    <row r="18" spans="1:28" x14ac:dyDescent="0.25">
      <c r="A18" s="3">
        <v>45685</v>
      </c>
      <c r="B18">
        <v>45.36</v>
      </c>
      <c r="C18">
        <v>45.36</v>
      </c>
      <c r="D18">
        <v>45.36</v>
      </c>
      <c r="E18">
        <v>45.36</v>
      </c>
      <c r="P18" s="5">
        <v>46002</v>
      </c>
      <c r="Q18">
        <v>52.43</v>
      </c>
      <c r="R18">
        <v>52.43</v>
      </c>
      <c r="S18">
        <v>52.43</v>
      </c>
      <c r="T18">
        <v>52.43</v>
      </c>
      <c r="U18">
        <v>51.504500000000007</v>
      </c>
      <c r="V18">
        <v>51.475199999999994</v>
      </c>
      <c r="W18">
        <v>50.522899999999993</v>
      </c>
      <c r="X18">
        <v>0.66966193356286796</v>
      </c>
      <c r="Y18">
        <v>52.843823867125742</v>
      </c>
      <c r="Z18">
        <v>50.165176132874272</v>
      </c>
      <c r="AA18">
        <v>51.475199999999994</v>
      </c>
      <c r="AB18">
        <v>51.475199999999994</v>
      </c>
    </row>
    <row r="19" spans="1:28" x14ac:dyDescent="0.25">
      <c r="A19" s="3">
        <v>45686</v>
      </c>
      <c r="B19">
        <v>45.25</v>
      </c>
      <c r="C19">
        <v>45.25</v>
      </c>
      <c r="D19">
        <v>45.25</v>
      </c>
      <c r="E19">
        <v>45.25</v>
      </c>
      <c r="P19" s="5">
        <v>46003</v>
      </c>
      <c r="Q19">
        <v>52.03</v>
      </c>
      <c r="R19">
        <v>52.03</v>
      </c>
      <c r="S19">
        <v>52.03</v>
      </c>
      <c r="T19">
        <v>52.03</v>
      </c>
      <c r="U19">
        <v>51.533000000000001</v>
      </c>
      <c r="V19">
        <v>51.491399999999992</v>
      </c>
      <c r="W19">
        <v>50.554799999999986</v>
      </c>
      <c r="X19">
        <v>0.67972207942890817</v>
      </c>
      <c r="Y19">
        <v>52.89244415885782</v>
      </c>
      <c r="Z19">
        <v>50.173555841142182</v>
      </c>
      <c r="AA19">
        <v>51.491399999999992</v>
      </c>
      <c r="AB19">
        <v>51.491399999999992</v>
      </c>
    </row>
    <row r="20" spans="1:28" x14ac:dyDescent="0.25">
      <c r="A20" s="3">
        <v>45687</v>
      </c>
      <c r="B20">
        <v>45.57</v>
      </c>
      <c r="C20">
        <v>45.57</v>
      </c>
      <c r="D20">
        <v>45.57</v>
      </c>
      <c r="E20">
        <v>45.57</v>
      </c>
      <c r="P20" s="5">
        <v>46006</v>
      </c>
      <c r="Q20">
        <v>52.03</v>
      </c>
      <c r="R20">
        <v>52.03</v>
      </c>
      <c r="S20">
        <v>52.03</v>
      </c>
      <c r="T20">
        <v>52.03</v>
      </c>
      <c r="U20">
        <v>51.564999999999998</v>
      </c>
      <c r="V20">
        <v>51.505400000000002</v>
      </c>
      <c r="W20">
        <v>50.587699999999984</v>
      </c>
      <c r="X20">
        <v>0.68765428890732061</v>
      </c>
      <c r="Y20">
        <v>52.940308577814641</v>
      </c>
      <c r="Z20">
        <v>50.189691422185355</v>
      </c>
      <c r="AA20">
        <v>51.505400000000002</v>
      </c>
      <c r="AB20">
        <v>51.505400000000002</v>
      </c>
    </row>
    <row r="21" spans="1:28" x14ac:dyDescent="0.25">
      <c r="A21" s="3">
        <v>45688</v>
      </c>
      <c r="B21">
        <v>45.33</v>
      </c>
      <c r="C21">
        <v>45.33</v>
      </c>
      <c r="D21">
        <v>45.33</v>
      </c>
      <c r="E21">
        <v>45.33</v>
      </c>
      <c r="F21">
        <f>AVERAGE(E2:E21)</f>
        <v>44.751500000000007</v>
      </c>
      <c r="I21">
        <f>_xlfn.STDEV.S(E2:E21)</f>
        <v>0.62762941630433955</v>
      </c>
      <c r="J21" s="8">
        <f t="shared" ref="J21:J65" si="0">F21 +I21*2</f>
        <v>46.006758832608689</v>
      </c>
      <c r="K21">
        <f t="shared" ref="K21:K65" si="1">F21-I21*2</f>
        <v>43.496241167391325</v>
      </c>
      <c r="P21" s="5">
        <v>46007</v>
      </c>
      <c r="Q21">
        <v>51.87</v>
      </c>
      <c r="R21">
        <v>51.87</v>
      </c>
      <c r="S21">
        <v>51.87</v>
      </c>
      <c r="T21">
        <v>51.87</v>
      </c>
      <c r="U21">
        <v>51.61099999999999</v>
      </c>
      <c r="V21">
        <v>51.513400000000004</v>
      </c>
      <c r="W21">
        <v>50.61819999999998</v>
      </c>
      <c r="X21">
        <v>0.67500409355483959</v>
      </c>
      <c r="Y21">
        <v>52.96100818710967</v>
      </c>
      <c r="Z21">
        <v>50.26099181289031</v>
      </c>
      <c r="AA21">
        <v>51.513400000000004</v>
      </c>
      <c r="AB21">
        <v>51.513400000000004</v>
      </c>
    </row>
    <row r="22" spans="1:28" x14ac:dyDescent="0.25">
      <c r="A22" s="3">
        <v>45691</v>
      </c>
      <c r="B22">
        <v>45.02</v>
      </c>
      <c r="C22">
        <v>45.02</v>
      </c>
      <c r="D22">
        <v>45.02</v>
      </c>
      <c r="E22">
        <v>45.02</v>
      </c>
      <c r="F22">
        <f t="shared" ref="F22:F85" si="2">AVERAGE(E3:E22)</f>
        <v>44.797000000000004</v>
      </c>
      <c r="I22">
        <f t="shared" ref="I22:I85" si="3">_xlfn.STDEV.S(E3:E22)</f>
        <v>0.61145297189735281</v>
      </c>
      <c r="J22" s="8">
        <f t="shared" si="0"/>
        <v>46.019905943794711</v>
      </c>
      <c r="K22">
        <f t="shared" si="1"/>
        <v>43.574094056205297</v>
      </c>
      <c r="P22" s="5">
        <v>46008</v>
      </c>
      <c r="Q22">
        <v>51.49</v>
      </c>
      <c r="R22">
        <v>51.49</v>
      </c>
      <c r="S22">
        <v>51.49</v>
      </c>
      <c r="T22">
        <v>51.49</v>
      </c>
      <c r="U22">
        <v>51.654499999999985</v>
      </c>
      <c r="V22">
        <v>51.518799999999999</v>
      </c>
      <c r="W22">
        <v>50.646899999999981</v>
      </c>
      <c r="X22">
        <v>0.63460285964820962</v>
      </c>
      <c r="Y22">
        <v>52.923705719296407</v>
      </c>
      <c r="Z22">
        <v>50.385294280703562</v>
      </c>
      <c r="AA22">
        <v>51.518799999999999</v>
      </c>
      <c r="AB22">
        <v>51.518799999999999</v>
      </c>
    </row>
    <row r="23" spans="1:28" x14ac:dyDescent="0.25">
      <c r="A23" s="3">
        <v>45692</v>
      </c>
      <c r="B23">
        <v>45.37</v>
      </c>
      <c r="C23">
        <v>45.37</v>
      </c>
      <c r="D23">
        <v>45.37</v>
      </c>
      <c r="E23">
        <v>45.37</v>
      </c>
      <c r="F23">
        <f t="shared" si="2"/>
        <v>44.842500000000001</v>
      </c>
      <c r="I23">
        <f t="shared" si="3"/>
        <v>0.61886887481155961</v>
      </c>
      <c r="J23" s="8">
        <f t="shared" si="0"/>
        <v>46.080237749623123</v>
      </c>
      <c r="K23">
        <f t="shared" si="1"/>
        <v>43.604762250376879</v>
      </c>
      <c r="P23" s="5">
        <v>46009</v>
      </c>
      <c r="Q23">
        <v>51.83</v>
      </c>
      <c r="R23">
        <v>51.83</v>
      </c>
      <c r="S23">
        <v>51.83</v>
      </c>
      <c r="T23">
        <v>51.83</v>
      </c>
      <c r="U23">
        <v>51.713499999999996</v>
      </c>
      <c r="V23">
        <v>51.526199999999996</v>
      </c>
      <c r="W23">
        <v>50.67939999999998</v>
      </c>
      <c r="X23">
        <v>0.58955179228756038</v>
      </c>
      <c r="Y23">
        <v>52.89260358457512</v>
      </c>
      <c r="Z23">
        <v>50.534396415424872</v>
      </c>
      <c r="AA23">
        <v>51.526199999999996</v>
      </c>
      <c r="AB23">
        <v>51.526199999999996</v>
      </c>
    </row>
    <row r="24" spans="1:28" x14ac:dyDescent="0.25">
      <c r="A24" s="3">
        <v>45693</v>
      </c>
      <c r="B24">
        <v>45.61</v>
      </c>
      <c r="C24">
        <v>45.61</v>
      </c>
      <c r="D24">
        <v>45.61</v>
      </c>
      <c r="E24">
        <v>45.61</v>
      </c>
      <c r="F24">
        <f t="shared" si="2"/>
        <v>44.89050000000001</v>
      </c>
      <c r="I24">
        <f t="shared" si="3"/>
        <v>0.64002035329478257</v>
      </c>
      <c r="J24" s="8">
        <f t="shared" si="0"/>
        <v>46.170540706589577</v>
      </c>
      <c r="K24">
        <f t="shared" si="1"/>
        <v>43.610459293410443</v>
      </c>
      <c r="P24" s="5">
        <v>46010</v>
      </c>
      <c r="Q24">
        <v>52.14</v>
      </c>
      <c r="R24">
        <v>52.14</v>
      </c>
      <c r="S24">
        <v>52.14</v>
      </c>
      <c r="T24">
        <v>52.14</v>
      </c>
      <c r="U24">
        <v>51.817999999999998</v>
      </c>
      <c r="V24">
        <v>51.544200000000004</v>
      </c>
      <c r="W24">
        <v>50.716899999999988</v>
      </c>
      <c r="X24">
        <v>0.44722065671150985</v>
      </c>
      <c r="Y24">
        <v>52.712441313423021</v>
      </c>
      <c r="Z24">
        <v>50.923558686576975</v>
      </c>
      <c r="AA24">
        <v>51.544200000000004</v>
      </c>
      <c r="AB24">
        <v>51.544200000000004</v>
      </c>
    </row>
    <row r="25" spans="1:28" x14ac:dyDescent="0.25">
      <c r="A25" s="3">
        <v>45694</v>
      </c>
      <c r="B25">
        <v>45.72</v>
      </c>
      <c r="C25">
        <v>45.72</v>
      </c>
      <c r="D25">
        <v>45.72</v>
      </c>
      <c r="E25">
        <v>45.72</v>
      </c>
      <c r="F25">
        <f t="shared" si="2"/>
        <v>44.959500000000006</v>
      </c>
      <c r="I25">
        <f t="shared" si="3"/>
        <v>0.65182718891630009</v>
      </c>
      <c r="J25" s="8">
        <f t="shared" si="0"/>
        <v>46.263154377832606</v>
      </c>
      <c r="K25">
        <f t="shared" si="1"/>
        <v>43.655845622167405</v>
      </c>
      <c r="P25" s="5">
        <v>46013</v>
      </c>
      <c r="Q25">
        <v>52.43</v>
      </c>
      <c r="R25">
        <v>52.43</v>
      </c>
      <c r="S25">
        <v>52.43</v>
      </c>
      <c r="T25">
        <v>52.43</v>
      </c>
      <c r="U25">
        <v>51.914499999999997</v>
      </c>
      <c r="V25">
        <v>51.588999999999999</v>
      </c>
      <c r="W25">
        <v>50.759499999999989</v>
      </c>
      <c r="X25">
        <v>0.3442226176855846</v>
      </c>
      <c r="Y25">
        <v>52.602945235371166</v>
      </c>
      <c r="Z25">
        <v>51.226054764628827</v>
      </c>
      <c r="AA25">
        <v>51.588999999999999</v>
      </c>
      <c r="AB25">
        <v>51.588999999999999</v>
      </c>
    </row>
    <row r="26" spans="1:28" x14ac:dyDescent="0.25">
      <c r="A26" s="3">
        <v>45695</v>
      </c>
      <c r="B26">
        <v>45.42</v>
      </c>
      <c r="C26">
        <v>45.42</v>
      </c>
      <c r="D26">
        <v>45.42</v>
      </c>
      <c r="E26">
        <v>45.42</v>
      </c>
      <c r="F26">
        <f t="shared" si="2"/>
        <v>45.013500000000008</v>
      </c>
      <c r="I26">
        <f t="shared" si="3"/>
        <v>0.64247281326875905</v>
      </c>
      <c r="J26" s="8">
        <f t="shared" si="0"/>
        <v>46.298445626537529</v>
      </c>
      <c r="K26">
        <f t="shared" si="1"/>
        <v>43.728554373462487</v>
      </c>
      <c r="P26" s="5">
        <v>46014</v>
      </c>
      <c r="Q26">
        <v>50.99</v>
      </c>
      <c r="R26">
        <v>50.99</v>
      </c>
      <c r="S26">
        <v>50.99</v>
      </c>
      <c r="T26">
        <v>50.99</v>
      </c>
      <c r="U26">
        <v>51.914999999999999</v>
      </c>
      <c r="V26">
        <v>51.591999999999992</v>
      </c>
      <c r="W26">
        <v>50.791499999999985</v>
      </c>
      <c r="X26">
        <v>0.3427980838858195</v>
      </c>
      <c r="Y26">
        <v>52.600596167771641</v>
      </c>
      <c r="Z26">
        <v>51.229403832228357</v>
      </c>
      <c r="AA26">
        <v>51.591999999999992</v>
      </c>
      <c r="AB26">
        <v>51.591999999999992</v>
      </c>
    </row>
    <row r="27" spans="1:28" x14ac:dyDescent="0.25">
      <c r="A27" s="3">
        <v>45698</v>
      </c>
      <c r="B27">
        <v>45.65</v>
      </c>
      <c r="C27">
        <v>45.65</v>
      </c>
      <c r="D27">
        <v>45.65</v>
      </c>
      <c r="E27">
        <v>45.65</v>
      </c>
      <c r="F27">
        <f t="shared" si="2"/>
        <v>45.109500000000004</v>
      </c>
      <c r="I27">
        <f t="shared" si="3"/>
        <v>0.58111032560634779</v>
      </c>
      <c r="J27" s="8">
        <f t="shared" si="0"/>
        <v>46.271720651212696</v>
      </c>
      <c r="K27">
        <f t="shared" si="1"/>
        <v>43.947279348787312</v>
      </c>
      <c r="P27" s="5">
        <v>46015</v>
      </c>
      <c r="Q27">
        <v>51.09</v>
      </c>
      <c r="R27">
        <v>51.09</v>
      </c>
      <c r="S27">
        <v>51.09</v>
      </c>
      <c r="T27">
        <v>51.09</v>
      </c>
      <c r="U27">
        <v>51.899500000000003</v>
      </c>
      <c r="V27">
        <v>51.596999999999987</v>
      </c>
      <c r="W27">
        <v>50.818800000000003</v>
      </c>
      <c r="X27">
        <v>0.37298899377016975</v>
      </c>
      <c r="Y27">
        <v>52.645477987540346</v>
      </c>
      <c r="Z27">
        <v>51.153522012459661</v>
      </c>
      <c r="AA27">
        <v>51.596999999999987</v>
      </c>
      <c r="AB27">
        <v>51.596999999999987</v>
      </c>
    </row>
    <row r="28" spans="1:28" x14ac:dyDescent="0.25">
      <c r="A28" s="3">
        <v>45699</v>
      </c>
      <c r="B28">
        <v>45.64</v>
      </c>
      <c r="C28">
        <v>45.64</v>
      </c>
      <c r="D28">
        <v>45.64</v>
      </c>
      <c r="E28">
        <v>45.64</v>
      </c>
      <c r="F28">
        <f t="shared" si="2"/>
        <v>45.207499999999996</v>
      </c>
      <c r="I28">
        <f t="shared" si="3"/>
        <v>0.48460374479948459</v>
      </c>
      <c r="J28" s="8">
        <f t="shared" si="0"/>
        <v>46.176707489598968</v>
      </c>
      <c r="K28">
        <f t="shared" si="1"/>
        <v>44.238292510401024</v>
      </c>
      <c r="P28" s="5">
        <v>46017</v>
      </c>
      <c r="Q28">
        <v>51.12</v>
      </c>
      <c r="R28">
        <v>51.12</v>
      </c>
      <c r="S28">
        <v>51.12</v>
      </c>
      <c r="T28">
        <v>51.12</v>
      </c>
      <c r="U28">
        <v>51.867499999999993</v>
      </c>
      <c r="V28">
        <v>51.597399999999986</v>
      </c>
      <c r="W28">
        <v>50.847099999999998</v>
      </c>
      <c r="X28">
        <v>0.4110944954758286</v>
      </c>
      <c r="Y28">
        <v>52.689688990951652</v>
      </c>
      <c r="Z28">
        <v>51.045311009048334</v>
      </c>
      <c r="AA28">
        <v>51.597399999999986</v>
      </c>
      <c r="AB28">
        <v>51.597399999999986</v>
      </c>
    </row>
    <row r="29" spans="1:28" x14ac:dyDescent="0.25">
      <c r="A29" s="3">
        <v>45700</v>
      </c>
      <c r="B29">
        <v>45.55</v>
      </c>
      <c r="C29">
        <v>45.55</v>
      </c>
      <c r="D29">
        <v>45.55</v>
      </c>
      <c r="E29">
        <v>45.55</v>
      </c>
      <c r="F29">
        <f t="shared" si="2"/>
        <v>45.293499999999995</v>
      </c>
      <c r="I29">
        <f t="shared" si="3"/>
        <v>0.36518596560339461</v>
      </c>
      <c r="J29" s="8">
        <f t="shared" si="0"/>
        <v>46.023871931206784</v>
      </c>
      <c r="K29">
        <f t="shared" si="1"/>
        <v>44.563128068793205</v>
      </c>
      <c r="P29" s="5">
        <v>46020</v>
      </c>
      <c r="Q29">
        <v>51</v>
      </c>
      <c r="R29">
        <v>51</v>
      </c>
      <c r="S29">
        <v>51</v>
      </c>
      <c r="T29">
        <v>51</v>
      </c>
      <c r="U29">
        <v>51.820000000000007</v>
      </c>
      <c r="V29">
        <v>51.597399999999986</v>
      </c>
      <c r="W29">
        <v>50.87169999999999</v>
      </c>
      <c r="X29">
        <v>0.45373305391003427</v>
      </c>
      <c r="Y29">
        <v>52.727466107820078</v>
      </c>
      <c r="Z29">
        <v>50.912533892179937</v>
      </c>
      <c r="AA29">
        <v>51.597399999999986</v>
      </c>
      <c r="AB29">
        <v>51.597399999999986</v>
      </c>
    </row>
    <row r="30" spans="1:28" x14ac:dyDescent="0.25">
      <c r="A30" s="3">
        <v>45701</v>
      </c>
      <c r="B30">
        <v>45.99</v>
      </c>
      <c r="C30">
        <v>45.99</v>
      </c>
      <c r="D30">
        <v>45.99</v>
      </c>
      <c r="E30">
        <v>45.99</v>
      </c>
      <c r="F30">
        <f t="shared" si="2"/>
        <v>45.370999999999995</v>
      </c>
      <c r="I30">
        <f t="shared" si="3"/>
        <v>0.33798006792677721</v>
      </c>
      <c r="J30" s="8">
        <f t="shared" si="0"/>
        <v>46.046960135853553</v>
      </c>
      <c r="K30">
        <f t="shared" si="1"/>
        <v>44.695039864146437</v>
      </c>
      <c r="P30" s="5">
        <v>46021</v>
      </c>
      <c r="Q30">
        <v>50.98</v>
      </c>
      <c r="R30">
        <v>50.98</v>
      </c>
      <c r="S30">
        <v>50.98</v>
      </c>
      <c r="T30">
        <v>50.98</v>
      </c>
      <c r="U30">
        <v>51.783500000000004</v>
      </c>
      <c r="V30">
        <v>51.595199999999984</v>
      </c>
      <c r="W30">
        <v>50.895099999999992</v>
      </c>
      <c r="X30">
        <v>0.49088829257731714</v>
      </c>
      <c r="Y30">
        <v>52.765276585154638</v>
      </c>
      <c r="Z30">
        <v>50.80172341484537</v>
      </c>
      <c r="AA30">
        <v>51.595199999999984</v>
      </c>
      <c r="AB30">
        <v>51.595199999999984</v>
      </c>
    </row>
    <row r="31" spans="1:28" x14ac:dyDescent="0.25">
      <c r="A31" s="3">
        <v>45702</v>
      </c>
      <c r="B31">
        <v>46.03</v>
      </c>
      <c r="C31">
        <v>46.03</v>
      </c>
      <c r="D31">
        <v>46.03</v>
      </c>
      <c r="E31">
        <v>46.03</v>
      </c>
      <c r="F31">
        <f t="shared" si="2"/>
        <v>45.447999999999993</v>
      </c>
      <c r="I31">
        <f t="shared" si="3"/>
        <v>0.29999298237406158</v>
      </c>
      <c r="J31" s="8">
        <f t="shared" si="0"/>
        <v>46.047985964748115</v>
      </c>
      <c r="K31">
        <f t="shared" si="1"/>
        <v>44.848014035251872</v>
      </c>
      <c r="P31" s="5">
        <v>46022</v>
      </c>
      <c r="Q31">
        <v>50.73</v>
      </c>
      <c r="R31">
        <v>50.73</v>
      </c>
      <c r="S31">
        <v>50.73</v>
      </c>
      <c r="T31">
        <v>50.73</v>
      </c>
      <c r="U31">
        <v>51.728499999999997</v>
      </c>
      <c r="V31">
        <v>51.578999999999986</v>
      </c>
      <c r="W31">
        <v>50.914199999999994</v>
      </c>
      <c r="X31">
        <v>0.5441388657899362</v>
      </c>
      <c r="Y31">
        <v>52.816777731579869</v>
      </c>
      <c r="Z31">
        <v>50.640222268420125</v>
      </c>
      <c r="AA31">
        <v>51.578999999999986</v>
      </c>
      <c r="AB31">
        <v>51.578999999999986</v>
      </c>
    </row>
    <row r="32" spans="1:28" x14ac:dyDescent="0.25">
      <c r="A32" s="3">
        <v>45706</v>
      </c>
      <c r="B32">
        <v>46.16</v>
      </c>
      <c r="C32">
        <v>46.16</v>
      </c>
      <c r="D32">
        <v>46.16</v>
      </c>
      <c r="E32">
        <v>46.16</v>
      </c>
      <c r="F32">
        <f t="shared" si="2"/>
        <v>45.517499999999991</v>
      </c>
      <c r="I32">
        <f t="shared" si="3"/>
        <v>0.29563268461137071</v>
      </c>
      <c r="J32" s="8">
        <f t="shared" si="0"/>
        <v>46.108765369222731</v>
      </c>
      <c r="K32">
        <f t="shared" si="1"/>
        <v>44.926234630777252</v>
      </c>
    </row>
    <row r="33" spans="1:11" x14ac:dyDescent="0.25">
      <c r="A33" s="3">
        <v>45707</v>
      </c>
      <c r="B33">
        <v>46.1</v>
      </c>
      <c r="C33">
        <v>46.1</v>
      </c>
      <c r="D33">
        <v>46.1</v>
      </c>
      <c r="E33">
        <v>46.1</v>
      </c>
      <c r="F33">
        <f t="shared" si="2"/>
        <v>45.560999999999993</v>
      </c>
      <c r="I33">
        <f t="shared" si="3"/>
        <v>0.31450713321339019</v>
      </c>
      <c r="J33" s="8">
        <f t="shared" si="0"/>
        <v>46.190014266426772</v>
      </c>
      <c r="K33">
        <f t="shared" si="1"/>
        <v>44.931985733573214</v>
      </c>
    </row>
    <row r="34" spans="1:11" x14ac:dyDescent="0.25">
      <c r="A34" s="3">
        <v>45708</v>
      </c>
      <c r="B34">
        <v>46.07</v>
      </c>
      <c r="C34">
        <v>46.07</v>
      </c>
      <c r="D34">
        <v>46.07</v>
      </c>
      <c r="E34">
        <v>46.07</v>
      </c>
      <c r="F34">
        <f t="shared" si="2"/>
        <v>45.598499999999994</v>
      </c>
      <c r="I34">
        <f t="shared" si="3"/>
        <v>0.32865395335007236</v>
      </c>
      <c r="J34" s="8">
        <f t="shared" si="0"/>
        <v>46.255807906700142</v>
      </c>
      <c r="K34">
        <f t="shared" si="1"/>
        <v>44.941192093299847</v>
      </c>
    </row>
    <row r="35" spans="1:11" x14ac:dyDescent="0.25">
      <c r="A35" s="3">
        <v>45709</v>
      </c>
      <c r="B35">
        <v>45.59</v>
      </c>
      <c r="C35">
        <v>45.59</v>
      </c>
      <c r="D35">
        <v>45.59</v>
      </c>
      <c r="E35">
        <v>45.59</v>
      </c>
      <c r="F35">
        <f t="shared" si="2"/>
        <v>45.603999999999999</v>
      </c>
      <c r="I35">
        <f t="shared" si="3"/>
        <v>0.32748483291516506</v>
      </c>
      <c r="J35" s="8">
        <f t="shared" si="0"/>
        <v>46.258969665830328</v>
      </c>
      <c r="K35">
        <f t="shared" si="1"/>
        <v>44.94903033416967</v>
      </c>
    </row>
    <row r="36" spans="1:11" x14ac:dyDescent="0.25">
      <c r="A36" s="3">
        <v>45712</v>
      </c>
      <c r="B36">
        <v>45.41</v>
      </c>
      <c r="C36">
        <v>45.41</v>
      </c>
      <c r="D36">
        <v>45.41</v>
      </c>
      <c r="E36">
        <v>45.41</v>
      </c>
      <c r="F36">
        <f t="shared" si="2"/>
        <v>45.599000000000004</v>
      </c>
      <c r="I36">
        <f t="shared" si="3"/>
        <v>0.32975110230852023</v>
      </c>
      <c r="J36" s="8">
        <f t="shared" si="0"/>
        <v>46.258502204617045</v>
      </c>
      <c r="K36">
        <f t="shared" si="1"/>
        <v>44.939497795382962</v>
      </c>
    </row>
    <row r="37" spans="1:11" x14ac:dyDescent="0.25">
      <c r="A37" s="3">
        <v>45713</v>
      </c>
      <c r="B37">
        <v>45.43</v>
      </c>
      <c r="C37">
        <v>45.43</v>
      </c>
      <c r="D37">
        <v>45.43</v>
      </c>
      <c r="E37">
        <v>45.43</v>
      </c>
      <c r="F37">
        <f t="shared" si="2"/>
        <v>45.613500000000002</v>
      </c>
      <c r="I37">
        <f t="shared" si="3"/>
        <v>0.31453014247654515</v>
      </c>
      <c r="J37" s="8">
        <f t="shared" si="0"/>
        <v>46.242560284953093</v>
      </c>
      <c r="K37">
        <f t="shared" si="1"/>
        <v>44.984439715046911</v>
      </c>
    </row>
    <row r="38" spans="1:11" x14ac:dyDescent="0.25">
      <c r="A38" s="3">
        <v>45714</v>
      </c>
      <c r="B38">
        <v>45.51</v>
      </c>
      <c r="C38">
        <v>45.51</v>
      </c>
      <c r="D38">
        <v>45.51</v>
      </c>
      <c r="E38">
        <v>45.51</v>
      </c>
      <c r="F38">
        <f t="shared" si="2"/>
        <v>45.620999999999995</v>
      </c>
      <c r="I38">
        <f t="shared" si="3"/>
        <v>0.30992189168783868</v>
      </c>
      <c r="J38" s="8">
        <f t="shared" si="0"/>
        <v>46.240843783375674</v>
      </c>
      <c r="K38">
        <f t="shared" si="1"/>
        <v>45.001156216624317</v>
      </c>
    </row>
    <row r="39" spans="1:11" x14ac:dyDescent="0.25">
      <c r="A39" s="3">
        <v>45715</v>
      </c>
      <c r="B39">
        <v>44.98</v>
      </c>
      <c r="C39">
        <v>44.98</v>
      </c>
      <c r="D39">
        <v>44.98</v>
      </c>
      <c r="E39">
        <v>44.98</v>
      </c>
      <c r="F39">
        <f t="shared" si="2"/>
        <v>45.607500000000002</v>
      </c>
      <c r="I39">
        <f t="shared" si="3"/>
        <v>0.33202528438913265</v>
      </c>
      <c r="J39" s="8">
        <f t="shared" si="0"/>
        <v>46.271550568778267</v>
      </c>
      <c r="K39">
        <f t="shared" si="1"/>
        <v>44.943449431221737</v>
      </c>
    </row>
    <row r="40" spans="1:11" x14ac:dyDescent="0.25">
      <c r="A40" s="3">
        <v>45716</v>
      </c>
      <c r="B40">
        <v>45.31</v>
      </c>
      <c r="C40">
        <v>45.31</v>
      </c>
      <c r="D40">
        <v>45.31</v>
      </c>
      <c r="E40">
        <v>45.31</v>
      </c>
      <c r="F40">
        <f t="shared" si="2"/>
        <v>45.594499999999996</v>
      </c>
      <c r="I40">
        <f t="shared" si="3"/>
        <v>0.33859578447340127</v>
      </c>
      <c r="J40" s="8">
        <f t="shared" si="0"/>
        <v>46.2716915689468</v>
      </c>
      <c r="K40">
        <f t="shared" si="1"/>
        <v>44.917308431053193</v>
      </c>
    </row>
    <row r="41" spans="1:11" x14ac:dyDescent="0.25">
      <c r="A41" s="3">
        <v>45719</v>
      </c>
      <c r="B41">
        <v>44.92</v>
      </c>
      <c r="C41">
        <v>44.92</v>
      </c>
      <c r="D41">
        <v>44.92</v>
      </c>
      <c r="E41">
        <v>44.92</v>
      </c>
      <c r="F41">
        <f t="shared" si="2"/>
        <v>45.573999999999998</v>
      </c>
      <c r="I41">
        <f t="shared" si="3"/>
        <v>0.36669792530235645</v>
      </c>
      <c r="J41" s="8">
        <f t="shared" si="0"/>
        <v>46.307395850604713</v>
      </c>
      <c r="K41">
        <f t="shared" si="1"/>
        <v>44.840604149395283</v>
      </c>
    </row>
    <row r="42" spans="1:11" x14ac:dyDescent="0.25">
      <c r="A42" s="3">
        <v>45720</v>
      </c>
      <c r="B42">
        <v>44.66</v>
      </c>
      <c r="C42">
        <v>44.66</v>
      </c>
      <c r="D42">
        <v>44.66</v>
      </c>
      <c r="E42">
        <v>44.66</v>
      </c>
      <c r="F42">
        <f t="shared" si="2"/>
        <v>45.555999999999997</v>
      </c>
      <c r="I42">
        <f t="shared" si="3"/>
        <v>0.40241900133017994</v>
      </c>
      <c r="J42" s="8">
        <f t="shared" si="0"/>
        <v>46.360838002660358</v>
      </c>
      <c r="K42">
        <f t="shared" si="1"/>
        <v>44.751161997339636</v>
      </c>
    </row>
    <row r="43" spans="1:11" x14ac:dyDescent="0.25">
      <c r="A43" s="3">
        <v>45721</v>
      </c>
      <c r="B43">
        <v>45.22</v>
      </c>
      <c r="C43">
        <v>45.22</v>
      </c>
      <c r="D43">
        <v>45.22</v>
      </c>
      <c r="E43">
        <v>45.22</v>
      </c>
      <c r="F43">
        <f t="shared" si="2"/>
        <v>45.54849999999999</v>
      </c>
      <c r="I43">
        <f t="shared" si="3"/>
        <v>0.40743452815985359</v>
      </c>
      <c r="J43" s="8">
        <f t="shared" si="0"/>
        <v>46.363369056319698</v>
      </c>
      <c r="K43">
        <f t="shared" si="1"/>
        <v>44.733630943680282</v>
      </c>
    </row>
    <row r="44" spans="1:11" x14ac:dyDescent="0.25">
      <c r="A44" s="3">
        <v>45722</v>
      </c>
      <c r="B44">
        <v>44.7</v>
      </c>
      <c r="C44">
        <v>44.7</v>
      </c>
      <c r="D44">
        <v>44.7</v>
      </c>
      <c r="E44">
        <v>44.7</v>
      </c>
      <c r="F44">
        <f t="shared" si="2"/>
        <v>45.503</v>
      </c>
      <c r="I44">
        <f t="shared" si="3"/>
        <v>0.44890627318546494</v>
      </c>
      <c r="J44" s="8">
        <f t="shared" si="0"/>
        <v>46.400812546370929</v>
      </c>
      <c r="K44">
        <f t="shared" si="1"/>
        <v>44.605187453629071</v>
      </c>
    </row>
    <row r="45" spans="1:11" x14ac:dyDescent="0.25">
      <c r="A45" s="3">
        <v>45723</v>
      </c>
      <c r="B45">
        <v>44.91</v>
      </c>
      <c r="C45">
        <v>44.91</v>
      </c>
      <c r="D45">
        <v>44.91</v>
      </c>
      <c r="E45">
        <v>44.91</v>
      </c>
      <c r="F45">
        <f t="shared" si="2"/>
        <v>45.462499999999991</v>
      </c>
      <c r="I45">
        <f t="shared" si="3"/>
        <v>0.46456402878624348</v>
      </c>
      <c r="J45" s="8">
        <f t="shared" si="0"/>
        <v>46.391628057572476</v>
      </c>
      <c r="K45">
        <f t="shared" si="1"/>
        <v>44.533371942427507</v>
      </c>
    </row>
    <row r="46" spans="1:11" x14ac:dyDescent="0.25">
      <c r="A46" s="3">
        <v>45726</v>
      </c>
      <c r="B46">
        <v>44.03</v>
      </c>
      <c r="C46">
        <v>44.03</v>
      </c>
      <c r="D46">
        <v>44.03</v>
      </c>
      <c r="E46">
        <v>44.03</v>
      </c>
      <c r="F46">
        <f t="shared" si="2"/>
        <v>45.393000000000001</v>
      </c>
      <c r="I46">
        <f t="shared" si="3"/>
        <v>0.5644848606426367</v>
      </c>
      <c r="J46" s="8">
        <f t="shared" si="0"/>
        <v>46.521969721285274</v>
      </c>
      <c r="K46">
        <f t="shared" si="1"/>
        <v>44.264030278714728</v>
      </c>
    </row>
    <row r="47" spans="1:11" x14ac:dyDescent="0.25">
      <c r="A47" s="3">
        <v>45727</v>
      </c>
      <c r="B47">
        <v>43.86</v>
      </c>
      <c r="C47">
        <v>43.86</v>
      </c>
      <c r="D47">
        <v>43.86</v>
      </c>
      <c r="E47">
        <v>43.86</v>
      </c>
      <c r="F47">
        <f t="shared" si="2"/>
        <v>45.3035</v>
      </c>
      <c r="I47">
        <f t="shared" si="3"/>
        <v>0.65606702963067831</v>
      </c>
      <c r="J47" s="8">
        <f t="shared" si="0"/>
        <v>46.615634059261353</v>
      </c>
      <c r="K47">
        <f t="shared" si="1"/>
        <v>43.991365940738646</v>
      </c>
    </row>
    <row r="48" spans="1:11" x14ac:dyDescent="0.25">
      <c r="A48" s="3">
        <v>45728</v>
      </c>
      <c r="B48">
        <v>44.04</v>
      </c>
      <c r="C48">
        <v>44.04</v>
      </c>
      <c r="D48">
        <v>44.04</v>
      </c>
      <c r="E48">
        <v>44.04</v>
      </c>
      <c r="F48">
        <f t="shared" si="2"/>
        <v>45.223499999999994</v>
      </c>
      <c r="I48">
        <f t="shared" si="3"/>
        <v>0.70834332294297442</v>
      </c>
      <c r="J48" s="8">
        <f t="shared" si="0"/>
        <v>46.64018664588594</v>
      </c>
      <c r="K48">
        <f t="shared" si="1"/>
        <v>43.806813354114048</v>
      </c>
    </row>
    <row r="49" spans="1:13" x14ac:dyDescent="0.25">
      <c r="A49" s="3">
        <v>45729</v>
      </c>
      <c r="B49">
        <v>43.66</v>
      </c>
      <c r="C49">
        <v>43.66</v>
      </c>
      <c r="D49">
        <v>43.66</v>
      </c>
      <c r="E49">
        <v>43.66</v>
      </c>
      <c r="F49">
        <f t="shared" si="2"/>
        <v>45.128999999999998</v>
      </c>
      <c r="I49">
        <f t="shared" si="3"/>
        <v>0.78447367538268731</v>
      </c>
      <c r="J49" s="8">
        <f t="shared" si="0"/>
        <v>46.697947350765375</v>
      </c>
      <c r="K49">
        <f t="shared" si="1"/>
        <v>43.560052649234621</v>
      </c>
    </row>
    <row r="50" spans="1:13" x14ac:dyDescent="0.25">
      <c r="A50" s="3">
        <v>45730</v>
      </c>
      <c r="B50">
        <v>44.34</v>
      </c>
      <c r="C50">
        <v>44.34</v>
      </c>
      <c r="D50">
        <v>44.34</v>
      </c>
      <c r="E50">
        <v>44.34</v>
      </c>
      <c r="F50">
        <f t="shared" si="2"/>
        <v>45.046500000000002</v>
      </c>
      <c r="I50">
        <f t="shared" si="3"/>
        <v>0.77587488817802541</v>
      </c>
      <c r="J50" s="8">
        <f t="shared" si="0"/>
        <v>46.598249776356056</v>
      </c>
      <c r="K50">
        <f t="shared" si="1"/>
        <v>43.494750223643948</v>
      </c>
    </row>
    <row r="51" spans="1:13" x14ac:dyDescent="0.25">
      <c r="A51" s="3">
        <v>45733</v>
      </c>
      <c r="B51">
        <v>44.69</v>
      </c>
      <c r="C51">
        <v>44.69</v>
      </c>
      <c r="D51">
        <v>44.69</v>
      </c>
      <c r="E51">
        <v>44.69</v>
      </c>
      <c r="F51">
        <f t="shared" si="2"/>
        <v>44.979499999999994</v>
      </c>
      <c r="G51">
        <f>AVERAGE(E2:E51)</f>
        <v>45.012400000000007</v>
      </c>
      <c r="I51">
        <f t="shared" si="3"/>
        <v>0.74366429183292682</v>
      </c>
      <c r="J51" s="8">
        <f t="shared" si="0"/>
        <v>46.466828583665851</v>
      </c>
      <c r="K51">
        <f t="shared" si="1"/>
        <v>43.492171416334138</v>
      </c>
      <c r="L51">
        <f>AVERAGE(C2:C51)</f>
        <v>45.012400000000007</v>
      </c>
      <c r="M51">
        <f>AVERAGE(D2:D51)</f>
        <v>45.012400000000007</v>
      </c>
    </row>
    <row r="52" spans="1:13" x14ac:dyDescent="0.25">
      <c r="A52" s="3">
        <v>45734</v>
      </c>
      <c r="B52">
        <v>44.48</v>
      </c>
      <c r="C52">
        <v>44.48</v>
      </c>
      <c r="D52">
        <v>44.48</v>
      </c>
      <c r="E52">
        <v>44.48</v>
      </c>
      <c r="F52">
        <f t="shared" si="2"/>
        <v>44.895500000000006</v>
      </c>
      <c r="G52">
        <f t="shared" ref="G52:G115" si="4">AVERAGE(E3:E52)</f>
        <v>45.019800000000011</v>
      </c>
      <c r="I52">
        <f t="shared" si="3"/>
        <v>0.69670257189435669</v>
      </c>
      <c r="J52" s="8">
        <f t="shared" si="0"/>
        <v>46.288905143788718</v>
      </c>
      <c r="K52">
        <f t="shared" si="1"/>
        <v>43.502094856211293</v>
      </c>
      <c r="L52">
        <f t="shared" ref="L52:L115" si="5">AVERAGE(C3:C52)</f>
        <v>45.019800000000011</v>
      </c>
      <c r="M52">
        <f t="shared" ref="M52:M115" si="6">AVERAGE(D3:D52)</f>
        <v>45.019800000000011</v>
      </c>
    </row>
    <row r="53" spans="1:13" x14ac:dyDescent="0.25">
      <c r="A53" s="3">
        <v>45735</v>
      </c>
      <c r="B53">
        <v>44.78</v>
      </c>
      <c r="C53">
        <v>44.78</v>
      </c>
      <c r="D53">
        <v>44.78</v>
      </c>
      <c r="E53">
        <v>44.78</v>
      </c>
      <c r="F53">
        <f t="shared" si="2"/>
        <v>44.829499999999996</v>
      </c>
      <c r="G53">
        <f t="shared" si="4"/>
        <v>45.026200000000017</v>
      </c>
      <c r="I53">
        <f t="shared" si="3"/>
        <v>0.63651580374807115</v>
      </c>
      <c r="J53" s="8">
        <f t="shared" si="0"/>
        <v>46.10253160749614</v>
      </c>
      <c r="K53">
        <f t="shared" si="1"/>
        <v>43.556468392503852</v>
      </c>
      <c r="L53">
        <f t="shared" si="5"/>
        <v>45.026200000000017</v>
      </c>
      <c r="M53">
        <f t="shared" si="6"/>
        <v>45.026200000000017</v>
      </c>
    </row>
    <row r="54" spans="1:13" x14ac:dyDescent="0.25">
      <c r="A54" s="3">
        <v>45736</v>
      </c>
      <c r="B54">
        <v>44.64</v>
      </c>
      <c r="C54">
        <v>44.64</v>
      </c>
      <c r="D54">
        <v>44.64</v>
      </c>
      <c r="E54">
        <v>44.64</v>
      </c>
      <c r="F54">
        <f t="shared" si="2"/>
        <v>44.757999999999996</v>
      </c>
      <c r="G54">
        <f t="shared" si="4"/>
        <v>45.02600000000001</v>
      </c>
      <c r="I54">
        <f t="shared" si="3"/>
        <v>0.56627685250609594</v>
      </c>
      <c r="J54" s="8">
        <f t="shared" si="0"/>
        <v>45.890553705012188</v>
      </c>
      <c r="K54">
        <f t="shared" si="1"/>
        <v>43.625446294987803</v>
      </c>
      <c r="L54">
        <f t="shared" si="5"/>
        <v>45.02600000000001</v>
      </c>
      <c r="M54">
        <f t="shared" si="6"/>
        <v>45.02600000000001</v>
      </c>
    </row>
    <row r="55" spans="1:13" x14ac:dyDescent="0.25">
      <c r="A55" s="3">
        <v>45737</v>
      </c>
      <c r="B55">
        <v>44.56</v>
      </c>
      <c r="C55">
        <v>44.56</v>
      </c>
      <c r="D55">
        <v>44.56</v>
      </c>
      <c r="E55">
        <v>44.56</v>
      </c>
      <c r="F55">
        <f t="shared" si="2"/>
        <v>44.706500000000005</v>
      </c>
      <c r="G55">
        <f t="shared" si="4"/>
        <v>45.0304</v>
      </c>
      <c r="I55">
        <f t="shared" si="3"/>
        <v>0.53245484117879582</v>
      </c>
      <c r="J55" s="8">
        <f t="shared" si="0"/>
        <v>45.7714096823576</v>
      </c>
      <c r="K55">
        <f t="shared" si="1"/>
        <v>43.641590317642411</v>
      </c>
      <c r="L55">
        <f t="shared" si="5"/>
        <v>45.0304</v>
      </c>
      <c r="M55">
        <f t="shared" si="6"/>
        <v>45.0304</v>
      </c>
    </row>
    <row r="56" spans="1:13" x14ac:dyDescent="0.25">
      <c r="A56" s="3">
        <v>45740</v>
      </c>
      <c r="B56">
        <v>44.95</v>
      </c>
      <c r="C56">
        <v>44.95</v>
      </c>
      <c r="D56">
        <v>44.95</v>
      </c>
      <c r="E56">
        <v>44.95</v>
      </c>
      <c r="F56">
        <f t="shared" si="2"/>
        <v>44.683500000000002</v>
      </c>
      <c r="G56">
        <f t="shared" si="4"/>
        <v>45.0426</v>
      </c>
      <c r="I56">
        <f t="shared" si="3"/>
        <v>0.50992543314529937</v>
      </c>
      <c r="J56" s="8">
        <f t="shared" si="0"/>
        <v>45.703350866290599</v>
      </c>
      <c r="K56">
        <f t="shared" si="1"/>
        <v>43.663649133709406</v>
      </c>
      <c r="L56">
        <f t="shared" si="5"/>
        <v>45.0426</v>
      </c>
      <c r="M56">
        <f t="shared" si="6"/>
        <v>45.0426</v>
      </c>
    </row>
    <row r="57" spans="1:13" x14ac:dyDescent="0.25">
      <c r="A57" s="3">
        <v>45741</v>
      </c>
      <c r="B57">
        <v>45.01</v>
      </c>
      <c r="C57">
        <v>45.01</v>
      </c>
      <c r="D57">
        <v>45.01</v>
      </c>
      <c r="E57">
        <v>45.01</v>
      </c>
      <c r="F57">
        <f t="shared" si="2"/>
        <v>44.662500000000009</v>
      </c>
      <c r="G57">
        <f t="shared" si="4"/>
        <v>45.068199999999997</v>
      </c>
      <c r="I57">
        <f t="shared" si="3"/>
        <v>0.48563441957267017</v>
      </c>
      <c r="J57" s="8">
        <f t="shared" si="0"/>
        <v>45.633768839145347</v>
      </c>
      <c r="K57">
        <f t="shared" si="1"/>
        <v>43.69123116085467</v>
      </c>
      <c r="L57">
        <f t="shared" si="5"/>
        <v>45.068199999999997</v>
      </c>
      <c r="M57">
        <f t="shared" si="6"/>
        <v>45.068199999999997</v>
      </c>
    </row>
    <row r="58" spans="1:13" x14ac:dyDescent="0.25">
      <c r="A58" s="3">
        <v>45742</v>
      </c>
      <c r="B58">
        <v>44.61</v>
      </c>
      <c r="C58">
        <v>44.61</v>
      </c>
      <c r="D58">
        <v>44.61</v>
      </c>
      <c r="E58">
        <v>44.61</v>
      </c>
      <c r="F58">
        <f t="shared" si="2"/>
        <v>44.6175</v>
      </c>
      <c r="G58">
        <f t="shared" si="4"/>
        <v>45.086800000000004</v>
      </c>
      <c r="I58">
        <f t="shared" si="3"/>
        <v>0.44277682390734269</v>
      </c>
      <c r="J58" s="8">
        <f t="shared" si="0"/>
        <v>45.503053647814689</v>
      </c>
      <c r="K58">
        <f t="shared" si="1"/>
        <v>43.731946352185311</v>
      </c>
      <c r="L58">
        <f t="shared" si="5"/>
        <v>45.086800000000004</v>
      </c>
      <c r="M58">
        <f t="shared" si="6"/>
        <v>45.086800000000004</v>
      </c>
    </row>
    <row r="59" spans="1:13" x14ac:dyDescent="0.25">
      <c r="A59" s="3">
        <v>45743</v>
      </c>
      <c r="B59">
        <v>44.57</v>
      </c>
      <c r="C59">
        <v>44.57</v>
      </c>
      <c r="D59">
        <v>44.57</v>
      </c>
      <c r="E59">
        <v>44.57</v>
      </c>
      <c r="F59">
        <f t="shared" si="2"/>
        <v>44.597000000000016</v>
      </c>
      <c r="G59">
        <f t="shared" si="4"/>
        <v>45.101600000000005</v>
      </c>
      <c r="I59">
        <f t="shared" si="3"/>
        <v>0.43452454355003789</v>
      </c>
      <c r="J59" s="8">
        <f t="shared" si="0"/>
        <v>45.466049087100089</v>
      </c>
      <c r="K59">
        <f t="shared" si="1"/>
        <v>43.727950912899942</v>
      </c>
      <c r="L59">
        <f t="shared" si="5"/>
        <v>45.101600000000005</v>
      </c>
      <c r="M59">
        <f t="shared" si="6"/>
        <v>45.101600000000005</v>
      </c>
    </row>
    <row r="60" spans="1:13" x14ac:dyDescent="0.25">
      <c r="A60" s="3">
        <v>45744</v>
      </c>
      <c r="B60">
        <v>44.03</v>
      </c>
      <c r="C60">
        <v>44.03</v>
      </c>
      <c r="D60">
        <v>44.03</v>
      </c>
      <c r="E60">
        <v>44.03</v>
      </c>
      <c r="F60">
        <f t="shared" si="2"/>
        <v>44.533000000000001</v>
      </c>
      <c r="G60">
        <f t="shared" si="4"/>
        <v>45.09340000000001</v>
      </c>
      <c r="I60">
        <f t="shared" si="3"/>
        <v>0.41792847537146338</v>
      </c>
      <c r="J60" s="8">
        <f t="shared" si="0"/>
        <v>45.368856950742931</v>
      </c>
      <c r="K60">
        <f t="shared" si="1"/>
        <v>43.697143049257072</v>
      </c>
      <c r="L60">
        <f t="shared" si="5"/>
        <v>45.09340000000001</v>
      </c>
      <c r="M60">
        <f t="shared" si="6"/>
        <v>45.09340000000001</v>
      </c>
    </row>
    <row r="61" spans="1:13" x14ac:dyDescent="0.25">
      <c r="A61" s="3">
        <v>45747</v>
      </c>
      <c r="B61">
        <v>44.03</v>
      </c>
      <c r="C61">
        <v>44.03</v>
      </c>
      <c r="D61">
        <v>44.03</v>
      </c>
      <c r="E61">
        <v>44.03</v>
      </c>
      <c r="F61">
        <f t="shared" si="2"/>
        <v>44.488500000000009</v>
      </c>
      <c r="G61">
        <f t="shared" si="4"/>
        <v>45.084200000000017</v>
      </c>
      <c r="I61">
        <f t="shared" si="3"/>
        <v>0.4219163673675525</v>
      </c>
      <c r="J61" s="8">
        <f t="shared" si="0"/>
        <v>45.332332734735111</v>
      </c>
      <c r="K61">
        <f t="shared" si="1"/>
        <v>43.644667265264907</v>
      </c>
      <c r="L61">
        <f t="shared" si="5"/>
        <v>45.084200000000017</v>
      </c>
      <c r="M61">
        <f t="shared" si="6"/>
        <v>45.084200000000017</v>
      </c>
    </row>
    <row r="62" spans="1:13" x14ac:dyDescent="0.25">
      <c r="A62" s="3">
        <v>45748</v>
      </c>
      <c r="B62">
        <v>44.18</v>
      </c>
      <c r="C62">
        <v>44.18</v>
      </c>
      <c r="D62">
        <v>44.18</v>
      </c>
      <c r="E62">
        <v>44.18</v>
      </c>
      <c r="F62">
        <f t="shared" si="2"/>
        <v>44.464500000000001</v>
      </c>
      <c r="G62">
        <f t="shared" si="4"/>
        <v>45.072400000000016</v>
      </c>
      <c r="I62">
        <f t="shared" si="3"/>
        <v>0.42528597189977574</v>
      </c>
      <c r="J62" s="8">
        <f t="shared" si="0"/>
        <v>45.315071943799552</v>
      </c>
      <c r="K62">
        <f t="shared" si="1"/>
        <v>43.61392805620045</v>
      </c>
      <c r="L62">
        <f t="shared" si="5"/>
        <v>45.072400000000016</v>
      </c>
      <c r="M62">
        <f t="shared" si="6"/>
        <v>45.072400000000016</v>
      </c>
    </row>
    <row r="63" spans="1:13" x14ac:dyDescent="0.25">
      <c r="A63" s="3">
        <v>45749</v>
      </c>
      <c r="B63">
        <v>44.38</v>
      </c>
      <c r="C63">
        <v>44.38</v>
      </c>
      <c r="D63">
        <v>44.38</v>
      </c>
      <c r="E63">
        <v>44.38</v>
      </c>
      <c r="F63">
        <f t="shared" si="2"/>
        <v>44.422499999999999</v>
      </c>
      <c r="G63">
        <f t="shared" si="4"/>
        <v>45.055400000000006</v>
      </c>
      <c r="I63">
        <f t="shared" si="3"/>
        <v>0.38645317003691282</v>
      </c>
      <c r="J63" s="8">
        <f t="shared" si="0"/>
        <v>45.195406340073824</v>
      </c>
      <c r="K63">
        <f t="shared" si="1"/>
        <v>43.649593659926175</v>
      </c>
      <c r="L63">
        <f t="shared" si="5"/>
        <v>45.055400000000006</v>
      </c>
      <c r="M63">
        <f t="shared" si="6"/>
        <v>45.055400000000006</v>
      </c>
    </row>
    <row r="64" spans="1:13" x14ac:dyDescent="0.25">
      <c r="A64" s="3">
        <v>45750</v>
      </c>
      <c r="B64">
        <v>43.08</v>
      </c>
      <c r="C64">
        <v>43.08</v>
      </c>
      <c r="D64">
        <v>43.08</v>
      </c>
      <c r="E64">
        <v>43.08</v>
      </c>
      <c r="F64">
        <f t="shared" si="2"/>
        <v>44.341500000000003</v>
      </c>
      <c r="G64">
        <f t="shared" si="4"/>
        <v>45.010600000000004</v>
      </c>
      <c r="I64">
        <f t="shared" si="3"/>
        <v>0.48295444919785163</v>
      </c>
      <c r="J64" s="8">
        <f t="shared" si="0"/>
        <v>45.307408898395707</v>
      </c>
      <c r="K64">
        <f t="shared" si="1"/>
        <v>43.3755911016043</v>
      </c>
      <c r="L64">
        <f t="shared" si="5"/>
        <v>45.010600000000004</v>
      </c>
      <c r="M64">
        <f t="shared" si="6"/>
        <v>45.010600000000004</v>
      </c>
    </row>
    <row r="65" spans="1:13" x14ac:dyDescent="0.25">
      <c r="A65" s="3">
        <v>45751</v>
      </c>
      <c r="B65">
        <v>41.13</v>
      </c>
      <c r="C65">
        <v>41.13</v>
      </c>
      <c r="D65">
        <v>41.13</v>
      </c>
      <c r="E65">
        <v>41.13</v>
      </c>
      <c r="F65">
        <f t="shared" si="2"/>
        <v>44.152499999999996</v>
      </c>
      <c r="G65">
        <f t="shared" si="4"/>
        <v>44.923600000000008</v>
      </c>
      <c r="I65">
        <f t="shared" si="3"/>
        <v>0.84938909935627438</v>
      </c>
      <c r="J65" s="8">
        <f t="shared" si="0"/>
        <v>45.851278198712542</v>
      </c>
      <c r="K65">
        <f t="shared" si="1"/>
        <v>42.45372180128745</v>
      </c>
      <c r="L65">
        <f t="shared" si="5"/>
        <v>44.923600000000008</v>
      </c>
      <c r="M65">
        <f t="shared" si="6"/>
        <v>44.923600000000008</v>
      </c>
    </row>
    <row r="66" spans="1:13" x14ac:dyDescent="0.25">
      <c r="A66" s="3">
        <v>45754</v>
      </c>
      <c r="B66">
        <v>40.65</v>
      </c>
      <c r="C66">
        <v>40.65</v>
      </c>
      <c r="D66">
        <v>40.65</v>
      </c>
      <c r="E66">
        <v>40.65</v>
      </c>
      <c r="F66">
        <f t="shared" si="2"/>
        <v>43.983499999999999</v>
      </c>
      <c r="G66">
        <f t="shared" si="4"/>
        <v>44.826400000000007</v>
      </c>
      <c r="I66">
        <f t="shared" si="3"/>
        <v>1.1559697455520102</v>
      </c>
      <c r="J66" s="8">
        <f t="shared" ref="J66:J129" si="7">F66 +I66*2</f>
        <v>46.29543949110402</v>
      </c>
      <c r="K66">
        <f t="shared" ref="K66:K129" si="8">F66-I66*2</f>
        <v>41.671560508895979</v>
      </c>
      <c r="L66">
        <f t="shared" si="5"/>
        <v>44.826400000000007</v>
      </c>
      <c r="M66">
        <f t="shared" si="6"/>
        <v>44.826400000000007</v>
      </c>
    </row>
    <row r="67" spans="1:13" x14ac:dyDescent="0.25">
      <c r="A67" s="3">
        <v>45755</v>
      </c>
      <c r="B67">
        <v>40.21</v>
      </c>
      <c r="C67">
        <v>40.21</v>
      </c>
      <c r="D67">
        <v>40.21</v>
      </c>
      <c r="E67">
        <v>40.21</v>
      </c>
      <c r="F67">
        <f t="shared" si="2"/>
        <v>43.801000000000002</v>
      </c>
      <c r="G67">
        <f t="shared" si="4"/>
        <v>44.727800000000009</v>
      </c>
      <c r="I67">
        <f t="shared" si="3"/>
        <v>1.4317265984228897</v>
      </c>
      <c r="J67" s="8">
        <f t="shared" si="7"/>
        <v>46.664453196845784</v>
      </c>
      <c r="K67">
        <f t="shared" si="8"/>
        <v>40.93754680315422</v>
      </c>
      <c r="L67">
        <f t="shared" si="5"/>
        <v>44.727800000000009</v>
      </c>
      <c r="M67">
        <f t="shared" si="6"/>
        <v>44.727800000000009</v>
      </c>
    </row>
    <row r="68" spans="1:13" x14ac:dyDescent="0.25">
      <c r="A68" s="3">
        <v>45756</v>
      </c>
      <c r="B68">
        <v>42.67</v>
      </c>
      <c r="C68">
        <v>42.67</v>
      </c>
      <c r="D68">
        <v>42.67</v>
      </c>
      <c r="E68">
        <v>42.67</v>
      </c>
      <c r="F68">
        <f t="shared" si="2"/>
        <v>43.732499999999995</v>
      </c>
      <c r="G68">
        <f t="shared" si="4"/>
        <v>44.674000000000014</v>
      </c>
      <c r="I68">
        <f t="shared" si="3"/>
        <v>1.4523153021441677</v>
      </c>
      <c r="J68" s="8">
        <f t="shared" si="7"/>
        <v>46.63713060428833</v>
      </c>
      <c r="K68">
        <f t="shared" si="8"/>
        <v>40.827869395711659</v>
      </c>
      <c r="L68">
        <f t="shared" si="5"/>
        <v>44.674000000000014</v>
      </c>
      <c r="M68">
        <f t="shared" si="6"/>
        <v>44.674000000000014</v>
      </c>
    </row>
    <row r="69" spans="1:13" x14ac:dyDescent="0.25">
      <c r="A69" s="3">
        <v>45757</v>
      </c>
      <c r="B69">
        <v>41.81</v>
      </c>
      <c r="C69">
        <v>41.81</v>
      </c>
      <c r="D69">
        <v>41.81</v>
      </c>
      <c r="E69">
        <v>41.81</v>
      </c>
      <c r="F69">
        <f t="shared" si="2"/>
        <v>43.64</v>
      </c>
      <c r="G69">
        <f t="shared" si="4"/>
        <v>44.605200000000004</v>
      </c>
      <c r="I69">
        <f t="shared" si="3"/>
        <v>1.5147485460942802</v>
      </c>
      <c r="J69" s="8">
        <f t="shared" si="7"/>
        <v>46.669497092188564</v>
      </c>
      <c r="K69">
        <f t="shared" si="8"/>
        <v>40.610502907811437</v>
      </c>
      <c r="L69">
        <f t="shared" si="5"/>
        <v>44.605200000000004</v>
      </c>
      <c r="M69">
        <f t="shared" si="6"/>
        <v>44.605200000000004</v>
      </c>
    </row>
    <row r="70" spans="1:13" x14ac:dyDescent="0.25">
      <c r="A70" s="3">
        <v>45758</v>
      </c>
      <c r="B70">
        <v>42.47</v>
      </c>
      <c r="C70">
        <v>42.47</v>
      </c>
      <c r="D70">
        <v>42.47</v>
      </c>
      <c r="E70">
        <v>42.47</v>
      </c>
      <c r="F70">
        <f t="shared" si="2"/>
        <v>43.546499999999995</v>
      </c>
      <c r="G70">
        <f t="shared" si="4"/>
        <v>44.543199999999999</v>
      </c>
      <c r="I70">
        <f t="shared" si="3"/>
        <v>1.5269311327661526</v>
      </c>
      <c r="J70" s="8">
        <f t="shared" si="7"/>
        <v>46.600362265532297</v>
      </c>
      <c r="K70">
        <f t="shared" si="8"/>
        <v>40.492637734467692</v>
      </c>
      <c r="L70">
        <f t="shared" si="5"/>
        <v>44.543199999999999</v>
      </c>
      <c r="M70">
        <f t="shared" si="6"/>
        <v>44.543199999999999</v>
      </c>
    </row>
    <row r="71" spans="1:13" x14ac:dyDescent="0.25">
      <c r="A71" s="3">
        <v>45761</v>
      </c>
      <c r="B71">
        <v>42.87</v>
      </c>
      <c r="C71">
        <v>42.87</v>
      </c>
      <c r="D71">
        <v>42.87</v>
      </c>
      <c r="E71">
        <v>42.87</v>
      </c>
      <c r="F71">
        <f t="shared" si="2"/>
        <v>43.455500000000001</v>
      </c>
      <c r="G71">
        <f t="shared" si="4"/>
        <v>44.494</v>
      </c>
      <c r="I71">
        <f t="shared" si="3"/>
        <v>1.509327054648772</v>
      </c>
      <c r="J71" s="8">
        <f t="shared" si="7"/>
        <v>46.474154109297544</v>
      </c>
      <c r="K71">
        <f t="shared" si="8"/>
        <v>40.436845890702457</v>
      </c>
      <c r="L71">
        <f t="shared" si="5"/>
        <v>44.494</v>
      </c>
      <c r="M71">
        <f t="shared" si="6"/>
        <v>44.494</v>
      </c>
    </row>
    <row r="72" spans="1:13" x14ac:dyDescent="0.25">
      <c r="A72" s="3">
        <v>45762</v>
      </c>
      <c r="B72">
        <v>42.93</v>
      </c>
      <c r="C72">
        <v>42.93</v>
      </c>
      <c r="D72">
        <v>42.93</v>
      </c>
      <c r="E72">
        <v>42.93</v>
      </c>
      <c r="F72">
        <f t="shared" si="2"/>
        <v>43.378</v>
      </c>
      <c r="G72">
        <f t="shared" si="4"/>
        <v>44.452199999999991</v>
      </c>
      <c r="I72">
        <f t="shared" si="3"/>
        <v>1.4936659247424915</v>
      </c>
      <c r="J72" s="8">
        <f t="shared" si="7"/>
        <v>46.365331849484981</v>
      </c>
      <c r="K72">
        <f t="shared" si="8"/>
        <v>40.390668150515019</v>
      </c>
      <c r="L72">
        <f t="shared" si="5"/>
        <v>44.452199999999991</v>
      </c>
      <c r="M72">
        <f t="shared" si="6"/>
        <v>44.452199999999991</v>
      </c>
    </row>
    <row r="73" spans="1:13" x14ac:dyDescent="0.25">
      <c r="A73" s="3">
        <v>45763</v>
      </c>
      <c r="B73">
        <v>42.46</v>
      </c>
      <c r="C73">
        <v>42.46</v>
      </c>
      <c r="D73">
        <v>42.46</v>
      </c>
      <c r="E73">
        <v>42.46</v>
      </c>
      <c r="F73">
        <f t="shared" si="2"/>
        <v>43.262</v>
      </c>
      <c r="G73">
        <f t="shared" si="4"/>
        <v>44.393999999999998</v>
      </c>
      <c r="I73">
        <f t="shared" si="3"/>
        <v>1.4689366006884386</v>
      </c>
      <c r="J73" s="8">
        <f t="shared" si="7"/>
        <v>46.199873201376874</v>
      </c>
      <c r="K73">
        <f t="shared" si="8"/>
        <v>40.324126798623126</v>
      </c>
      <c r="L73">
        <f t="shared" si="5"/>
        <v>44.393999999999998</v>
      </c>
      <c r="M73">
        <f t="shared" si="6"/>
        <v>44.393999999999998</v>
      </c>
    </row>
    <row r="74" spans="1:13" x14ac:dyDescent="0.25">
      <c r="A74" s="3">
        <v>45764</v>
      </c>
      <c r="B74">
        <v>42.46</v>
      </c>
      <c r="C74">
        <v>42.46</v>
      </c>
      <c r="D74">
        <v>42.46</v>
      </c>
      <c r="E74">
        <v>42.46</v>
      </c>
      <c r="F74">
        <f t="shared" si="2"/>
        <v>43.152999999999999</v>
      </c>
      <c r="G74">
        <f t="shared" si="4"/>
        <v>44.331000000000003</v>
      </c>
      <c r="I74">
        <f t="shared" si="3"/>
        <v>1.4419361983111458</v>
      </c>
      <c r="J74" s="8">
        <f t="shared" si="7"/>
        <v>46.036872396622293</v>
      </c>
      <c r="K74">
        <f t="shared" si="8"/>
        <v>40.269127603377704</v>
      </c>
      <c r="L74">
        <f t="shared" si="5"/>
        <v>44.331000000000003</v>
      </c>
      <c r="M74">
        <f t="shared" si="6"/>
        <v>44.331000000000003</v>
      </c>
    </row>
    <row r="75" spans="1:13" x14ac:dyDescent="0.25">
      <c r="A75" s="3">
        <v>45768</v>
      </c>
      <c r="B75">
        <v>42.14</v>
      </c>
      <c r="C75">
        <v>42.14</v>
      </c>
      <c r="D75">
        <v>42.14</v>
      </c>
      <c r="E75">
        <v>42.14</v>
      </c>
      <c r="F75">
        <f t="shared" si="2"/>
        <v>43.031999999999996</v>
      </c>
      <c r="G75">
        <f t="shared" si="4"/>
        <v>44.259399999999999</v>
      </c>
      <c r="I75">
        <f t="shared" si="3"/>
        <v>1.4190085493603959</v>
      </c>
      <c r="J75" s="8">
        <f t="shared" si="7"/>
        <v>45.870017098720787</v>
      </c>
      <c r="K75">
        <f t="shared" si="8"/>
        <v>40.193982901279206</v>
      </c>
      <c r="L75">
        <f t="shared" si="5"/>
        <v>44.259399999999999</v>
      </c>
      <c r="M75">
        <f t="shared" si="6"/>
        <v>44.259399999999999</v>
      </c>
    </row>
    <row r="76" spans="1:13" x14ac:dyDescent="0.25">
      <c r="A76" s="3">
        <v>45769</v>
      </c>
      <c r="B76">
        <v>42.85</v>
      </c>
      <c r="C76">
        <v>42.85</v>
      </c>
      <c r="D76">
        <v>42.85</v>
      </c>
      <c r="E76">
        <v>42.85</v>
      </c>
      <c r="F76">
        <f t="shared" si="2"/>
        <v>42.927</v>
      </c>
      <c r="G76">
        <f t="shared" si="4"/>
        <v>44.207999999999998</v>
      </c>
      <c r="I76">
        <f t="shared" si="3"/>
        <v>1.3454019160791593</v>
      </c>
      <c r="J76" s="8">
        <f t="shared" si="7"/>
        <v>45.617803832158316</v>
      </c>
      <c r="K76">
        <f t="shared" si="8"/>
        <v>40.236196167841683</v>
      </c>
      <c r="L76">
        <f t="shared" si="5"/>
        <v>44.207999999999998</v>
      </c>
      <c r="M76">
        <f t="shared" si="6"/>
        <v>44.207999999999998</v>
      </c>
    </row>
    <row r="77" spans="1:13" x14ac:dyDescent="0.25">
      <c r="A77" s="3">
        <v>45770</v>
      </c>
      <c r="B77">
        <v>43.27</v>
      </c>
      <c r="C77">
        <v>43.27</v>
      </c>
      <c r="D77">
        <v>43.27</v>
      </c>
      <c r="E77">
        <v>43.27</v>
      </c>
      <c r="F77">
        <f t="shared" si="2"/>
        <v>42.839999999999996</v>
      </c>
      <c r="G77">
        <f t="shared" si="4"/>
        <v>44.160400000000003</v>
      </c>
      <c r="I77">
        <f t="shared" si="3"/>
        <v>1.2569679475040847</v>
      </c>
      <c r="J77" s="8">
        <f t="shared" si="7"/>
        <v>45.353935895008163</v>
      </c>
      <c r="K77">
        <f t="shared" si="8"/>
        <v>40.326064104991829</v>
      </c>
      <c r="L77">
        <f t="shared" si="5"/>
        <v>44.160400000000003</v>
      </c>
      <c r="M77">
        <f t="shared" si="6"/>
        <v>44.160400000000003</v>
      </c>
    </row>
    <row r="78" spans="1:13" x14ac:dyDescent="0.25">
      <c r="A78" s="3">
        <v>45771</v>
      </c>
      <c r="B78">
        <v>43.92</v>
      </c>
      <c r="C78">
        <v>43.92</v>
      </c>
      <c r="D78">
        <v>43.92</v>
      </c>
      <c r="E78">
        <v>43.92</v>
      </c>
      <c r="F78">
        <f t="shared" si="2"/>
        <v>42.805499999999995</v>
      </c>
      <c r="G78">
        <f t="shared" si="4"/>
        <v>44.126000000000005</v>
      </c>
      <c r="I78">
        <f t="shared" si="3"/>
        <v>1.2145845076880364</v>
      </c>
      <c r="J78" s="8">
        <f t="shared" si="7"/>
        <v>45.23466901537607</v>
      </c>
      <c r="K78">
        <f t="shared" si="8"/>
        <v>40.37633098462392</v>
      </c>
      <c r="L78">
        <f t="shared" si="5"/>
        <v>44.126000000000005</v>
      </c>
      <c r="M78">
        <f t="shared" si="6"/>
        <v>44.126000000000005</v>
      </c>
    </row>
    <row r="79" spans="1:13" x14ac:dyDescent="0.25">
      <c r="A79" s="3">
        <v>45772</v>
      </c>
      <c r="B79">
        <v>44.08</v>
      </c>
      <c r="C79">
        <v>44.08</v>
      </c>
      <c r="D79">
        <v>44.08</v>
      </c>
      <c r="E79">
        <v>44.08</v>
      </c>
      <c r="F79">
        <f t="shared" si="2"/>
        <v>42.780999999999999</v>
      </c>
      <c r="G79">
        <f t="shared" si="4"/>
        <v>44.096600000000009</v>
      </c>
      <c r="I79">
        <f t="shared" si="3"/>
        <v>1.1816130812089931</v>
      </c>
      <c r="J79" s="8">
        <f t="shared" si="7"/>
        <v>45.144226162417986</v>
      </c>
      <c r="K79">
        <f t="shared" si="8"/>
        <v>40.417773837582011</v>
      </c>
      <c r="L79">
        <f t="shared" si="5"/>
        <v>44.096600000000009</v>
      </c>
      <c r="M79">
        <f t="shared" si="6"/>
        <v>44.096600000000009</v>
      </c>
    </row>
    <row r="80" spans="1:13" x14ac:dyDescent="0.25">
      <c r="A80" s="3">
        <v>45775</v>
      </c>
      <c r="B80">
        <v>44.22</v>
      </c>
      <c r="C80">
        <v>44.22</v>
      </c>
      <c r="D80">
        <v>44.22</v>
      </c>
      <c r="E80">
        <v>44.22</v>
      </c>
      <c r="F80">
        <f t="shared" si="2"/>
        <v>42.790500000000002</v>
      </c>
      <c r="G80">
        <f t="shared" si="4"/>
        <v>44.061200000000007</v>
      </c>
      <c r="I80">
        <f t="shared" si="3"/>
        <v>1.19289332032844</v>
      </c>
      <c r="J80" s="8">
        <f t="shared" si="7"/>
        <v>45.176286640656883</v>
      </c>
      <c r="K80">
        <f t="shared" si="8"/>
        <v>40.40471335934312</v>
      </c>
      <c r="L80">
        <f t="shared" si="5"/>
        <v>44.061200000000007</v>
      </c>
      <c r="M80">
        <f t="shared" si="6"/>
        <v>44.061200000000007</v>
      </c>
    </row>
    <row r="81" spans="1:13" x14ac:dyDescent="0.25">
      <c r="A81" s="3">
        <v>45776</v>
      </c>
      <c r="B81">
        <v>44.38</v>
      </c>
      <c r="C81">
        <v>44.38</v>
      </c>
      <c r="D81">
        <v>44.38</v>
      </c>
      <c r="E81">
        <v>44.38</v>
      </c>
      <c r="F81">
        <f t="shared" si="2"/>
        <v>42.808000000000007</v>
      </c>
      <c r="G81">
        <f t="shared" si="4"/>
        <v>44.028199999999998</v>
      </c>
      <c r="I81">
        <f t="shared" si="3"/>
        <v>1.2144073711724146</v>
      </c>
      <c r="J81" s="8">
        <f t="shared" si="7"/>
        <v>45.236814742344833</v>
      </c>
      <c r="K81">
        <f t="shared" si="8"/>
        <v>40.37918525765518</v>
      </c>
      <c r="L81">
        <f t="shared" si="5"/>
        <v>44.028199999999998</v>
      </c>
      <c r="M81">
        <f t="shared" si="6"/>
        <v>44.028199999999998</v>
      </c>
    </row>
    <row r="82" spans="1:13" x14ac:dyDescent="0.25">
      <c r="A82" s="3">
        <v>45777</v>
      </c>
      <c r="B82">
        <v>44.44</v>
      </c>
      <c r="C82">
        <v>44.44</v>
      </c>
      <c r="D82">
        <v>44.44</v>
      </c>
      <c r="E82">
        <v>44.44</v>
      </c>
      <c r="F82">
        <f t="shared" si="2"/>
        <v>42.821000000000005</v>
      </c>
      <c r="G82">
        <f t="shared" si="4"/>
        <v>43.993800000000007</v>
      </c>
      <c r="I82">
        <f t="shared" si="3"/>
        <v>1.2311436702684642</v>
      </c>
      <c r="J82" s="8">
        <f t="shared" si="7"/>
        <v>45.28328734053693</v>
      </c>
      <c r="K82">
        <f t="shared" si="8"/>
        <v>40.35871265946308</v>
      </c>
      <c r="L82">
        <f t="shared" si="5"/>
        <v>43.993800000000007</v>
      </c>
      <c r="M82">
        <f t="shared" si="6"/>
        <v>43.993800000000007</v>
      </c>
    </row>
    <row r="83" spans="1:13" x14ac:dyDescent="0.25">
      <c r="A83" s="3">
        <v>45778</v>
      </c>
      <c r="B83">
        <v>44.5</v>
      </c>
      <c r="C83">
        <v>44.5</v>
      </c>
      <c r="D83">
        <v>44.5</v>
      </c>
      <c r="E83">
        <v>44.5</v>
      </c>
      <c r="F83">
        <f t="shared" si="2"/>
        <v>42.826999999999998</v>
      </c>
      <c r="G83">
        <f t="shared" si="4"/>
        <v>43.961800000000004</v>
      </c>
      <c r="I83">
        <f t="shared" si="3"/>
        <v>1.2394060546975925</v>
      </c>
      <c r="J83" s="8">
        <f t="shared" si="7"/>
        <v>45.305812109395184</v>
      </c>
      <c r="K83">
        <f t="shared" si="8"/>
        <v>40.348187890604812</v>
      </c>
      <c r="L83">
        <f t="shared" si="5"/>
        <v>43.961800000000004</v>
      </c>
      <c r="M83">
        <f t="shared" si="6"/>
        <v>43.961800000000004</v>
      </c>
    </row>
    <row r="84" spans="1:13" x14ac:dyDescent="0.25">
      <c r="A84" s="3">
        <v>45779</v>
      </c>
      <c r="B84">
        <v>45.06</v>
      </c>
      <c r="C84">
        <v>45.06</v>
      </c>
      <c r="D84">
        <v>45.06</v>
      </c>
      <c r="E84">
        <v>45.06</v>
      </c>
      <c r="F84">
        <f t="shared" si="2"/>
        <v>42.926000000000002</v>
      </c>
      <c r="G84">
        <f t="shared" si="4"/>
        <v>43.941600000000008</v>
      </c>
      <c r="I84">
        <f t="shared" si="3"/>
        <v>1.3359932240609762</v>
      </c>
      <c r="J84" s="8">
        <f t="shared" si="7"/>
        <v>45.597986448121958</v>
      </c>
      <c r="K84">
        <f t="shared" si="8"/>
        <v>40.254013551878046</v>
      </c>
      <c r="L84">
        <f t="shared" si="5"/>
        <v>43.941600000000008</v>
      </c>
      <c r="M84">
        <f t="shared" si="6"/>
        <v>43.941600000000008</v>
      </c>
    </row>
    <row r="85" spans="1:13" x14ac:dyDescent="0.25">
      <c r="A85" s="3">
        <v>45782</v>
      </c>
      <c r="B85">
        <v>44.92</v>
      </c>
      <c r="C85">
        <v>44.92</v>
      </c>
      <c r="D85">
        <v>44.92</v>
      </c>
      <c r="E85">
        <v>44.92</v>
      </c>
      <c r="F85">
        <f t="shared" si="2"/>
        <v>43.11549999999999</v>
      </c>
      <c r="G85">
        <f t="shared" si="4"/>
        <v>43.928200000000004</v>
      </c>
      <c r="I85">
        <f t="shared" si="3"/>
        <v>1.3366276299151654</v>
      </c>
      <c r="J85" s="8">
        <f t="shared" si="7"/>
        <v>45.788755259830324</v>
      </c>
      <c r="K85">
        <f t="shared" si="8"/>
        <v>40.442244740169656</v>
      </c>
      <c r="L85">
        <f t="shared" si="5"/>
        <v>43.928200000000004</v>
      </c>
      <c r="M85">
        <f t="shared" si="6"/>
        <v>43.928200000000004</v>
      </c>
    </row>
    <row r="86" spans="1:13" x14ac:dyDescent="0.25">
      <c r="A86" s="3">
        <v>45783</v>
      </c>
      <c r="B86">
        <v>44.77</v>
      </c>
      <c r="C86">
        <v>44.77</v>
      </c>
      <c r="D86">
        <v>44.77</v>
      </c>
      <c r="E86">
        <v>44.77</v>
      </c>
      <c r="F86">
        <f t="shared" ref="F86:F149" si="9">AVERAGE(E67:E86)</f>
        <v>43.3215</v>
      </c>
      <c r="G86">
        <f t="shared" si="4"/>
        <v>43.915400000000005</v>
      </c>
      <c r="I86">
        <f t="shared" ref="I86:I149" si="10">_xlfn.STDEV.S(E67:E86)</f>
        <v>1.2514171966214944</v>
      </c>
      <c r="J86" s="8">
        <f t="shared" si="7"/>
        <v>45.824334393242992</v>
      </c>
      <c r="K86">
        <f t="shared" si="8"/>
        <v>40.818665606757008</v>
      </c>
      <c r="L86">
        <f t="shared" si="5"/>
        <v>43.915400000000005</v>
      </c>
      <c r="M86">
        <f t="shared" si="6"/>
        <v>43.915400000000005</v>
      </c>
    </row>
    <row r="87" spans="1:13" x14ac:dyDescent="0.25">
      <c r="A87" s="3">
        <v>45784</v>
      </c>
      <c r="B87">
        <v>44.77</v>
      </c>
      <c r="C87">
        <v>44.77</v>
      </c>
      <c r="D87">
        <v>44.77</v>
      </c>
      <c r="E87">
        <v>44.77</v>
      </c>
      <c r="F87">
        <f t="shared" si="9"/>
        <v>43.549499999999995</v>
      </c>
      <c r="G87">
        <f t="shared" si="4"/>
        <v>43.902200000000022</v>
      </c>
      <c r="I87">
        <f t="shared" si="10"/>
        <v>1.0546113028030755</v>
      </c>
      <c r="J87" s="8">
        <f t="shared" si="7"/>
        <v>45.658722605606144</v>
      </c>
      <c r="K87">
        <f t="shared" si="8"/>
        <v>41.440277394393846</v>
      </c>
      <c r="L87">
        <f t="shared" si="5"/>
        <v>43.902200000000022</v>
      </c>
      <c r="M87">
        <f t="shared" si="6"/>
        <v>43.902200000000022</v>
      </c>
    </row>
    <row r="88" spans="1:13" x14ac:dyDescent="0.25">
      <c r="A88" s="3">
        <v>45785</v>
      </c>
      <c r="B88">
        <v>44.9</v>
      </c>
      <c r="C88">
        <v>44.9</v>
      </c>
      <c r="D88">
        <v>44.9</v>
      </c>
      <c r="E88">
        <v>44.9</v>
      </c>
      <c r="F88">
        <f t="shared" si="9"/>
        <v>43.660999999999987</v>
      </c>
      <c r="G88">
        <f t="shared" si="4"/>
        <v>43.890000000000008</v>
      </c>
      <c r="I88">
        <f t="shared" si="10"/>
        <v>1.0744295916291682</v>
      </c>
      <c r="J88" s="8">
        <f t="shared" si="7"/>
        <v>45.809859183258325</v>
      </c>
      <c r="K88">
        <f t="shared" si="8"/>
        <v>41.512140816741649</v>
      </c>
      <c r="L88">
        <f t="shared" si="5"/>
        <v>43.890000000000008</v>
      </c>
      <c r="M88">
        <f t="shared" si="6"/>
        <v>43.890000000000008</v>
      </c>
    </row>
    <row r="89" spans="1:13" x14ac:dyDescent="0.25">
      <c r="A89" s="3">
        <v>45786</v>
      </c>
      <c r="B89">
        <v>44.98</v>
      </c>
      <c r="C89">
        <v>44.98</v>
      </c>
      <c r="D89">
        <v>44.98</v>
      </c>
      <c r="E89">
        <v>44.98</v>
      </c>
      <c r="F89">
        <f t="shared" si="9"/>
        <v>43.819499999999991</v>
      </c>
      <c r="G89">
        <f t="shared" si="4"/>
        <v>43.890000000000015</v>
      </c>
      <c r="I89">
        <f t="shared" si="10"/>
        <v>1.0194088844444171</v>
      </c>
      <c r="J89" s="8">
        <f t="shared" si="7"/>
        <v>45.858317768888824</v>
      </c>
      <c r="K89">
        <f t="shared" si="8"/>
        <v>41.780682231111157</v>
      </c>
      <c r="L89">
        <f t="shared" si="5"/>
        <v>43.890000000000015</v>
      </c>
      <c r="M89">
        <f t="shared" si="6"/>
        <v>43.890000000000015</v>
      </c>
    </row>
    <row r="90" spans="1:13" x14ac:dyDescent="0.25">
      <c r="A90" s="3">
        <v>45789</v>
      </c>
      <c r="B90">
        <v>45.81</v>
      </c>
      <c r="C90">
        <v>45.81</v>
      </c>
      <c r="D90">
        <v>45.81</v>
      </c>
      <c r="E90">
        <v>45.81</v>
      </c>
      <c r="F90">
        <f t="shared" si="9"/>
        <v>43.986499999999992</v>
      </c>
      <c r="G90">
        <f t="shared" si="4"/>
        <v>43.900000000000006</v>
      </c>
      <c r="I90">
        <f t="shared" si="10"/>
        <v>1.0594898226082812</v>
      </c>
      <c r="J90" s="8">
        <f t="shared" si="7"/>
        <v>46.105479645216555</v>
      </c>
      <c r="K90">
        <f t="shared" si="8"/>
        <v>41.86752035478343</v>
      </c>
      <c r="L90">
        <f t="shared" si="5"/>
        <v>43.900000000000006</v>
      </c>
      <c r="M90">
        <f t="shared" si="6"/>
        <v>43.900000000000006</v>
      </c>
    </row>
    <row r="91" spans="1:13" x14ac:dyDescent="0.25">
      <c r="A91" s="3">
        <v>45790</v>
      </c>
      <c r="B91">
        <v>46.02</v>
      </c>
      <c r="C91">
        <v>46.02</v>
      </c>
      <c r="D91">
        <v>46.02</v>
      </c>
      <c r="E91">
        <v>46.02</v>
      </c>
      <c r="F91">
        <f t="shared" si="9"/>
        <v>44.143999999999991</v>
      </c>
      <c r="G91">
        <f t="shared" si="4"/>
        <v>43.922000000000004</v>
      </c>
      <c r="I91">
        <f t="shared" si="10"/>
        <v>1.1173342335548859</v>
      </c>
      <c r="J91" s="8">
        <f t="shared" si="7"/>
        <v>46.378668467109762</v>
      </c>
      <c r="K91">
        <f t="shared" si="8"/>
        <v>41.909331532890221</v>
      </c>
      <c r="L91">
        <f t="shared" si="5"/>
        <v>43.922000000000004</v>
      </c>
      <c r="M91">
        <f t="shared" si="6"/>
        <v>43.922000000000004</v>
      </c>
    </row>
    <row r="92" spans="1:13" x14ac:dyDescent="0.25">
      <c r="A92" s="3">
        <v>45791</v>
      </c>
      <c r="B92">
        <v>45.97</v>
      </c>
      <c r="C92">
        <v>45.97</v>
      </c>
      <c r="D92">
        <v>45.97</v>
      </c>
      <c r="E92">
        <v>45.97</v>
      </c>
      <c r="F92">
        <f t="shared" si="9"/>
        <v>44.295999999999992</v>
      </c>
      <c r="G92">
        <f t="shared" si="4"/>
        <v>43.948200000000007</v>
      </c>
      <c r="I92">
        <f t="shared" si="10"/>
        <v>1.1497981516221376</v>
      </c>
      <c r="J92" s="8">
        <f t="shared" si="7"/>
        <v>46.595596303244264</v>
      </c>
      <c r="K92">
        <f t="shared" si="8"/>
        <v>41.996403696755721</v>
      </c>
      <c r="L92">
        <f t="shared" si="5"/>
        <v>43.948200000000007</v>
      </c>
      <c r="M92">
        <f t="shared" si="6"/>
        <v>43.948200000000007</v>
      </c>
    </row>
    <row r="93" spans="1:13" x14ac:dyDescent="0.25">
      <c r="A93" s="3">
        <v>45792</v>
      </c>
      <c r="B93">
        <v>46.22</v>
      </c>
      <c r="C93">
        <v>46.22</v>
      </c>
      <c r="D93">
        <v>46.22</v>
      </c>
      <c r="E93">
        <v>46.22</v>
      </c>
      <c r="F93">
        <f t="shared" si="9"/>
        <v>44.483999999999995</v>
      </c>
      <c r="G93">
        <f t="shared" si="4"/>
        <v>43.968199999999996</v>
      </c>
      <c r="I93">
        <f t="shared" si="10"/>
        <v>1.1411600745686263</v>
      </c>
      <c r="J93" s="8">
        <f t="shared" si="7"/>
        <v>46.76632014913725</v>
      </c>
      <c r="K93">
        <f t="shared" si="8"/>
        <v>42.201679850862739</v>
      </c>
      <c r="L93">
        <f t="shared" si="5"/>
        <v>43.968199999999996</v>
      </c>
      <c r="M93">
        <f t="shared" si="6"/>
        <v>43.968199999999996</v>
      </c>
    </row>
    <row r="94" spans="1:13" x14ac:dyDescent="0.25">
      <c r="A94" s="3">
        <v>45793</v>
      </c>
      <c r="B94">
        <v>46.42</v>
      </c>
      <c r="C94">
        <v>46.42</v>
      </c>
      <c r="D94">
        <v>46.42</v>
      </c>
      <c r="E94">
        <v>46.42</v>
      </c>
      <c r="F94">
        <f t="shared" si="9"/>
        <v>44.682000000000002</v>
      </c>
      <c r="G94">
        <f t="shared" si="4"/>
        <v>44.002600000000001</v>
      </c>
      <c r="I94">
        <f t="shared" si="10"/>
        <v>1.1147366930072957</v>
      </c>
      <c r="J94" s="8">
        <f t="shared" si="7"/>
        <v>46.911473386014592</v>
      </c>
      <c r="K94">
        <f t="shared" si="8"/>
        <v>42.452526613985412</v>
      </c>
      <c r="L94">
        <f t="shared" si="5"/>
        <v>44.002600000000001</v>
      </c>
      <c r="M94">
        <f t="shared" si="6"/>
        <v>44.002600000000001</v>
      </c>
    </row>
    <row r="95" spans="1:13" x14ac:dyDescent="0.25">
      <c r="A95" s="3">
        <v>45796</v>
      </c>
      <c r="B95">
        <v>46.52</v>
      </c>
      <c r="C95">
        <v>46.52</v>
      </c>
      <c r="D95">
        <v>46.52</v>
      </c>
      <c r="E95">
        <v>46.52</v>
      </c>
      <c r="F95">
        <f t="shared" si="9"/>
        <v>44.901000000000003</v>
      </c>
      <c r="G95">
        <f t="shared" si="4"/>
        <v>44.034799999999997</v>
      </c>
      <c r="I95">
        <f t="shared" si="10"/>
        <v>1.0148212183745264</v>
      </c>
      <c r="J95" s="8">
        <f t="shared" si="7"/>
        <v>46.930642436749054</v>
      </c>
      <c r="K95">
        <f t="shared" si="8"/>
        <v>42.871357563250953</v>
      </c>
      <c r="L95">
        <f t="shared" si="5"/>
        <v>44.034799999999997</v>
      </c>
      <c r="M95">
        <f t="shared" si="6"/>
        <v>44.034799999999997</v>
      </c>
    </row>
    <row r="96" spans="1:13" x14ac:dyDescent="0.25">
      <c r="A96" s="3">
        <v>45797</v>
      </c>
      <c r="B96">
        <v>46.45</v>
      </c>
      <c r="C96">
        <v>46.45</v>
      </c>
      <c r="D96">
        <v>46.45</v>
      </c>
      <c r="E96">
        <v>46.45</v>
      </c>
      <c r="F96">
        <f t="shared" si="9"/>
        <v>45.081000000000003</v>
      </c>
      <c r="G96">
        <f t="shared" si="4"/>
        <v>44.083199999999998</v>
      </c>
      <c r="I96">
        <f t="shared" si="10"/>
        <v>0.9490211023109969</v>
      </c>
      <c r="J96" s="8">
        <f t="shared" si="7"/>
        <v>46.979042204621997</v>
      </c>
      <c r="K96">
        <f t="shared" si="8"/>
        <v>43.182957795378009</v>
      </c>
      <c r="L96">
        <f t="shared" si="5"/>
        <v>44.083199999999998</v>
      </c>
      <c r="M96">
        <f t="shared" si="6"/>
        <v>44.083199999999998</v>
      </c>
    </row>
    <row r="97" spans="1:13" x14ac:dyDescent="0.25">
      <c r="A97" s="3">
        <v>45798</v>
      </c>
      <c r="B97">
        <v>45.96</v>
      </c>
      <c r="C97">
        <v>45.96</v>
      </c>
      <c r="D97">
        <v>45.96</v>
      </c>
      <c r="E97">
        <v>45.96</v>
      </c>
      <c r="F97">
        <f t="shared" si="9"/>
        <v>45.215500000000006</v>
      </c>
      <c r="G97">
        <f t="shared" si="4"/>
        <v>44.125200000000007</v>
      </c>
      <c r="I97">
        <f t="shared" si="10"/>
        <v>0.86582163594077455</v>
      </c>
      <c r="J97" s="8">
        <f t="shared" si="7"/>
        <v>46.947143271881558</v>
      </c>
      <c r="K97">
        <f t="shared" si="8"/>
        <v>43.483856728118454</v>
      </c>
      <c r="L97">
        <f t="shared" si="5"/>
        <v>44.125200000000007</v>
      </c>
      <c r="M97">
        <f t="shared" si="6"/>
        <v>44.125200000000007</v>
      </c>
    </row>
    <row r="98" spans="1:13" x14ac:dyDescent="0.25">
      <c r="A98" s="3">
        <v>45799</v>
      </c>
      <c r="B98">
        <v>45.96</v>
      </c>
      <c r="C98">
        <v>45.96</v>
      </c>
      <c r="D98">
        <v>45.96</v>
      </c>
      <c r="E98">
        <v>45.96</v>
      </c>
      <c r="F98">
        <f t="shared" si="9"/>
        <v>45.317500000000003</v>
      </c>
      <c r="G98">
        <f t="shared" si="4"/>
        <v>44.163600000000002</v>
      </c>
      <c r="I98">
        <f t="shared" si="10"/>
        <v>0.8243394484772586</v>
      </c>
      <c r="J98" s="8">
        <f t="shared" si="7"/>
        <v>46.966178896954517</v>
      </c>
      <c r="K98">
        <f t="shared" si="8"/>
        <v>43.668821103045488</v>
      </c>
      <c r="L98">
        <f t="shared" si="5"/>
        <v>44.163600000000002</v>
      </c>
      <c r="M98">
        <f t="shared" si="6"/>
        <v>44.163600000000002</v>
      </c>
    </row>
    <row r="99" spans="1:13" x14ac:dyDescent="0.25">
      <c r="A99" s="3">
        <v>45800</v>
      </c>
      <c r="B99">
        <v>45.88</v>
      </c>
      <c r="C99">
        <v>45.88</v>
      </c>
      <c r="D99">
        <v>45.88</v>
      </c>
      <c r="E99">
        <v>45.88</v>
      </c>
      <c r="F99">
        <f t="shared" si="9"/>
        <v>45.407500000000006</v>
      </c>
      <c r="G99">
        <f t="shared" si="4"/>
        <v>44.208000000000013</v>
      </c>
      <c r="I99">
        <f t="shared" si="10"/>
        <v>0.77914173428540201</v>
      </c>
      <c r="J99" s="8">
        <f t="shared" si="7"/>
        <v>46.965783468570812</v>
      </c>
      <c r="K99">
        <f t="shared" si="8"/>
        <v>43.8492165314292</v>
      </c>
      <c r="L99">
        <f t="shared" si="5"/>
        <v>44.208000000000013</v>
      </c>
      <c r="M99">
        <f t="shared" si="6"/>
        <v>44.208000000000013</v>
      </c>
    </row>
    <row r="100" spans="1:13" x14ac:dyDescent="0.25">
      <c r="A100" s="3">
        <v>45804</v>
      </c>
      <c r="B100">
        <v>46.51</v>
      </c>
      <c r="C100">
        <v>46.51</v>
      </c>
      <c r="D100">
        <v>46.51</v>
      </c>
      <c r="E100">
        <v>46.51</v>
      </c>
      <c r="F100">
        <f t="shared" si="9"/>
        <v>45.522000000000006</v>
      </c>
      <c r="G100">
        <f t="shared" si="4"/>
        <v>44.251400000000011</v>
      </c>
      <c r="I100">
        <f t="shared" si="10"/>
        <v>0.76355539557078866</v>
      </c>
      <c r="J100" s="8">
        <f t="shared" si="7"/>
        <v>47.04911079114158</v>
      </c>
      <c r="K100">
        <f t="shared" si="8"/>
        <v>43.994889208858432</v>
      </c>
      <c r="L100">
        <f t="shared" si="5"/>
        <v>44.251400000000011</v>
      </c>
      <c r="M100">
        <f t="shared" si="6"/>
        <v>44.251400000000011</v>
      </c>
    </row>
    <row r="101" spans="1:13" x14ac:dyDescent="0.25">
      <c r="A101" s="3">
        <v>45805</v>
      </c>
      <c r="B101">
        <v>46.24</v>
      </c>
      <c r="C101">
        <v>46.24</v>
      </c>
      <c r="D101">
        <v>46.24</v>
      </c>
      <c r="E101">
        <v>46.24</v>
      </c>
      <c r="F101">
        <f t="shared" si="9"/>
        <v>45.615000000000002</v>
      </c>
      <c r="G101">
        <f t="shared" si="4"/>
        <v>44.28240000000001</v>
      </c>
      <c r="H101">
        <f>AVERAGE(E2:E101)</f>
        <v>44.647400000000005</v>
      </c>
      <c r="I101">
        <f t="shared" si="10"/>
        <v>0.72966106046430579</v>
      </c>
      <c r="J101" s="8">
        <f t="shared" si="7"/>
        <v>47.074322120928613</v>
      </c>
      <c r="K101">
        <f t="shared" si="8"/>
        <v>44.155677879071391</v>
      </c>
      <c r="L101">
        <f t="shared" si="5"/>
        <v>44.28240000000001</v>
      </c>
      <c r="M101">
        <f t="shared" si="6"/>
        <v>44.28240000000001</v>
      </c>
    </row>
    <row r="102" spans="1:13" x14ac:dyDescent="0.25">
      <c r="A102" s="3">
        <v>45806</v>
      </c>
      <c r="B102">
        <v>46.41</v>
      </c>
      <c r="C102">
        <v>46.41</v>
      </c>
      <c r="D102">
        <v>46.41</v>
      </c>
      <c r="E102">
        <v>46.41</v>
      </c>
      <c r="F102">
        <f t="shared" si="9"/>
        <v>45.713500000000003</v>
      </c>
      <c r="G102">
        <f t="shared" si="4"/>
        <v>44.321000000000005</v>
      </c>
      <c r="H102">
        <f t="shared" ref="H102:H165" si="11">AVERAGE(E3:E102)</f>
        <v>44.670400000000008</v>
      </c>
      <c r="I102">
        <f t="shared" si="10"/>
        <v>0.69483261899615256</v>
      </c>
      <c r="J102" s="8">
        <f t="shared" si="7"/>
        <v>47.103165237992307</v>
      </c>
      <c r="K102">
        <f t="shared" si="8"/>
        <v>44.323834762007699</v>
      </c>
      <c r="L102">
        <f t="shared" si="5"/>
        <v>44.321000000000005</v>
      </c>
      <c r="M102">
        <f t="shared" si="6"/>
        <v>44.321000000000005</v>
      </c>
    </row>
    <row r="103" spans="1:13" x14ac:dyDescent="0.25">
      <c r="A103" s="3">
        <v>45807</v>
      </c>
      <c r="B103">
        <v>46.41</v>
      </c>
      <c r="C103">
        <v>46.41</v>
      </c>
      <c r="D103">
        <v>46.41</v>
      </c>
      <c r="E103">
        <v>46.41</v>
      </c>
      <c r="F103">
        <f t="shared" si="9"/>
        <v>45.809000000000012</v>
      </c>
      <c r="G103">
        <f t="shared" si="4"/>
        <v>44.353600000000007</v>
      </c>
      <c r="H103">
        <f t="shared" si="11"/>
        <v>44.689900000000009</v>
      </c>
      <c r="I103">
        <f t="shared" si="10"/>
        <v>0.64901463773939605</v>
      </c>
      <c r="J103" s="8">
        <f t="shared" si="7"/>
        <v>47.107029275478801</v>
      </c>
      <c r="K103">
        <f t="shared" si="8"/>
        <v>44.510970724521222</v>
      </c>
      <c r="L103">
        <f t="shared" si="5"/>
        <v>44.353600000000007</v>
      </c>
      <c r="M103">
        <f t="shared" si="6"/>
        <v>44.353600000000007</v>
      </c>
    </row>
    <row r="104" spans="1:13" x14ac:dyDescent="0.25">
      <c r="A104" s="3">
        <v>45810</v>
      </c>
      <c r="B104">
        <v>46.63</v>
      </c>
      <c r="C104">
        <v>46.63</v>
      </c>
      <c r="D104">
        <v>46.63</v>
      </c>
      <c r="E104">
        <v>46.63</v>
      </c>
      <c r="F104">
        <f t="shared" si="9"/>
        <v>45.887500000000003</v>
      </c>
      <c r="G104">
        <f t="shared" si="4"/>
        <v>44.3934</v>
      </c>
      <c r="H104">
        <f t="shared" si="11"/>
        <v>44.709700000000005</v>
      </c>
      <c r="I104">
        <f t="shared" si="10"/>
        <v>0.64860072057995888</v>
      </c>
      <c r="J104" s="8">
        <f t="shared" si="7"/>
        <v>47.184701441159923</v>
      </c>
      <c r="K104">
        <f t="shared" si="8"/>
        <v>44.590298558840082</v>
      </c>
      <c r="L104">
        <f t="shared" si="5"/>
        <v>44.3934</v>
      </c>
      <c r="M104">
        <f t="shared" si="6"/>
        <v>44.3934</v>
      </c>
    </row>
    <row r="105" spans="1:13" x14ac:dyDescent="0.25">
      <c r="A105" s="3">
        <v>45811</v>
      </c>
      <c r="B105">
        <v>46.71</v>
      </c>
      <c r="C105">
        <v>46.71</v>
      </c>
      <c r="D105">
        <v>46.71</v>
      </c>
      <c r="E105">
        <v>46.71</v>
      </c>
      <c r="F105">
        <f t="shared" si="9"/>
        <v>45.977000000000004</v>
      </c>
      <c r="G105">
        <f t="shared" si="4"/>
        <v>44.436400000000013</v>
      </c>
      <c r="H105">
        <f t="shared" si="11"/>
        <v>44.733399999999989</v>
      </c>
      <c r="I105">
        <f t="shared" si="10"/>
        <v>0.6313402619157038</v>
      </c>
      <c r="J105" s="8">
        <f t="shared" si="7"/>
        <v>47.23968052383141</v>
      </c>
      <c r="K105">
        <f t="shared" si="8"/>
        <v>44.714319476168598</v>
      </c>
      <c r="L105">
        <f t="shared" si="5"/>
        <v>44.436400000000013</v>
      </c>
      <c r="M105">
        <f t="shared" si="6"/>
        <v>44.436400000000013</v>
      </c>
    </row>
    <row r="106" spans="1:13" x14ac:dyDescent="0.25">
      <c r="A106" s="3">
        <v>45812</v>
      </c>
      <c r="B106">
        <v>46.84</v>
      </c>
      <c r="C106">
        <v>46.84</v>
      </c>
      <c r="D106">
        <v>46.84</v>
      </c>
      <c r="E106">
        <v>46.84</v>
      </c>
      <c r="F106">
        <f t="shared" si="9"/>
        <v>46.080500000000001</v>
      </c>
      <c r="G106">
        <f t="shared" si="4"/>
        <v>44.474200000000017</v>
      </c>
      <c r="H106">
        <f t="shared" si="11"/>
        <v>44.758400000000002</v>
      </c>
      <c r="I106">
        <f t="shared" si="10"/>
        <v>0.59146984618606624</v>
      </c>
      <c r="J106" s="8">
        <f t="shared" si="7"/>
        <v>47.263439692372131</v>
      </c>
      <c r="K106">
        <f t="shared" si="8"/>
        <v>44.89756030762787</v>
      </c>
      <c r="L106">
        <f t="shared" si="5"/>
        <v>44.474200000000017</v>
      </c>
      <c r="M106">
        <f t="shared" si="6"/>
        <v>44.474200000000017</v>
      </c>
    </row>
    <row r="107" spans="1:13" x14ac:dyDescent="0.25">
      <c r="A107" s="3">
        <v>45813</v>
      </c>
      <c r="B107">
        <v>46.73</v>
      </c>
      <c r="C107">
        <v>46.73</v>
      </c>
      <c r="D107">
        <v>46.73</v>
      </c>
      <c r="E107">
        <v>46.73</v>
      </c>
      <c r="F107">
        <f t="shared" si="9"/>
        <v>46.1785</v>
      </c>
      <c r="G107">
        <f t="shared" si="4"/>
        <v>44.508600000000015</v>
      </c>
      <c r="H107">
        <f t="shared" si="11"/>
        <v>44.788399999999996</v>
      </c>
      <c r="I107">
        <f t="shared" si="10"/>
        <v>0.52109474843074921</v>
      </c>
      <c r="J107" s="8">
        <f t="shared" si="7"/>
        <v>47.220689496861496</v>
      </c>
      <c r="K107">
        <f t="shared" si="8"/>
        <v>45.136310503138503</v>
      </c>
      <c r="L107">
        <f t="shared" si="5"/>
        <v>44.508600000000015</v>
      </c>
      <c r="M107">
        <f t="shared" si="6"/>
        <v>44.508600000000015</v>
      </c>
    </row>
    <row r="108" spans="1:13" x14ac:dyDescent="0.25">
      <c r="A108" s="3">
        <v>45814</v>
      </c>
      <c r="B108">
        <v>46.99</v>
      </c>
      <c r="C108">
        <v>46.99</v>
      </c>
      <c r="D108">
        <v>46.99</v>
      </c>
      <c r="E108">
        <v>46.99</v>
      </c>
      <c r="F108">
        <f t="shared" si="9"/>
        <v>46.283000000000001</v>
      </c>
      <c r="G108">
        <f t="shared" si="4"/>
        <v>44.556200000000011</v>
      </c>
      <c r="H108">
        <f t="shared" si="11"/>
        <v>44.821499999999986</v>
      </c>
      <c r="I108">
        <f t="shared" si="10"/>
        <v>0.45680930030167483</v>
      </c>
      <c r="J108" s="8">
        <f t="shared" si="7"/>
        <v>47.196618600603351</v>
      </c>
      <c r="K108">
        <f t="shared" si="8"/>
        <v>45.369381399396651</v>
      </c>
      <c r="L108">
        <f t="shared" si="5"/>
        <v>44.556200000000011</v>
      </c>
      <c r="M108">
        <f t="shared" si="6"/>
        <v>44.556200000000011</v>
      </c>
    </row>
    <row r="109" spans="1:13" x14ac:dyDescent="0.25">
      <c r="A109" s="3">
        <v>45817</v>
      </c>
      <c r="B109">
        <v>47.08</v>
      </c>
      <c r="C109">
        <v>47.08</v>
      </c>
      <c r="D109">
        <v>47.08</v>
      </c>
      <c r="E109">
        <v>47.08</v>
      </c>
      <c r="F109">
        <f t="shared" si="9"/>
        <v>46.387999999999998</v>
      </c>
      <c r="G109">
        <f t="shared" si="4"/>
        <v>44.606400000000015</v>
      </c>
      <c r="H109">
        <f t="shared" si="11"/>
        <v>44.853999999999999</v>
      </c>
      <c r="I109">
        <f t="shared" si="10"/>
        <v>0.37569024194772027</v>
      </c>
      <c r="J109" s="8">
        <f t="shared" si="7"/>
        <v>47.139380483895437</v>
      </c>
      <c r="K109">
        <f t="shared" si="8"/>
        <v>45.63661951610456</v>
      </c>
      <c r="L109">
        <f t="shared" si="5"/>
        <v>44.606400000000015</v>
      </c>
      <c r="M109">
        <f t="shared" si="6"/>
        <v>44.606400000000015</v>
      </c>
    </row>
    <row r="110" spans="1:13" x14ac:dyDescent="0.25">
      <c r="A110" s="3">
        <v>45818</v>
      </c>
      <c r="B110">
        <v>47.25</v>
      </c>
      <c r="C110">
        <v>47.25</v>
      </c>
      <c r="D110">
        <v>47.25</v>
      </c>
      <c r="E110">
        <v>47.25</v>
      </c>
      <c r="F110">
        <f t="shared" si="9"/>
        <v>46.46</v>
      </c>
      <c r="G110">
        <f t="shared" si="4"/>
        <v>44.670800000000007</v>
      </c>
      <c r="H110">
        <f t="shared" si="11"/>
        <v>44.882099999999994</v>
      </c>
      <c r="I110">
        <f t="shared" si="10"/>
        <v>0.39649782636956443</v>
      </c>
      <c r="J110" s="8">
        <f t="shared" si="7"/>
        <v>47.252995652739131</v>
      </c>
      <c r="K110">
        <f t="shared" si="8"/>
        <v>45.667004347260871</v>
      </c>
      <c r="L110">
        <f t="shared" si="5"/>
        <v>44.670800000000007</v>
      </c>
      <c r="M110">
        <f t="shared" si="6"/>
        <v>44.670800000000007</v>
      </c>
    </row>
    <row r="111" spans="1:13" x14ac:dyDescent="0.25">
      <c r="A111" s="3">
        <v>45819</v>
      </c>
      <c r="B111">
        <v>47.22</v>
      </c>
      <c r="C111">
        <v>47.22</v>
      </c>
      <c r="D111">
        <v>47.22</v>
      </c>
      <c r="E111">
        <v>47.22</v>
      </c>
      <c r="F111">
        <f t="shared" si="9"/>
        <v>46.52</v>
      </c>
      <c r="G111">
        <f t="shared" si="4"/>
        <v>44.7346</v>
      </c>
      <c r="H111">
        <f t="shared" si="11"/>
        <v>44.909399999999998</v>
      </c>
      <c r="I111">
        <f t="shared" si="10"/>
        <v>0.41669122734630287</v>
      </c>
      <c r="J111" s="8">
        <f t="shared" si="7"/>
        <v>47.353382454692607</v>
      </c>
      <c r="K111">
        <f t="shared" si="8"/>
        <v>45.686617545307399</v>
      </c>
      <c r="L111">
        <f t="shared" si="5"/>
        <v>44.7346</v>
      </c>
      <c r="M111">
        <f t="shared" si="6"/>
        <v>44.7346</v>
      </c>
    </row>
    <row r="112" spans="1:13" x14ac:dyDescent="0.25">
      <c r="A112" s="3">
        <v>45820</v>
      </c>
      <c r="B112">
        <v>47.41</v>
      </c>
      <c r="C112">
        <v>47.41</v>
      </c>
      <c r="D112">
        <v>47.41</v>
      </c>
      <c r="E112">
        <v>47.41</v>
      </c>
      <c r="F112">
        <f t="shared" si="9"/>
        <v>46.592000000000006</v>
      </c>
      <c r="G112">
        <f t="shared" si="4"/>
        <v>44.799199999999999</v>
      </c>
      <c r="H112">
        <f t="shared" si="11"/>
        <v>44.935799999999993</v>
      </c>
      <c r="I112">
        <f t="shared" si="10"/>
        <v>0.44038977950758151</v>
      </c>
      <c r="J112" s="8">
        <f t="shared" si="7"/>
        <v>47.472779559015166</v>
      </c>
      <c r="K112">
        <f t="shared" si="8"/>
        <v>45.711220440984846</v>
      </c>
      <c r="L112">
        <f t="shared" si="5"/>
        <v>44.799199999999999</v>
      </c>
      <c r="M112">
        <f t="shared" si="6"/>
        <v>44.799199999999999</v>
      </c>
    </row>
    <row r="113" spans="1:13" x14ac:dyDescent="0.25">
      <c r="A113" s="3">
        <v>45821</v>
      </c>
      <c r="B113">
        <v>46.9</v>
      </c>
      <c r="C113">
        <v>46.9</v>
      </c>
      <c r="D113">
        <v>46.9</v>
      </c>
      <c r="E113">
        <v>46.9</v>
      </c>
      <c r="F113">
        <f t="shared" si="9"/>
        <v>46.626000000000005</v>
      </c>
      <c r="G113">
        <f t="shared" si="4"/>
        <v>44.849600000000009</v>
      </c>
      <c r="H113">
        <f t="shared" si="11"/>
        <v>44.952499999999979</v>
      </c>
      <c r="I113">
        <f t="shared" si="10"/>
        <v>0.43638949285435774</v>
      </c>
      <c r="J113" s="8">
        <f t="shared" si="7"/>
        <v>47.498778985708718</v>
      </c>
      <c r="K113">
        <f t="shared" si="8"/>
        <v>45.753221014291292</v>
      </c>
      <c r="L113">
        <f t="shared" si="5"/>
        <v>44.849600000000009</v>
      </c>
      <c r="M113">
        <f t="shared" si="6"/>
        <v>44.849600000000009</v>
      </c>
    </row>
    <row r="114" spans="1:13" x14ac:dyDescent="0.25">
      <c r="A114" s="3">
        <v>45824</v>
      </c>
      <c r="B114">
        <v>47.21</v>
      </c>
      <c r="C114">
        <v>47.21</v>
      </c>
      <c r="D114">
        <v>47.21</v>
      </c>
      <c r="E114">
        <v>47.21</v>
      </c>
      <c r="F114">
        <f t="shared" si="9"/>
        <v>46.665500000000002</v>
      </c>
      <c r="G114">
        <f t="shared" si="4"/>
        <v>44.932200000000002</v>
      </c>
      <c r="H114">
        <f t="shared" si="11"/>
        <v>44.971399999999988</v>
      </c>
      <c r="I114">
        <f t="shared" si="10"/>
        <v>0.45222810965031146</v>
      </c>
      <c r="J114" s="8">
        <f t="shared" si="7"/>
        <v>47.569956219300622</v>
      </c>
      <c r="K114">
        <f t="shared" si="8"/>
        <v>45.761043780699382</v>
      </c>
      <c r="L114">
        <f t="shared" si="5"/>
        <v>44.932200000000002</v>
      </c>
      <c r="M114">
        <f t="shared" si="6"/>
        <v>44.932200000000002</v>
      </c>
    </row>
    <row r="115" spans="1:13" x14ac:dyDescent="0.25">
      <c r="A115" s="3">
        <v>45825</v>
      </c>
      <c r="B115">
        <v>46.86</v>
      </c>
      <c r="C115">
        <v>46.86</v>
      </c>
      <c r="D115">
        <v>46.86</v>
      </c>
      <c r="E115">
        <v>46.86</v>
      </c>
      <c r="F115">
        <f t="shared" si="9"/>
        <v>46.682499999999997</v>
      </c>
      <c r="G115">
        <f t="shared" si="4"/>
        <v>45.046800000000005</v>
      </c>
      <c r="H115">
        <f t="shared" si="11"/>
        <v>44.985199999999985</v>
      </c>
      <c r="I115">
        <f t="shared" si="10"/>
        <v>0.45286078957759357</v>
      </c>
      <c r="J115" s="8">
        <f t="shared" si="7"/>
        <v>47.588221579155181</v>
      </c>
      <c r="K115">
        <f t="shared" si="8"/>
        <v>45.776778420844813</v>
      </c>
      <c r="L115">
        <f t="shared" si="5"/>
        <v>45.046800000000005</v>
      </c>
      <c r="M115">
        <f t="shared" si="6"/>
        <v>45.046800000000005</v>
      </c>
    </row>
    <row r="116" spans="1:13" x14ac:dyDescent="0.25">
      <c r="A116" s="3">
        <v>45826</v>
      </c>
      <c r="B116">
        <v>46.88</v>
      </c>
      <c r="C116">
        <v>46.88</v>
      </c>
      <c r="D116">
        <v>46.88</v>
      </c>
      <c r="E116">
        <v>46.88</v>
      </c>
      <c r="F116">
        <f t="shared" si="9"/>
        <v>46.704000000000001</v>
      </c>
      <c r="G116">
        <f t="shared" ref="G116:G179" si="12">AVERAGE(E67:E116)</f>
        <v>45.171400000000013</v>
      </c>
      <c r="H116">
        <f t="shared" si="11"/>
        <v>44.998899999999985</v>
      </c>
      <c r="I116">
        <f t="shared" si="10"/>
        <v>0.45144679700526763</v>
      </c>
      <c r="J116" s="8">
        <f t="shared" si="7"/>
        <v>47.606893594010536</v>
      </c>
      <c r="K116">
        <f t="shared" si="8"/>
        <v>45.801106405989465</v>
      </c>
      <c r="L116">
        <f t="shared" ref="L116:L179" si="13">AVERAGE(C67:C116)</f>
        <v>45.171400000000013</v>
      </c>
      <c r="M116">
        <f t="shared" ref="M116:M179" si="14">AVERAGE(D67:D116)</f>
        <v>45.171400000000013</v>
      </c>
    </row>
    <row r="117" spans="1:13" x14ac:dyDescent="0.25">
      <c r="A117" s="3">
        <v>45828</v>
      </c>
      <c r="B117">
        <v>46.72</v>
      </c>
      <c r="C117">
        <v>46.72</v>
      </c>
      <c r="D117">
        <v>46.72</v>
      </c>
      <c r="E117">
        <v>46.72</v>
      </c>
      <c r="F117">
        <f t="shared" si="9"/>
        <v>46.742000000000004</v>
      </c>
      <c r="G117">
        <f t="shared" si="12"/>
        <v>45.301600000000008</v>
      </c>
      <c r="H117">
        <f t="shared" si="11"/>
        <v>45.014699999999991</v>
      </c>
      <c r="I117">
        <f t="shared" si="10"/>
        <v>0.4161300404036164</v>
      </c>
      <c r="J117" s="8">
        <f t="shared" si="7"/>
        <v>47.574260080807235</v>
      </c>
      <c r="K117">
        <f t="shared" si="8"/>
        <v>45.909739919192774</v>
      </c>
      <c r="L117">
        <f t="shared" si="13"/>
        <v>45.301600000000008</v>
      </c>
      <c r="M117">
        <f t="shared" si="14"/>
        <v>45.301600000000008</v>
      </c>
    </row>
    <row r="118" spans="1:13" x14ac:dyDescent="0.25">
      <c r="A118" s="3">
        <v>45831</v>
      </c>
      <c r="B118">
        <v>47.05</v>
      </c>
      <c r="C118">
        <v>47.05</v>
      </c>
      <c r="D118">
        <v>47.05</v>
      </c>
      <c r="E118">
        <v>47.05</v>
      </c>
      <c r="F118">
        <f t="shared" si="9"/>
        <v>46.796500000000002</v>
      </c>
      <c r="G118">
        <f t="shared" si="12"/>
        <v>45.38920000000001</v>
      </c>
      <c r="H118">
        <f t="shared" si="11"/>
        <v>45.031599999999997</v>
      </c>
      <c r="I118">
        <f t="shared" si="10"/>
        <v>0.37794840917776018</v>
      </c>
      <c r="J118" s="8">
        <f t="shared" si="7"/>
        <v>47.552396818355525</v>
      </c>
      <c r="K118">
        <f t="shared" si="8"/>
        <v>46.040603181644478</v>
      </c>
      <c r="L118">
        <f t="shared" si="13"/>
        <v>45.38920000000001</v>
      </c>
      <c r="M118">
        <f t="shared" si="14"/>
        <v>45.38920000000001</v>
      </c>
    </row>
    <row r="119" spans="1:13" x14ac:dyDescent="0.25">
      <c r="A119" s="3">
        <v>45832</v>
      </c>
      <c r="B119">
        <v>47.05</v>
      </c>
      <c r="C119">
        <v>47.05</v>
      </c>
      <c r="D119">
        <v>47.05</v>
      </c>
      <c r="E119">
        <v>47.05</v>
      </c>
      <c r="F119">
        <f t="shared" si="9"/>
        <v>46.854999999999997</v>
      </c>
      <c r="G119">
        <f t="shared" si="12"/>
        <v>45.494000000000014</v>
      </c>
      <c r="H119">
        <f t="shared" si="11"/>
        <v>45.049599999999991</v>
      </c>
      <c r="I119">
        <f t="shared" si="10"/>
        <v>0.31371290931946699</v>
      </c>
      <c r="J119" s="8">
        <f t="shared" si="7"/>
        <v>47.48242581863893</v>
      </c>
      <c r="K119">
        <f t="shared" si="8"/>
        <v>46.227574181361064</v>
      </c>
      <c r="L119">
        <f t="shared" si="13"/>
        <v>45.494000000000014</v>
      </c>
      <c r="M119">
        <f t="shared" si="14"/>
        <v>45.494000000000014</v>
      </c>
    </row>
    <row r="120" spans="1:13" x14ac:dyDescent="0.25">
      <c r="A120" s="3">
        <v>45833</v>
      </c>
      <c r="B120">
        <v>47.51</v>
      </c>
      <c r="C120">
        <v>47.51</v>
      </c>
      <c r="D120">
        <v>47.51</v>
      </c>
      <c r="E120">
        <v>47.51</v>
      </c>
      <c r="F120">
        <f t="shared" si="9"/>
        <v>46.904999999999994</v>
      </c>
      <c r="G120">
        <f t="shared" si="12"/>
        <v>45.594800000000014</v>
      </c>
      <c r="H120">
        <f t="shared" si="11"/>
        <v>45.068999999999988</v>
      </c>
      <c r="I120">
        <f t="shared" si="10"/>
        <v>0.33481338085566381</v>
      </c>
      <c r="J120" s="8">
        <f t="shared" si="7"/>
        <v>47.574626761711322</v>
      </c>
      <c r="K120">
        <f t="shared" si="8"/>
        <v>46.235373238288666</v>
      </c>
      <c r="L120">
        <f t="shared" si="13"/>
        <v>45.594800000000014</v>
      </c>
      <c r="M120">
        <f t="shared" si="14"/>
        <v>45.594800000000014</v>
      </c>
    </row>
    <row r="121" spans="1:13" x14ac:dyDescent="0.25">
      <c r="A121" s="3">
        <v>45834</v>
      </c>
      <c r="B121">
        <v>47.89</v>
      </c>
      <c r="C121">
        <v>47.89</v>
      </c>
      <c r="D121">
        <v>47.89</v>
      </c>
      <c r="E121">
        <v>47.89</v>
      </c>
      <c r="F121">
        <f t="shared" si="9"/>
        <v>46.987499999999997</v>
      </c>
      <c r="G121">
        <f t="shared" si="12"/>
        <v>45.695200000000014</v>
      </c>
      <c r="H121">
        <f t="shared" si="11"/>
        <v>45.094599999999993</v>
      </c>
      <c r="I121">
        <f t="shared" si="10"/>
        <v>0.36431442463893748</v>
      </c>
      <c r="J121" s="8">
        <f t="shared" si="7"/>
        <v>47.716128849277872</v>
      </c>
      <c r="K121">
        <f t="shared" si="8"/>
        <v>46.258871150722122</v>
      </c>
      <c r="L121">
        <f t="shared" si="13"/>
        <v>45.695200000000014</v>
      </c>
      <c r="M121">
        <f t="shared" si="14"/>
        <v>45.695200000000014</v>
      </c>
    </row>
    <row r="122" spans="1:13" x14ac:dyDescent="0.25">
      <c r="A122" s="3">
        <v>45835</v>
      </c>
      <c r="B122">
        <v>48.06</v>
      </c>
      <c r="C122">
        <v>48.06</v>
      </c>
      <c r="D122">
        <v>48.06</v>
      </c>
      <c r="E122">
        <v>48.06</v>
      </c>
      <c r="F122">
        <f t="shared" si="9"/>
        <v>47.069999999999993</v>
      </c>
      <c r="G122">
        <f t="shared" si="12"/>
        <v>45.797800000000016</v>
      </c>
      <c r="H122">
        <f t="shared" si="11"/>
        <v>45.125</v>
      </c>
      <c r="I122">
        <f t="shared" si="10"/>
        <v>0.41054520874204925</v>
      </c>
      <c r="J122" s="8">
        <f t="shared" si="7"/>
        <v>47.891090417484094</v>
      </c>
      <c r="K122">
        <f t="shared" si="8"/>
        <v>46.248909582515893</v>
      </c>
      <c r="L122">
        <f t="shared" si="13"/>
        <v>45.797800000000016</v>
      </c>
      <c r="M122">
        <f t="shared" si="14"/>
        <v>45.797800000000016</v>
      </c>
    </row>
    <row r="123" spans="1:13" x14ac:dyDescent="0.25">
      <c r="A123" s="3">
        <v>45838</v>
      </c>
      <c r="B123">
        <v>47.81</v>
      </c>
      <c r="C123">
        <v>47.81</v>
      </c>
      <c r="D123">
        <v>47.81</v>
      </c>
      <c r="E123">
        <v>47.81</v>
      </c>
      <c r="F123">
        <f t="shared" si="9"/>
        <v>47.14</v>
      </c>
      <c r="G123">
        <f t="shared" si="12"/>
        <v>45.904800000000016</v>
      </c>
      <c r="H123">
        <f t="shared" si="11"/>
        <v>45.149400000000007</v>
      </c>
      <c r="I123">
        <f t="shared" si="10"/>
        <v>0.4114416246885042</v>
      </c>
      <c r="J123" s="8">
        <f t="shared" si="7"/>
        <v>47.962883249377008</v>
      </c>
      <c r="K123">
        <f t="shared" si="8"/>
        <v>46.317116750622993</v>
      </c>
      <c r="L123">
        <f t="shared" si="13"/>
        <v>45.904800000000016</v>
      </c>
      <c r="M123">
        <f t="shared" si="14"/>
        <v>45.904800000000016</v>
      </c>
    </row>
    <row r="124" spans="1:13" x14ac:dyDescent="0.25">
      <c r="A124" s="3">
        <v>45839</v>
      </c>
      <c r="B124">
        <v>47.79</v>
      </c>
      <c r="C124">
        <v>47.79</v>
      </c>
      <c r="D124">
        <v>47.79</v>
      </c>
      <c r="E124">
        <v>47.79</v>
      </c>
      <c r="F124">
        <f t="shared" si="9"/>
        <v>47.197999999999993</v>
      </c>
      <c r="G124">
        <f t="shared" si="12"/>
        <v>46.011400000000009</v>
      </c>
      <c r="H124">
        <f t="shared" si="11"/>
        <v>45.171200000000006</v>
      </c>
      <c r="I124">
        <f t="shared" si="10"/>
        <v>0.41748116881577996</v>
      </c>
      <c r="J124" s="8">
        <f t="shared" si="7"/>
        <v>48.032962337631552</v>
      </c>
      <c r="K124">
        <f t="shared" si="8"/>
        <v>46.363037662368434</v>
      </c>
      <c r="L124">
        <f t="shared" si="13"/>
        <v>46.011400000000009</v>
      </c>
      <c r="M124">
        <f t="shared" si="14"/>
        <v>46.011400000000009</v>
      </c>
    </row>
    <row r="125" spans="1:13" x14ac:dyDescent="0.25">
      <c r="A125" s="3">
        <v>45840</v>
      </c>
      <c r="B125">
        <v>47.97</v>
      </c>
      <c r="C125">
        <v>47.97</v>
      </c>
      <c r="D125">
        <v>47.97</v>
      </c>
      <c r="E125">
        <v>47.97</v>
      </c>
      <c r="F125">
        <f t="shared" si="9"/>
        <v>47.260999999999989</v>
      </c>
      <c r="G125">
        <f t="shared" si="12"/>
        <v>46.128</v>
      </c>
      <c r="H125">
        <f t="shared" si="11"/>
        <v>45.193700000000007</v>
      </c>
      <c r="I125">
        <f t="shared" si="10"/>
        <v>0.43467955529271673</v>
      </c>
      <c r="J125" s="8">
        <f t="shared" si="7"/>
        <v>48.130359110585424</v>
      </c>
      <c r="K125">
        <f t="shared" si="8"/>
        <v>46.391640889414553</v>
      </c>
      <c r="L125">
        <f t="shared" si="13"/>
        <v>46.128</v>
      </c>
      <c r="M125">
        <f t="shared" si="14"/>
        <v>46.128</v>
      </c>
    </row>
    <row r="126" spans="1:13" x14ac:dyDescent="0.25">
      <c r="A126" s="3">
        <v>45841</v>
      </c>
      <c r="B126">
        <v>48.19</v>
      </c>
      <c r="C126">
        <v>48.19</v>
      </c>
      <c r="D126">
        <v>48.19</v>
      </c>
      <c r="E126">
        <v>48.19</v>
      </c>
      <c r="F126">
        <f t="shared" si="9"/>
        <v>47.328499999999998</v>
      </c>
      <c r="G126">
        <f t="shared" si="12"/>
        <v>46.234800000000007</v>
      </c>
      <c r="H126">
        <f t="shared" si="11"/>
        <v>45.221400000000003</v>
      </c>
      <c r="I126">
        <f t="shared" si="10"/>
        <v>0.46930267418799171</v>
      </c>
      <c r="J126" s="8">
        <f t="shared" si="7"/>
        <v>48.267105348375985</v>
      </c>
      <c r="K126">
        <f t="shared" si="8"/>
        <v>46.389894651624012</v>
      </c>
      <c r="L126">
        <f t="shared" si="13"/>
        <v>46.234800000000007</v>
      </c>
      <c r="M126">
        <f t="shared" si="14"/>
        <v>46.234800000000007</v>
      </c>
    </row>
    <row r="127" spans="1:13" x14ac:dyDescent="0.25">
      <c r="A127" s="3">
        <v>45845</v>
      </c>
      <c r="B127">
        <v>47.79</v>
      </c>
      <c r="C127">
        <v>47.79</v>
      </c>
      <c r="D127">
        <v>47.79</v>
      </c>
      <c r="E127">
        <v>47.79</v>
      </c>
      <c r="F127">
        <f t="shared" si="9"/>
        <v>47.381499999999996</v>
      </c>
      <c r="G127">
        <f t="shared" si="12"/>
        <v>46.325200000000002</v>
      </c>
      <c r="H127">
        <f t="shared" si="11"/>
        <v>45.24280000000001</v>
      </c>
      <c r="I127">
        <f t="shared" si="10"/>
        <v>0.45787006890601634</v>
      </c>
      <c r="J127" s="8">
        <f t="shared" si="7"/>
        <v>48.297240137812025</v>
      </c>
      <c r="K127">
        <f t="shared" si="8"/>
        <v>46.465759862187966</v>
      </c>
      <c r="L127">
        <f t="shared" si="13"/>
        <v>46.325200000000002</v>
      </c>
      <c r="M127">
        <f t="shared" si="14"/>
        <v>46.325200000000002</v>
      </c>
    </row>
    <row r="128" spans="1:13" x14ac:dyDescent="0.25">
      <c r="A128" s="3">
        <v>45846</v>
      </c>
      <c r="B128">
        <v>47.86</v>
      </c>
      <c r="C128">
        <v>47.86</v>
      </c>
      <c r="D128">
        <v>47.86</v>
      </c>
      <c r="E128">
        <v>47.86</v>
      </c>
      <c r="F128">
        <f t="shared" si="9"/>
        <v>47.424999999999997</v>
      </c>
      <c r="G128">
        <f t="shared" si="12"/>
        <v>46.404000000000003</v>
      </c>
      <c r="H128">
        <f t="shared" si="11"/>
        <v>45.265000000000001</v>
      </c>
      <c r="I128">
        <f t="shared" si="10"/>
        <v>0.46004004402363002</v>
      </c>
      <c r="J128" s="8">
        <f t="shared" si="7"/>
        <v>48.345080088047254</v>
      </c>
      <c r="K128">
        <f t="shared" si="8"/>
        <v>46.50491991195274</v>
      </c>
      <c r="L128">
        <f t="shared" si="13"/>
        <v>46.404000000000003</v>
      </c>
      <c r="M128">
        <f t="shared" si="14"/>
        <v>46.404000000000003</v>
      </c>
    </row>
    <row r="129" spans="1:13" x14ac:dyDescent="0.25">
      <c r="A129" s="3">
        <v>45847</v>
      </c>
      <c r="B129">
        <v>48.1</v>
      </c>
      <c r="C129">
        <v>48.1</v>
      </c>
      <c r="D129">
        <v>48.1</v>
      </c>
      <c r="E129">
        <v>48.1</v>
      </c>
      <c r="F129">
        <f t="shared" si="9"/>
        <v>47.475999999999999</v>
      </c>
      <c r="G129">
        <f t="shared" si="12"/>
        <v>46.484400000000008</v>
      </c>
      <c r="H129">
        <f t="shared" si="11"/>
        <v>45.290500000000009</v>
      </c>
      <c r="I129">
        <f t="shared" si="10"/>
        <v>0.4760406882211915</v>
      </c>
      <c r="J129" s="8">
        <f t="shared" si="7"/>
        <v>48.428081376442385</v>
      </c>
      <c r="K129">
        <f t="shared" si="8"/>
        <v>46.523918623557613</v>
      </c>
      <c r="L129">
        <f t="shared" si="13"/>
        <v>46.484400000000008</v>
      </c>
      <c r="M129">
        <f t="shared" si="14"/>
        <v>46.484400000000008</v>
      </c>
    </row>
    <row r="130" spans="1:13" x14ac:dyDescent="0.25">
      <c r="A130" s="3">
        <v>45848</v>
      </c>
      <c r="B130">
        <v>48.2</v>
      </c>
      <c r="C130">
        <v>48.2</v>
      </c>
      <c r="D130">
        <v>48.2</v>
      </c>
      <c r="E130">
        <v>48.2</v>
      </c>
      <c r="F130">
        <f t="shared" si="9"/>
        <v>47.523499999999999</v>
      </c>
      <c r="G130">
        <f t="shared" si="12"/>
        <v>46.563999999999993</v>
      </c>
      <c r="H130">
        <f t="shared" si="11"/>
        <v>45.31260000000001</v>
      </c>
      <c r="I130">
        <f t="shared" si="10"/>
        <v>0.49913899551337992</v>
      </c>
      <c r="J130" s="8">
        <f t="shared" ref="J130:J193" si="15">F130 +I130*2</f>
        <v>48.521777991026759</v>
      </c>
      <c r="K130">
        <f t="shared" ref="K130:K193" si="16">F130-I130*2</f>
        <v>46.525222008973238</v>
      </c>
      <c r="L130">
        <f t="shared" si="13"/>
        <v>46.563999999999993</v>
      </c>
      <c r="M130">
        <f t="shared" si="14"/>
        <v>46.563999999999993</v>
      </c>
    </row>
    <row r="131" spans="1:13" x14ac:dyDescent="0.25">
      <c r="A131" s="3">
        <v>45849</v>
      </c>
      <c r="B131">
        <v>47.96</v>
      </c>
      <c r="C131">
        <v>47.96</v>
      </c>
      <c r="D131">
        <v>47.96</v>
      </c>
      <c r="E131">
        <v>47.96</v>
      </c>
      <c r="F131">
        <f t="shared" si="9"/>
        <v>47.560500000000005</v>
      </c>
      <c r="G131">
        <f t="shared" si="12"/>
        <v>46.635599999999997</v>
      </c>
      <c r="H131">
        <f t="shared" si="11"/>
        <v>45.331899999999997</v>
      </c>
      <c r="I131">
        <f t="shared" si="10"/>
        <v>0.50287044475742149</v>
      </c>
      <c r="J131" s="8">
        <f t="shared" si="15"/>
        <v>48.566240889514845</v>
      </c>
      <c r="K131">
        <f t="shared" si="16"/>
        <v>46.554759110485165</v>
      </c>
      <c r="L131">
        <f t="shared" si="13"/>
        <v>46.635599999999997</v>
      </c>
      <c r="M131">
        <f t="shared" si="14"/>
        <v>46.635599999999997</v>
      </c>
    </row>
    <row r="132" spans="1:13" x14ac:dyDescent="0.25">
      <c r="A132" s="3">
        <v>45852</v>
      </c>
      <c r="B132">
        <v>48.02</v>
      </c>
      <c r="C132">
        <v>48.02</v>
      </c>
      <c r="D132">
        <v>48.02</v>
      </c>
      <c r="E132">
        <v>48.02</v>
      </c>
      <c r="F132">
        <f t="shared" si="9"/>
        <v>47.591000000000008</v>
      </c>
      <c r="G132">
        <f t="shared" si="12"/>
        <v>46.7072</v>
      </c>
      <c r="H132">
        <f t="shared" si="11"/>
        <v>45.350500000000004</v>
      </c>
      <c r="I132">
        <f t="shared" si="10"/>
        <v>0.51168349592301754</v>
      </c>
      <c r="J132" s="8">
        <f t="shared" si="15"/>
        <v>48.61436699184604</v>
      </c>
      <c r="K132">
        <f t="shared" si="16"/>
        <v>46.567633008153976</v>
      </c>
      <c r="L132">
        <f t="shared" si="13"/>
        <v>46.7072</v>
      </c>
      <c r="M132">
        <f t="shared" si="14"/>
        <v>46.7072</v>
      </c>
    </row>
    <row r="133" spans="1:13" x14ac:dyDescent="0.25">
      <c r="A133" s="3">
        <v>45853</v>
      </c>
      <c r="B133">
        <v>47.8</v>
      </c>
      <c r="C133">
        <v>47.8</v>
      </c>
      <c r="D133">
        <v>47.8</v>
      </c>
      <c r="E133">
        <v>47.8</v>
      </c>
      <c r="F133">
        <f t="shared" si="9"/>
        <v>47.636000000000003</v>
      </c>
      <c r="G133">
        <f t="shared" si="12"/>
        <v>46.773200000000003</v>
      </c>
      <c r="H133">
        <f t="shared" si="11"/>
        <v>45.3675</v>
      </c>
      <c r="I133">
        <f t="shared" si="10"/>
        <v>0.48667940382274627</v>
      </c>
      <c r="J133" s="8">
        <f t="shared" si="15"/>
        <v>48.609358807645492</v>
      </c>
      <c r="K133">
        <f t="shared" si="16"/>
        <v>46.662641192354513</v>
      </c>
      <c r="L133">
        <f t="shared" si="13"/>
        <v>46.773200000000003</v>
      </c>
      <c r="M133">
        <f t="shared" si="14"/>
        <v>46.773200000000003</v>
      </c>
    </row>
    <row r="134" spans="1:13" x14ac:dyDescent="0.25">
      <c r="A134" s="3">
        <v>45854</v>
      </c>
      <c r="B134">
        <v>47.94</v>
      </c>
      <c r="C134">
        <v>47.94</v>
      </c>
      <c r="D134">
        <v>47.94</v>
      </c>
      <c r="E134">
        <v>47.94</v>
      </c>
      <c r="F134">
        <f t="shared" si="9"/>
        <v>47.672499999999999</v>
      </c>
      <c r="G134">
        <f t="shared" si="12"/>
        <v>46.830799999999996</v>
      </c>
      <c r="H134">
        <f t="shared" si="11"/>
        <v>45.386200000000002</v>
      </c>
      <c r="I134">
        <f t="shared" si="10"/>
        <v>0.48038224911330607</v>
      </c>
      <c r="J134" s="8">
        <f t="shared" si="15"/>
        <v>48.633264498226609</v>
      </c>
      <c r="K134">
        <f t="shared" si="16"/>
        <v>46.71173550177339</v>
      </c>
      <c r="L134">
        <f t="shared" si="13"/>
        <v>46.830799999999996</v>
      </c>
      <c r="M134">
        <f t="shared" si="14"/>
        <v>46.830799999999996</v>
      </c>
    </row>
    <row r="135" spans="1:13" x14ac:dyDescent="0.25">
      <c r="A135" s="3">
        <v>45855</v>
      </c>
      <c r="B135">
        <v>48.16</v>
      </c>
      <c r="C135">
        <v>48.16</v>
      </c>
      <c r="D135">
        <v>48.16</v>
      </c>
      <c r="E135">
        <v>48.16</v>
      </c>
      <c r="F135">
        <f t="shared" si="9"/>
        <v>47.737500000000004</v>
      </c>
      <c r="G135">
        <f t="shared" si="12"/>
        <v>46.895600000000002</v>
      </c>
      <c r="H135">
        <f t="shared" si="11"/>
        <v>45.411899999999996</v>
      </c>
      <c r="I135">
        <f t="shared" si="10"/>
        <v>0.45175534832123737</v>
      </c>
      <c r="J135" s="8">
        <f t="shared" si="15"/>
        <v>48.641010696642482</v>
      </c>
      <c r="K135">
        <f t="shared" si="16"/>
        <v>46.833989303357527</v>
      </c>
      <c r="L135">
        <f t="shared" si="13"/>
        <v>46.895600000000002</v>
      </c>
      <c r="M135">
        <f t="shared" si="14"/>
        <v>46.895600000000002</v>
      </c>
    </row>
    <row r="136" spans="1:13" x14ac:dyDescent="0.25">
      <c r="A136" s="3">
        <v>45856</v>
      </c>
      <c r="B136">
        <v>48.15</v>
      </c>
      <c r="C136">
        <v>48.15</v>
      </c>
      <c r="D136">
        <v>48.15</v>
      </c>
      <c r="E136">
        <v>48.15</v>
      </c>
      <c r="F136">
        <f t="shared" si="9"/>
        <v>47.801000000000002</v>
      </c>
      <c r="G136">
        <f t="shared" si="12"/>
        <v>46.963200000000008</v>
      </c>
      <c r="H136">
        <f t="shared" si="11"/>
        <v>45.439299999999996</v>
      </c>
      <c r="I136">
        <f t="shared" si="10"/>
        <v>0.41242415570687296</v>
      </c>
      <c r="J136" s="8">
        <f t="shared" si="15"/>
        <v>48.625848311413748</v>
      </c>
      <c r="K136">
        <f t="shared" si="16"/>
        <v>46.976151688586256</v>
      </c>
      <c r="L136">
        <f t="shared" si="13"/>
        <v>46.963200000000008</v>
      </c>
      <c r="M136">
        <f t="shared" si="14"/>
        <v>46.963200000000008</v>
      </c>
    </row>
    <row r="137" spans="1:13" x14ac:dyDescent="0.25">
      <c r="A137" s="3">
        <v>45859</v>
      </c>
      <c r="B137">
        <v>48.26</v>
      </c>
      <c r="C137">
        <v>48.26</v>
      </c>
      <c r="D137">
        <v>48.26</v>
      </c>
      <c r="E137">
        <v>48.26</v>
      </c>
      <c r="F137">
        <f t="shared" si="9"/>
        <v>47.878</v>
      </c>
      <c r="G137">
        <f t="shared" si="12"/>
        <v>47.033000000000001</v>
      </c>
      <c r="H137">
        <f t="shared" si="11"/>
        <v>45.467600000000004</v>
      </c>
      <c r="I137">
        <f t="shared" si="10"/>
        <v>0.33680542563450871</v>
      </c>
      <c r="J137" s="8">
        <f t="shared" si="15"/>
        <v>48.551610851269018</v>
      </c>
      <c r="K137">
        <f t="shared" si="16"/>
        <v>47.204389148730982</v>
      </c>
      <c r="L137">
        <f t="shared" si="13"/>
        <v>47.033000000000001</v>
      </c>
      <c r="M137">
        <f t="shared" si="14"/>
        <v>47.033000000000001</v>
      </c>
    </row>
    <row r="138" spans="1:13" x14ac:dyDescent="0.25">
      <c r="A138" s="3">
        <v>45860</v>
      </c>
      <c r="B138">
        <v>48.38</v>
      </c>
      <c r="C138">
        <v>48.38</v>
      </c>
      <c r="D138">
        <v>48.38</v>
      </c>
      <c r="E138">
        <v>48.38</v>
      </c>
      <c r="F138">
        <f t="shared" si="9"/>
        <v>47.944499999999998</v>
      </c>
      <c r="G138">
        <f t="shared" si="12"/>
        <v>47.10260000000001</v>
      </c>
      <c r="H138">
        <f t="shared" si="11"/>
        <v>45.496299999999998</v>
      </c>
      <c r="I138">
        <f t="shared" si="10"/>
        <v>0.29319429519832496</v>
      </c>
      <c r="J138" s="8">
        <f t="shared" si="15"/>
        <v>48.53088859039665</v>
      </c>
      <c r="K138">
        <f t="shared" si="16"/>
        <v>47.358111409603346</v>
      </c>
      <c r="L138">
        <f t="shared" si="13"/>
        <v>47.10260000000001</v>
      </c>
      <c r="M138">
        <f t="shared" si="14"/>
        <v>47.10260000000001</v>
      </c>
    </row>
    <row r="139" spans="1:13" x14ac:dyDescent="0.25">
      <c r="A139" s="3">
        <v>45861</v>
      </c>
      <c r="B139">
        <v>48.84</v>
      </c>
      <c r="C139">
        <v>48.84</v>
      </c>
      <c r="D139">
        <v>48.84</v>
      </c>
      <c r="E139">
        <v>48.84</v>
      </c>
      <c r="F139">
        <f t="shared" si="9"/>
        <v>48.034000000000006</v>
      </c>
      <c r="G139">
        <f t="shared" si="12"/>
        <v>47.179800000000014</v>
      </c>
      <c r="H139">
        <f t="shared" si="11"/>
        <v>45.534900000000007</v>
      </c>
      <c r="I139">
        <f t="shared" si="10"/>
        <v>0.27861310657952765</v>
      </c>
      <c r="J139" s="8">
        <f t="shared" si="15"/>
        <v>48.591226213159061</v>
      </c>
      <c r="K139">
        <f t="shared" si="16"/>
        <v>47.476773786840951</v>
      </c>
      <c r="L139">
        <f t="shared" si="13"/>
        <v>47.179800000000014</v>
      </c>
      <c r="M139">
        <f t="shared" si="14"/>
        <v>47.179800000000014</v>
      </c>
    </row>
    <row r="140" spans="1:13" x14ac:dyDescent="0.25">
      <c r="A140" s="3">
        <v>45862</v>
      </c>
      <c r="B140">
        <v>48.74</v>
      </c>
      <c r="C140">
        <v>48.74</v>
      </c>
      <c r="D140">
        <v>48.74</v>
      </c>
      <c r="E140">
        <v>48.74</v>
      </c>
      <c r="F140">
        <f t="shared" si="9"/>
        <v>48.095499999999994</v>
      </c>
      <c r="G140">
        <f t="shared" si="12"/>
        <v>47.238399999999999</v>
      </c>
      <c r="H140">
        <f t="shared" si="11"/>
        <v>45.569199999999995</v>
      </c>
      <c r="I140">
        <f t="shared" si="10"/>
        <v>0.29227735565996121</v>
      </c>
      <c r="J140" s="8">
        <f t="shared" si="15"/>
        <v>48.680054711319919</v>
      </c>
      <c r="K140">
        <f t="shared" si="16"/>
        <v>47.51094528868007</v>
      </c>
      <c r="L140">
        <f t="shared" si="13"/>
        <v>47.238399999999999</v>
      </c>
      <c r="M140">
        <f t="shared" si="14"/>
        <v>47.238399999999999</v>
      </c>
    </row>
    <row r="141" spans="1:13" x14ac:dyDescent="0.25">
      <c r="A141" s="3">
        <v>45863</v>
      </c>
      <c r="B141">
        <v>48.82</v>
      </c>
      <c r="C141">
        <v>48.82</v>
      </c>
      <c r="D141">
        <v>48.82</v>
      </c>
      <c r="E141">
        <v>48.82</v>
      </c>
      <c r="F141">
        <f t="shared" si="9"/>
        <v>48.142000000000003</v>
      </c>
      <c r="G141">
        <f t="shared" si="12"/>
        <v>47.294400000000003</v>
      </c>
      <c r="H141">
        <f t="shared" si="11"/>
        <v>45.608199999999989</v>
      </c>
      <c r="I141">
        <f t="shared" si="10"/>
        <v>0.32947486127249048</v>
      </c>
      <c r="J141" s="8">
        <f t="shared" si="15"/>
        <v>48.800949722544985</v>
      </c>
      <c r="K141">
        <f t="shared" si="16"/>
        <v>47.483050277455021</v>
      </c>
      <c r="L141">
        <f t="shared" si="13"/>
        <v>47.294400000000003</v>
      </c>
      <c r="M141">
        <f t="shared" si="14"/>
        <v>47.294400000000003</v>
      </c>
    </row>
    <row r="142" spans="1:13" x14ac:dyDescent="0.25">
      <c r="A142" s="3">
        <v>45866</v>
      </c>
      <c r="B142">
        <v>48.62</v>
      </c>
      <c r="C142">
        <v>48.62</v>
      </c>
      <c r="D142">
        <v>48.62</v>
      </c>
      <c r="E142">
        <v>48.62</v>
      </c>
      <c r="F142">
        <f t="shared" si="9"/>
        <v>48.169999999999995</v>
      </c>
      <c r="G142">
        <f t="shared" si="12"/>
        <v>47.347400000000007</v>
      </c>
      <c r="H142">
        <f t="shared" si="11"/>
        <v>45.647799999999989</v>
      </c>
      <c r="I142">
        <f t="shared" si="10"/>
        <v>0.34554305086342052</v>
      </c>
      <c r="J142" s="8">
        <f t="shared" si="15"/>
        <v>48.861086101726833</v>
      </c>
      <c r="K142">
        <f t="shared" si="16"/>
        <v>47.478913898273156</v>
      </c>
      <c r="L142">
        <f t="shared" si="13"/>
        <v>47.347400000000007</v>
      </c>
      <c r="M142">
        <f t="shared" si="14"/>
        <v>47.347400000000007</v>
      </c>
    </row>
    <row r="143" spans="1:13" x14ac:dyDescent="0.25">
      <c r="A143" s="3">
        <v>45867</v>
      </c>
      <c r="B143">
        <v>48.58</v>
      </c>
      <c r="C143">
        <v>48.58</v>
      </c>
      <c r="D143">
        <v>48.58</v>
      </c>
      <c r="E143">
        <v>48.58</v>
      </c>
      <c r="F143">
        <f t="shared" si="9"/>
        <v>48.208500000000001</v>
      </c>
      <c r="G143">
        <f t="shared" si="12"/>
        <v>47.394600000000011</v>
      </c>
      <c r="H143">
        <f t="shared" si="11"/>
        <v>45.681399999999982</v>
      </c>
      <c r="I143">
        <f t="shared" si="10"/>
        <v>0.34621677115873428</v>
      </c>
      <c r="J143" s="8">
        <f t="shared" si="15"/>
        <v>48.900933542317468</v>
      </c>
      <c r="K143">
        <f t="shared" si="16"/>
        <v>47.516066457682534</v>
      </c>
      <c r="L143">
        <f t="shared" si="13"/>
        <v>47.394600000000011</v>
      </c>
      <c r="M143">
        <f t="shared" si="14"/>
        <v>47.394600000000011</v>
      </c>
    </row>
    <row r="144" spans="1:13" x14ac:dyDescent="0.25">
      <c r="A144" s="3">
        <v>45868</v>
      </c>
      <c r="B144">
        <v>48.39</v>
      </c>
      <c r="C144">
        <v>48.39</v>
      </c>
      <c r="D144">
        <v>48.39</v>
      </c>
      <c r="E144">
        <v>48.39</v>
      </c>
      <c r="F144">
        <f t="shared" si="9"/>
        <v>48.238500000000002</v>
      </c>
      <c r="G144">
        <f t="shared" si="12"/>
        <v>47.433999999999997</v>
      </c>
      <c r="H144">
        <f t="shared" si="11"/>
        <v>45.718299999999999</v>
      </c>
      <c r="I144">
        <f t="shared" si="10"/>
        <v>0.33381802480425016</v>
      </c>
      <c r="J144" s="8">
        <f t="shared" si="15"/>
        <v>48.906136049608506</v>
      </c>
      <c r="K144">
        <f t="shared" si="16"/>
        <v>47.570863950391498</v>
      </c>
      <c r="L144">
        <f t="shared" si="13"/>
        <v>47.433999999999997</v>
      </c>
      <c r="M144">
        <f t="shared" si="14"/>
        <v>47.433999999999997</v>
      </c>
    </row>
    <row r="145" spans="1:13" x14ac:dyDescent="0.25">
      <c r="A145" s="3">
        <v>45869</v>
      </c>
      <c r="B145">
        <v>48.17</v>
      </c>
      <c r="C145">
        <v>48.17</v>
      </c>
      <c r="D145">
        <v>48.17</v>
      </c>
      <c r="E145">
        <v>48.17</v>
      </c>
      <c r="F145">
        <f t="shared" si="9"/>
        <v>48.2485</v>
      </c>
      <c r="G145">
        <f t="shared" si="12"/>
        <v>47.466999999999999</v>
      </c>
      <c r="H145">
        <f t="shared" si="11"/>
        <v>45.750899999999994</v>
      </c>
      <c r="I145">
        <f t="shared" si="10"/>
        <v>0.32830145005050393</v>
      </c>
      <c r="J145" s="8">
        <f t="shared" si="15"/>
        <v>48.905102900101006</v>
      </c>
      <c r="K145">
        <f t="shared" si="16"/>
        <v>47.591897099898993</v>
      </c>
      <c r="L145">
        <f t="shared" si="13"/>
        <v>47.466999999999999</v>
      </c>
      <c r="M145">
        <f t="shared" si="14"/>
        <v>47.466999999999999</v>
      </c>
    </row>
    <row r="146" spans="1:13" x14ac:dyDescent="0.25">
      <c r="A146" s="3">
        <v>45870</v>
      </c>
      <c r="B146">
        <v>47.79</v>
      </c>
      <c r="C146">
        <v>47.79</v>
      </c>
      <c r="D146">
        <v>47.79</v>
      </c>
      <c r="E146">
        <v>47.79</v>
      </c>
      <c r="F146">
        <f t="shared" si="9"/>
        <v>48.228500000000004</v>
      </c>
      <c r="G146">
        <f t="shared" si="12"/>
        <v>47.4938</v>
      </c>
      <c r="H146">
        <f t="shared" si="11"/>
        <v>45.788499999999992</v>
      </c>
      <c r="I146">
        <f t="shared" si="10"/>
        <v>0.34386770712004994</v>
      </c>
      <c r="J146" s="8">
        <f t="shared" si="15"/>
        <v>48.916235414240106</v>
      </c>
      <c r="K146">
        <f t="shared" si="16"/>
        <v>47.540764585759902</v>
      </c>
      <c r="L146">
        <f t="shared" si="13"/>
        <v>47.4938</v>
      </c>
      <c r="M146">
        <f t="shared" si="14"/>
        <v>47.4938</v>
      </c>
    </row>
    <row r="147" spans="1:13" x14ac:dyDescent="0.25">
      <c r="A147" s="3">
        <v>45873</v>
      </c>
      <c r="B147">
        <v>48.36</v>
      </c>
      <c r="C147">
        <v>48.36</v>
      </c>
      <c r="D147">
        <v>48.36</v>
      </c>
      <c r="E147">
        <v>48.36</v>
      </c>
      <c r="F147">
        <f t="shared" si="9"/>
        <v>48.257000000000005</v>
      </c>
      <c r="G147">
        <f t="shared" si="12"/>
        <v>47.541800000000002</v>
      </c>
      <c r="H147">
        <f t="shared" si="11"/>
        <v>45.833499999999994</v>
      </c>
      <c r="I147">
        <f t="shared" si="10"/>
        <v>0.32890728176797845</v>
      </c>
      <c r="J147" s="8">
        <f t="shared" si="15"/>
        <v>48.914814563535963</v>
      </c>
      <c r="K147">
        <f t="shared" si="16"/>
        <v>47.599185436464047</v>
      </c>
      <c r="L147">
        <f t="shared" si="13"/>
        <v>47.541800000000002</v>
      </c>
      <c r="M147">
        <f t="shared" si="14"/>
        <v>47.541800000000002</v>
      </c>
    </row>
    <row r="148" spans="1:13" x14ac:dyDescent="0.25">
      <c r="A148" s="3">
        <v>45874</v>
      </c>
      <c r="B148">
        <v>48.29</v>
      </c>
      <c r="C148">
        <v>48.29</v>
      </c>
      <c r="D148">
        <v>48.29</v>
      </c>
      <c r="E148">
        <v>48.29</v>
      </c>
      <c r="F148">
        <f t="shared" si="9"/>
        <v>48.278500000000001</v>
      </c>
      <c r="G148">
        <f t="shared" si="12"/>
        <v>47.5884</v>
      </c>
      <c r="H148">
        <f t="shared" si="11"/>
        <v>45.875999999999998</v>
      </c>
      <c r="I148">
        <f t="shared" si="10"/>
        <v>0.31536570250391821</v>
      </c>
      <c r="J148" s="8">
        <f t="shared" si="15"/>
        <v>48.909231405007837</v>
      </c>
      <c r="K148">
        <f t="shared" si="16"/>
        <v>47.647768594992165</v>
      </c>
      <c r="L148">
        <f t="shared" si="13"/>
        <v>47.5884</v>
      </c>
      <c r="M148">
        <f t="shared" si="14"/>
        <v>47.5884</v>
      </c>
    </row>
    <row r="149" spans="1:13" x14ac:dyDescent="0.25">
      <c r="A149" s="3">
        <v>45875</v>
      </c>
      <c r="B149">
        <v>48.54</v>
      </c>
      <c r="C149">
        <v>48.54</v>
      </c>
      <c r="D149">
        <v>48.54</v>
      </c>
      <c r="E149">
        <v>48.54</v>
      </c>
      <c r="F149">
        <f t="shared" si="9"/>
        <v>48.3005</v>
      </c>
      <c r="G149">
        <f t="shared" si="12"/>
        <v>47.641599999999997</v>
      </c>
      <c r="H149">
        <f t="shared" si="11"/>
        <v>45.924799999999998</v>
      </c>
      <c r="I149">
        <f t="shared" si="10"/>
        <v>0.31759747778396669</v>
      </c>
      <c r="J149" s="8">
        <f t="shared" si="15"/>
        <v>48.935694955567932</v>
      </c>
      <c r="K149">
        <f t="shared" si="16"/>
        <v>47.665305044432067</v>
      </c>
      <c r="L149">
        <f t="shared" si="13"/>
        <v>47.641599999999997</v>
      </c>
      <c r="M149">
        <f t="shared" si="14"/>
        <v>47.641599999999997</v>
      </c>
    </row>
    <row r="150" spans="1:13" x14ac:dyDescent="0.25">
      <c r="A150" s="3">
        <v>45876</v>
      </c>
      <c r="B150">
        <v>48.64</v>
      </c>
      <c r="C150">
        <v>48.64</v>
      </c>
      <c r="D150">
        <v>48.64</v>
      </c>
      <c r="E150">
        <v>48.64</v>
      </c>
      <c r="F150">
        <f t="shared" ref="F150:F213" si="17">AVERAGE(E131:E150)</f>
        <v>48.322499999999998</v>
      </c>
      <c r="G150">
        <f t="shared" si="12"/>
        <v>47.68419999999999</v>
      </c>
      <c r="H150">
        <f t="shared" si="11"/>
        <v>45.967800000000004</v>
      </c>
      <c r="I150">
        <f t="shared" ref="I150:I213" si="18">_xlfn.STDEV.S(E131:E150)</f>
        <v>0.32541269344116247</v>
      </c>
      <c r="J150" s="8">
        <f t="shared" si="15"/>
        <v>48.973325386882323</v>
      </c>
      <c r="K150">
        <f t="shared" si="16"/>
        <v>47.671674613117673</v>
      </c>
      <c r="L150">
        <f t="shared" si="13"/>
        <v>47.68419999999999</v>
      </c>
      <c r="M150">
        <f t="shared" si="14"/>
        <v>47.68419999999999</v>
      </c>
    </row>
    <row r="151" spans="1:13" x14ac:dyDescent="0.25">
      <c r="A151" s="3">
        <v>45877</v>
      </c>
      <c r="B151">
        <v>48.82</v>
      </c>
      <c r="C151">
        <v>48.82</v>
      </c>
      <c r="D151">
        <v>48.82</v>
      </c>
      <c r="E151">
        <v>48.82</v>
      </c>
      <c r="F151">
        <f t="shared" si="17"/>
        <v>48.36549999999999</v>
      </c>
      <c r="G151">
        <f t="shared" si="12"/>
        <v>47.735799999999998</v>
      </c>
      <c r="H151">
        <f t="shared" si="11"/>
        <v>46.009099999999997</v>
      </c>
      <c r="I151">
        <f t="shared" si="18"/>
        <v>0.33174935053281995</v>
      </c>
      <c r="J151" s="8">
        <f t="shared" si="15"/>
        <v>49.028998701065632</v>
      </c>
      <c r="K151">
        <f t="shared" si="16"/>
        <v>47.702001298934348</v>
      </c>
      <c r="L151">
        <f t="shared" si="13"/>
        <v>47.735799999999998</v>
      </c>
      <c r="M151">
        <f t="shared" si="14"/>
        <v>47.735799999999998</v>
      </c>
    </row>
    <row r="152" spans="1:13" x14ac:dyDescent="0.25">
      <c r="A152" s="3">
        <v>45880</v>
      </c>
      <c r="B152">
        <v>48.72</v>
      </c>
      <c r="C152">
        <v>48.72</v>
      </c>
      <c r="D152">
        <v>48.72</v>
      </c>
      <c r="E152">
        <v>48.72</v>
      </c>
      <c r="F152">
        <f t="shared" si="17"/>
        <v>48.400499999999994</v>
      </c>
      <c r="G152">
        <f t="shared" si="12"/>
        <v>47.781999999999989</v>
      </c>
      <c r="H152">
        <f t="shared" si="11"/>
        <v>46.051500000000004</v>
      </c>
      <c r="I152">
        <f t="shared" si="18"/>
        <v>0.33030249293958686</v>
      </c>
      <c r="J152" s="8">
        <f t="shared" si="15"/>
        <v>49.061104985879169</v>
      </c>
      <c r="K152">
        <f t="shared" si="16"/>
        <v>47.739895014120819</v>
      </c>
      <c r="L152">
        <f t="shared" si="13"/>
        <v>47.781999999999989</v>
      </c>
      <c r="M152">
        <f t="shared" si="14"/>
        <v>47.781999999999989</v>
      </c>
    </row>
    <row r="153" spans="1:13" x14ac:dyDescent="0.25">
      <c r="A153" s="3">
        <v>45881</v>
      </c>
      <c r="B153">
        <v>49.18</v>
      </c>
      <c r="C153">
        <v>49.18</v>
      </c>
      <c r="D153">
        <v>49.18</v>
      </c>
      <c r="E153">
        <v>49.18</v>
      </c>
      <c r="F153">
        <f t="shared" si="17"/>
        <v>48.469499999999996</v>
      </c>
      <c r="G153">
        <f t="shared" si="12"/>
        <v>47.837399999999995</v>
      </c>
      <c r="H153">
        <f t="shared" si="11"/>
        <v>46.095500000000008</v>
      </c>
      <c r="I153">
        <f t="shared" si="18"/>
        <v>0.34218300736055879</v>
      </c>
      <c r="J153" s="8">
        <f t="shared" si="15"/>
        <v>49.153866014721117</v>
      </c>
      <c r="K153">
        <f t="shared" si="16"/>
        <v>47.785133985278875</v>
      </c>
      <c r="L153">
        <f t="shared" si="13"/>
        <v>47.837399999999995</v>
      </c>
      <c r="M153">
        <f t="shared" si="14"/>
        <v>47.837399999999995</v>
      </c>
    </row>
    <row r="154" spans="1:13" x14ac:dyDescent="0.25">
      <c r="A154" s="3">
        <v>45882</v>
      </c>
      <c r="B154">
        <v>49.43</v>
      </c>
      <c r="C154">
        <v>49.43</v>
      </c>
      <c r="D154">
        <v>49.43</v>
      </c>
      <c r="E154">
        <v>49.43</v>
      </c>
      <c r="F154">
        <f t="shared" si="17"/>
        <v>48.54399999999999</v>
      </c>
      <c r="G154">
        <f t="shared" si="12"/>
        <v>47.893399999999986</v>
      </c>
      <c r="H154">
        <f t="shared" si="11"/>
        <v>46.143400000000014</v>
      </c>
      <c r="I154">
        <f t="shared" si="18"/>
        <v>0.38084946604856101</v>
      </c>
      <c r="J154" s="8">
        <f t="shared" si="15"/>
        <v>49.305698932097108</v>
      </c>
      <c r="K154">
        <f t="shared" si="16"/>
        <v>47.782301067902871</v>
      </c>
      <c r="L154">
        <f t="shared" si="13"/>
        <v>47.893399999999986</v>
      </c>
      <c r="M154">
        <f t="shared" si="14"/>
        <v>47.893399999999986</v>
      </c>
    </row>
    <row r="155" spans="1:13" x14ac:dyDescent="0.25">
      <c r="A155" s="3">
        <v>45883</v>
      </c>
      <c r="B155">
        <v>49.33</v>
      </c>
      <c r="C155">
        <v>49.33</v>
      </c>
      <c r="D155">
        <v>49.33</v>
      </c>
      <c r="E155">
        <v>49.33</v>
      </c>
      <c r="F155">
        <f t="shared" si="17"/>
        <v>48.602499999999999</v>
      </c>
      <c r="G155">
        <f t="shared" si="12"/>
        <v>47.945799999999984</v>
      </c>
      <c r="H155">
        <f t="shared" si="11"/>
        <v>46.191100000000006</v>
      </c>
      <c r="I155">
        <f t="shared" si="18"/>
        <v>0.4076747284423286</v>
      </c>
      <c r="J155" s="8">
        <f t="shared" si="15"/>
        <v>49.417849456884653</v>
      </c>
      <c r="K155">
        <f t="shared" si="16"/>
        <v>47.787150543115345</v>
      </c>
      <c r="L155">
        <f t="shared" si="13"/>
        <v>47.945799999999984</v>
      </c>
      <c r="M155">
        <f t="shared" si="14"/>
        <v>47.945799999999984</v>
      </c>
    </row>
    <row r="156" spans="1:13" x14ac:dyDescent="0.25">
      <c r="A156" s="3">
        <v>45884</v>
      </c>
      <c r="B156">
        <v>49.3</v>
      </c>
      <c r="C156">
        <v>49.3</v>
      </c>
      <c r="D156">
        <v>49.3</v>
      </c>
      <c r="E156">
        <v>49.3</v>
      </c>
      <c r="F156">
        <f t="shared" si="17"/>
        <v>48.66</v>
      </c>
      <c r="G156">
        <f t="shared" si="12"/>
        <v>47.99499999999999</v>
      </c>
      <c r="H156">
        <f t="shared" si="11"/>
        <v>46.234600000000022</v>
      </c>
      <c r="I156">
        <f t="shared" si="18"/>
        <v>0.42136370088209119</v>
      </c>
      <c r="J156" s="8">
        <f t="shared" si="15"/>
        <v>49.502727401764176</v>
      </c>
      <c r="K156">
        <f t="shared" si="16"/>
        <v>47.817272598235817</v>
      </c>
      <c r="L156">
        <f t="shared" si="13"/>
        <v>47.99499999999999</v>
      </c>
      <c r="M156">
        <f t="shared" si="14"/>
        <v>47.99499999999999</v>
      </c>
    </row>
    <row r="157" spans="1:13" x14ac:dyDescent="0.25">
      <c r="A157" s="3">
        <v>45887</v>
      </c>
      <c r="B157">
        <v>49.33</v>
      </c>
      <c r="C157">
        <v>49.33</v>
      </c>
      <c r="D157">
        <v>49.33</v>
      </c>
      <c r="E157">
        <v>49.33</v>
      </c>
      <c r="F157">
        <f t="shared" si="17"/>
        <v>48.713499999999996</v>
      </c>
      <c r="G157">
        <f t="shared" si="12"/>
        <v>48.04699999999999</v>
      </c>
      <c r="H157">
        <f t="shared" si="11"/>
        <v>46.277800000000013</v>
      </c>
      <c r="I157">
        <f t="shared" si="18"/>
        <v>0.43559124973087432</v>
      </c>
      <c r="J157" s="8">
        <f t="shared" si="15"/>
        <v>49.584682499461742</v>
      </c>
      <c r="K157">
        <f t="shared" si="16"/>
        <v>47.84231750053825</v>
      </c>
      <c r="L157">
        <f t="shared" si="13"/>
        <v>48.04699999999999</v>
      </c>
      <c r="M157">
        <f t="shared" si="14"/>
        <v>48.04699999999999</v>
      </c>
    </row>
    <row r="158" spans="1:13" x14ac:dyDescent="0.25">
      <c r="A158" s="3">
        <v>45888</v>
      </c>
      <c r="B158">
        <v>49.14</v>
      </c>
      <c r="C158">
        <v>49.14</v>
      </c>
      <c r="D158">
        <v>49.14</v>
      </c>
      <c r="E158">
        <v>49.14</v>
      </c>
      <c r="F158">
        <f t="shared" si="17"/>
        <v>48.751500000000007</v>
      </c>
      <c r="G158">
        <f t="shared" si="12"/>
        <v>48.089999999999989</v>
      </c>
      <c r="H158">
        <f t="shared" si="11"/>
        <v>46.323100000000025</v>
      </c>
      <c r="I158">
        <f t="shared" si="18"/>
        <v>0.43810927500123192</v>
      </c>
      <c r="J158" s="8">
        <f t="shared" si="15"/>
        <v>49.62771855000247</v>
      </c>
      <c r="K158">
        <f t="shared" si="16"/>
        <v>47.875281449997544</v>
      </c>
      <c r="L158">
        <f t="shared" si="13"/>
        <v>48.089999999999989</v>
      </c>
      <c r="M158">
        <f t="shared" si="14"/>
        <v>48.089999999999989</v>
      </c>
    </row>
    <row r="159" spans="1:13" x14ac:dyDescent="0.25">
      <c r="A159" s="3">
        <v>45889</v>
      </c>
      <c r="B159">
        <v>49.11</v>
      </c>
      <c r="C159">
        <v>49.11</v>
      </c>
      <c r="D159">
        <v>49.11</v>
      </c>
      <c r="E159">
        <v>49.11</v>
      </c>
      <c r="F159">
        <f t="shared" si="17"/>
        <v>48.765000000000001</v>
      </c>
      <c r="G159">
        <f t="shared" si="12"/>
        <v>48.130599999999994</v>
      </c>
      <c r="H159">
        <f t="shared" si="11"/>
        <v>46.368500000000019</v>
      </c>
      <c r="I159">
        <f t="shared" si="18"/>
        <v>0.44508426168535742</v>
      </c>
      <c r="J159" s="8">
        <f t="shared" si="15"/>
        <v>49.655168523370719</v>
      </c>
      <c r="K159">
        <f t="shared" si="16"/>
        <v>47.874831476629282</v>
      </c>
      <c r="L159">
        <f t="shared" si="13"/>
        <v>48.130599999999994</v>
      </c>
      <c r="M159">
        <f t="shared" si="14"/>
        <v>48.130599999999994</v>
      </c>
    </row>
    <row r="160" spans="1:13" x14ac:dyDescent="0.25">
      <c r="A160" s="3">
        <v>45890</v>
      </c>
      <c r="B160">
        <v>48.96</v>
      </c>
      <c r="C160">
        <v>48.96</v>
      </c>
      <c r="D160">
        <v>48.96</v>
      </c>
      <c r="E160">
        <v>48.96</v>
      </c>
      <c r="F160">
        <f t="shared" si="17"/>
        <v>48.776000000000003</v>
      </c>
      <c r="G160">
        <f t="shared" si="12"/>
        <v>48.164799999999993</v>
      </c>
      <c r="H160">
        <f t="shared" si="11"/>
        <v>46.417800000000014</v>
      </c>
      <c r="I160">
        <f t="shared" si="18"/>
        <v>0.44714768548163003</v>
      </c>
      <c r="J160" s="8">
        <f t="shared" si="15"/>
        <v>49.670295370963267</v>
      </c>
      <c r="K160">
        <f t="shared" si="16"/>
        <v>47.88170462903674</v>
      </c>
      <c r="L160">
        <f t="shared" si="13"/>
        <v>48.164799999999993</v>
      </c>
      <c r="M160">
        <f t="shared" si="14"/>
        <v>48.164799999999993</v>
      </c>
    </row>
    <row r="161" spans="1:13" x14ac:dyDescent="0.25">
      <c r="A161" s="3">
        <v>45891</v>
      </c>
      <c r="B161">
        <v>49.65</v>
      </c>
      <c r="C161">
        <v>49.65</v>
      </c>
      <c r="D161">
        <v>49.65</v>
      </c>
      <c r="E161">
        <v>49.65</v>
      </c>
      <c r="F161">
        <f t="shared" si="17"/>
        <v>48.817499999999995</v>
      </c>
      <c r="G161">
        <f t="shared" si="12"/>
        <v>48.2134</v>
      </c>
      <c r="H161">
        <f t="shared" si="11"/>
        <v>46.474000000000004</v>
      </c>
      <c r="I161">
        <f t="shared" si="18"/>
        <v>0.48808837638064534</v>
      </c>
      <c r="J161" s="8">
        <f t="shared" si="15"/>
        <v>49.793676752761286</v>
      </c>
      <c r="K161">
        <f t="shared" si="16"/>
        <v>47.841323247238705</v>
      </c>
      <c r="L161">
        <f t="shared" si="13"/>
        <v>48.2134</v>
      </c>
      <c r="M161">
        <f t="shared" si="14"/>
        <v>48.2134</v>
      </c>
    </row>
    <row r="162" spans="1:13" x14ac:dyDescent="0.25">
      <c r="A162" s="3">
        <v>45894</v>
      </c>
      <c r="B162">
        <v>49.37</v>
      </c>
      <c r="C162">
        <v>49.37</v>
      </c>
      <c r="D162">
        <v>49.37</v>
      </c>
      <c r="E162">
        <v>49.37</v>
      </c>
      <c r="F162">
        <f t="shared" si="17"/>
        <v>48.854999999999997</v>
      </c>
      <c r="G162">
        <f t="shared" si="12"/>
        <v>48.252600000000008</v>
      </c>
      <c r="H162">
        <f t="shared" si="11"/>
        <v>46.525900000000007</v>
      </c>
      <c r="I162">
        <f t="shared" si="18"/>
        <v>0.50076257637201316</v>
      </c>
      <c r="J162" s="8">
        <f t="shared" si="15"/>
        <v>49.856525152744027</v>
      </c>
      <c r="K162">
        <f t="shared" si="16"/>
        <v>47.853474847255967</v>
      </c>
      <c r="L162">
        <f t="shared" si="13"/>
        <v>48.252600000000008</v>
      </c>
      <c r="M162">
        <f t="shared" si="14"/>
        <v>48.252600000000008</v>
      </c>
    </row>
    <row r="163" spans="1:13" x14ac:dyDescent="0.25">
      <c r="A163" s="3">
        <v>45895</v>
      </c>
      <c r="B163">
        <v>49.49</v>
      </c>
      <c r="C163">
        <v>49.49</v>
      </c>
      <c r="D163">
        <v>49.49</v>
      </c>
      <c r="E163">
        <v>49.49</v>
      </c>
      <c r="F163">
        <f t="shared" si="17"/>
        <v>48.900500000000001</v>
      </c>
      <c r="G163">
        <f t="shared" si="12"/>
        <v>48.304399999999994</v>
      </c>
      <c r="H163">
        <f t="shared" si="11"/>
        <v>46.577000000000005</v>
      </c>
      <c r="I163">
        <f t="shared" si="18"/>
        <v>0.51558321601035328</v>
      </c>
      <c r="J163" s="8">
        <f t="shared" si="15"/>
        <v>49.931666432020705</v>
      </c>
      <c r="K163">
        <f t="shared" si="16"/>
        <v>47.869333567979297</v>
      </c>
      <c r="L163">
        <f t="shared" si="13"/>
        <v>48.304399999999994</v>
      </c>
      <c r="M163">
        <f t="shared" si="14"/>
        <v>48.304399999999994</v>
      </c>
    </row>
    <row r="164" spans="1:13" x14ac:dyDescent="0.25">
      <c r="A164" s="3">
        <v>45896</v>
      </c>
      <c r="B164">
        <v>49.52</v>
      </c>
      <c r="C164">
        <v>49.52</v>
      </c>
      <c r="D164">
        <v>49.52</v>
      </c>
      <c r="E164">
        <v>49.52</v>
      </c>
      <c r="F164">
        <f t="shared" si="17"/>
        <v>48.957000000000001</v>
      </c>
      <c r="G164">
        <f t="shared" si="12"/>
        <v>48.350599999999993</v>
      </c>
      <c r="H164">
        <f t="shared" si="11"/>
        <v>46.641400000000004</v>
      </c>
      <c r="I164">
        <f t="shared" si="18"/>
        <v>0.51860237277960031</v>
      </c>
      <c r="J164" s="8">
        <f t="shared" si="15"/>
        <v>49.994204745559202</v>
      </c>
      <c r="K164">
        <f t="shared" si="16"/>
        <v>47.9197952544408</v>
      </c>
      <c r="L164">
        <f t="shared" si="13"/>
        <v>48.350599999999993</v>
      </c>
      <c r="M164">
        <f t="shared" si="14"/>
        <v>48.350599999999993</v>
      </c>
    </row>
    <row r="165" spans="1:13" x14ac:dyDescent="0.25">
      <c r="A165" s="3">
        <v>45897</v>
      </c>
      <c r="B165">
        <v>49.68</v>
      </c>
      <c r="C165">
        <v>49.68</v>
      </c>
      <c r="D165">
        <v>49.68</v>
      </c>
      <c r="E165">
        <v>49.68</v>
      </c>
      <c r="F165">
        <f t="shared" si="17"/>
        <v>49.032499999999999</v>
      </c>
      <c r="G165">
        <f t="shared" si="12"/>
        <v>48.406999999999989</v>
      </c>
      <c r="H165">
        <f t="shared" si="11"/>
        <v>46.726900000000008</v>
      </c>
      <c r="I165">
        <f t="shared" si="18"/>
        <v>0.50780098671158891</v>
      </c>
      <c r="J165" s="8">
        <f t="shared" si="15"/>
        <v>50.048101973423179</v>
      </c>
      <c r="K165">
        <f t="shared" si="16"/>
        <v>48.016898026576818</v>
      </c>
      <c r="L165">
        <f t="shared" si="13"/>
        <v>48.406999999999989</v>
      </c>
      <c r="M165">
        <f t="shared" si="14"/>
        <v>48.406999999999989</v>
      </c>
    </row>
    <row r="166" spans="1:13" x14ac:dyDescent="0.25">
      <c r="A166" s="3">
        <v>45898</v>
      </c>
      <c r="B166">
        <v>49.43</v>
      </c>
      <c r="C166">
        <v>49.43</v>
      </c>
      <c r="D166">
        <v>49.43</v>
      </c>
      <c r="E166">
        <v>49.43</v>
      </c>
      <c r="F166">
        <f t="shared" si="17"/>
        <v>49.1145</v>
      </c>
      <c r="G166">
        <f t="shared" si="12"/>
        <v>48.457999999999984</v>
      </c>
      <c r="H166">
        <f t="shared" ref="H166:H229" si="19">AVERAGE(E67:E166)</f>
        <v>46.814700000000009</v>
      </c>
      <c r="I166">
        <f t="shared" si="18"/>
        <v>0.42171922562666969</v>
      </c>
      <c r="J166" s="8">
        <f t="shared" si="15"/>
        <v>49.957938451253341</v>
      </c>
      <c r="K166">
        <f t="shared" si="16"/>
        <v>48.271061548746658</v>
      </c>
      <c r="L166">
        <f t="shared" si="13"/>
        <v>48.457999999999984</v>
      </c>
      <c r="M166">
        <f t="shared" si="14"/>
        <v>48.457999999999984</v>
      </c>
    </row>
    <row r="167" spans="1:13" x14ac:dyDescent="0.25">
      <c r="A167" s="3">
        <v>45902</v>
      </c>
      <c r="B167">
        <v>49.15</v>
      </c>
      <c r="C167">
        <v>49.15</v>
      </c>
      <c r="D167">
        <v>49.15</v>
      </c>
      <c r="E167">
        <v>49.15</v>
      </c>
      <c r="F167">
        <f t="shared" si="17"/>
        <v>49.153999999999996</v>
      </c>
      <c r="G167">
        <f t="shared" si="12"/>
        <v>48.506599999999978</v>
      </c>
      <c r="H167">
        <f t="shared" si="19"/>
        <v>46.904100000000007</v>
      </c>
      <c r="I167">
        <f t="shared" si="18"/>
        <v>0.38250421394307615</v>
      </c>
      <c r="J167" s="8">
        <f t="shared" si="15"/>
        <v>49.919008427886148</v>
      </c>
      <c r="K167">
        <f t="shared" si="16"/>
        <v>48.388991572113845</v>
      </c>
      <c r="L167">
        <f t="shared" si="13"/>
        <v>48.506599999999978</v>
      </c>
      <c r="M167">
        <f t="shared" si="14"/>
        <v>48.506599999999978</v>
      </c>
    </row>
    <row r="168" spans="1:13" x14ac:dyDescent="0.25">
      <c r="A168" s="3">
        <v>45903</v>
      </c>
      <c r="B168">
        <v>49.31</v>
      </c>
      <c r="C168">
        <v>49.31</v>
      </c>
      <c r="D168">
        <v>49.31</v>
      </c>
      <c r="E168">
        <v>49.31</v>
      </c>
      <c r="F168">
        <f t="shared" si="17"/>
        <v>49.204999999999998</v>
      </c>
      <c r="G168">
        <f t="shared" si="12"/>
        <v>48.551799999999986</v>
      </c>
      <c r="H168">
        <f t="shared" si="19"/>
        <v>46.970500000000001</v>
      </c>
      <c r="I168">
        <f t="shared" si="18"/>
        <v>0.32490484436945055</v>
      </c>
      <c r="J168" s="8">
        <f t="shared" si="15"/>
        <v>49.854809688738897</v>
      </c>
      <c r="K168">
        <f t="shared" si="16"/>
        <v>48.5551903112611</v>
      </c>
      <c r="L168">
        <f t="shared" si="13"/>
        <v>48.551799999999986</v>
      </c>
      <c r="M168">
        <f t="shared" si="14"/>
        <v>48.551799999999986</v>
      </c>
    </row>
    <row r="169" spans="1:13" x14ac:dyDescent="0.25">
      <c r="A169" s="3">
        <v>45904</v>
      </c>
      <c r="B169">
        <v>49.62</v>
      </c>
      <c r="C169">
        <v>49.62</v>
      </c>
      <c r="D169">
        <v>49.62</v>
      </c>
      <c r="E169">
        <v>49.62</v>
      </c>
      <c r="F169">
        <f t="shared" si="17"/>
        <v>49.259</v>
      </c>
      <c r="G169">
        <f t="shared" si="12"/>
        <v>48.603199999999987</v>
      </c>
      <c r="H169">
        <f t="shared" si="19"/>
        <v>47.048600000000008</v>
      </c>
      <c r="I169">
        <f t="shared" si="18"/>
        <v>0.29712481871216473</v>
      </c>
      <c r="J169" s="8">
        <f t="shared" si="15"/>
        <v>49.853249637424327</v>
      </c>
      <c r="K169">
        <f t="shared" si="16"/>
        <v>48.664750362575674</v>
      </c>
      <c r="L169">
        <f t="shared" si="13"/>
        <v>48.603199999999987</v>
      </c>
      <c r="M169">
        <f t="shared" si="14"/>
        <v>48.603199999999987</v>
      </c>
    </row>
    <row r="170" spans="1:13" x14ac:dyDescent="0.25">
      <c r="A170" s="3">
        <v>45905</v>
      </c>
      <c r="B170">
        <v>49.71</v>
      </c>
      <c r="C170">
        <v>49.71</v>
      </c>
      <c r="D170">
        <v>49.71</v>
      </c>
      <c r="E170">
        <v>49.71</v>
      </c>
      <c r="F170">
        <f t="shared" si="17"/>
        <v>49.312499999999993</v>
      </c>
      <c r="G170">
        <f t="shared" si="12"/>
        <v>48.647199999999984</v>
      </c>
      <c r="H170">
        <f t="shared" si="19"/>
        <v>47.121000000000002</v>
      </c>
      <c r="I170">
        <f t="shared" si="18"/>
        <v>0.27533472451965774</v>
      </c>
      <c r="J170" s="8">
        <f t="shared" si="15"/>
        <v>49.863169449039312</v>
      </c>
      <c r="K170">
        <f t="shared" si="16"/>
        <v>48.761830550960674</v>
      </c>
      <c r="L170">
        <f t="shared" si="13"/>
        <v>48.647199999999984</v>
      </c>
      <c r="M170">
        <f t="shared" si="14"/>
        <v>48.647199999999984</v>
      </c>
    </row>
    <row r="171" spans="1:13" x14ac:dyDescent="0.25">
      <c r="A171" s="3">
        <v>45908</v>
      </c>
      <c r="B171">
        <v>49.94</v>
      </c>
      <c r="C171">
        <v>49.94</v>
      </c>
      <c r="D171">
        <v>49.94</v>
      </c>
      <c r="E171">
        <v>49.94</v>
      </c>
      <c r="F171">
        <f t="shared" si="17"/>
        <v>49.368499999999997</v>
      </c>
      <c r="G171">
        <f t="shared" si="12"/>
        <v>48.688199999999995</v>
      </c>
      <c r="H171">
        <f t="shared" si="19"/>
        <v>47.191699999999997</v>
      </c>
      <c r="I171">
        <f t="shared" si="18"/>
        <v>0.28366538849774903</v>
      </c>
      <c r="J171" s="8">
        <f t="shared" si="15"/>
        <v>49.935830776995495</v>
      </c>
      <c r="K171">
        <f t="shared" si="16"/>
        <v>48.8011692230045</v>
      </c>
      <c r="L171">
        <f t="shared" si="13"/>
        <v>48.688199999999995</v>
      </c>
      <c r="M171">
        <f t="shared" si="14"/>
        <v>48.688199999999995</v>
      </c>
    </row>
    <row r="172" spans="1:13" x14ac:dyDescent="0.25">
      <c r="A172" s="3">
        <v>45909</v>
      </c>
      <c r="B172">
        <v>49.97</v>
      </c>
      <c r="C172">
        <v>49.97</v>
      </c>
      <c r="D172">
        <v>49.97</v>
      </c>
      <c r="E172">
        <v>49.97</v>
      </c>
      <c r="F172">
        <f t="shared" si="17"/>
        <v>49.430999999999997</v>
      </c>
      <c r="G172">
        <f t="shared" si="12"/>
        <v>48.726399999999984</v>
      </c>
      <c r="H172">
        <f t="shared" si="19"/>
        <v>47.262100000000004</v>
      </c>
      <c r="I172">
        <f t="shared" si="18"/>
        <v>0.27066973466414335</v>
      </c>
      <c r="J172" s="8">
        <f t="shared" si="15"/>
        <v>49.972339469328283</v>
      </c>
      <c r="K172">
        <f t="shared" si="16"/>
        <v>48.889660530671712</v>
      </c>
      <c r="L172">
        <f t="shared" si="13"/>
        <v>48.726399999999984</v>
      </c>
      <c r="M172">
        <f t="shared" si="14"/>
        <v>48.726399999999984</v>
      </c>
    </row>
    <row r="173" spans="1:13" x14ac:dyDescent="0.25">
      <c r="A173" s="3">
        <v>45910</v>
      </c>
      <c r="B173">
        <v>50.09</v>
      </c>
      <c r="C173">
        <v>50.09</v>
      </c>
      <c r="D173">
        <v>50.09</v>
      </c>
      <c r="E173">
        <v>50.09</v>
      </c>
      <c r="F173">
        <f t="shared" si="17"/>
        <v>49.476499999999994</v>
      </c>
      <c r="G173">
        <f t="shared" si="12"/>
        <v>48.771999999999998</v>
      </c>
      <c r="H173">
        <f t="shared" si="19"/>
        <v>47.338400000000007</v>
      </c>
      <c r="I173">
        <f t="shared" si="18"/>
        <v>0.30103811613883907</v>
      </c>
      <c r="J173" s="8">
        <f t="shared" si="15"/>
        <v>50.078576232277669</v>
      </c>
      <c r="K173">
        <f t="shared" si="16"/>
        <v>48.87442376772232</v>
      </c>
      <c r="L173">
        <f t="shared" si="13"/>
        <v>48.771999999999998</v>
      </c>
      <c r="M173">
        <f t="shared" si="14"/>
        <v>48.771999999999998</v>
      </c>
    </row>
    <row r="174" spans="1:13" x14ac:dyDescent="0.25">
      <c r="A174" s="3">
        <v>45911</v>
      </c>
      <c r="B174">
        <v>50.49</v>
      </c>
      <c r="C174">
        <v>50.49</v>
      </c>
      <c r="D174">
        <v>50.49</v>
      </c>
      <c r="E174">
        <v>50.49</v>
      </c>
      <c r="F174">
        <f t="shared" si="17"/>
        <v>49.529499999999992</v>
      </c>
      <c r="G174">
        <f t="shared" si="12"/>
        <v>48.825999999999993</v>
      </c>
      <c r="H174">
        <f t="shared" si="19"/>
        <v>47.418700000000008</v>
      </c>
      <c r="I174">
        <f t="shared" si="18"/>
        <v>0.37631838423838637</v>
      </c>
      <c r="J174" s="8">
        <f t="shared" si="15"/>
        <v>50.282136768476761</v>
      </c>
      <c r="K174">
        <f t="shared" si="16"/>
        <v>48.776863231523222</v>
      </c>
      <c r="L174">
        <f t="shared" si="13"/>
        <v>48.825999999999993</v>
      </c>
      <c r="M174">
        <f t="shared" si="14"/>
        <v>48.825999999999993</v>
      </c>
    </row>
    <row r="175" spans="1:13" x14ac:dyDescent="0.25">
      <c r="A175" s="3">
        <v>45912</v>
      </c>
      <c r="B175">
        <v>50.4</v>
      </c>
      <c r="C175">
        <v>50.4</v>
      </c>
      <c r="D175">
        <v>50.4</v>
      </c>
      <c r="E175">
        <v>50.4</v>
      </c>
      <c r="F175">
        <f t="shared" si="17"/>
        <v>49.583000000000006</v>
      </c>
      <c r="G175">
        <f t="shared" si="12"/>
        <v>48.874600000000001</v>
      </c>
      <c r="H175">
        <f t="shared" si="19"/>
        <v>47.501300000000001</v>
      </c>
      <c r="I175">
        <f t="shared" si="18"/>
        <v>0.41998872165308165</v>
      </c>
      <c r="J175" s="8">
        <f t="shared" si="15"/>
        <v>50.422977443306166</v>
      </c>
      <c r="K175">
        <f t="shared" si="16"/>
        <v>48.743022556693845</v>
      </c>
      <c r="L175">
        <f t="shared" si="13"/>
        <v>48.874600000000001</v>
      </c>
      <c r="M175">
        <f t="shared" si="14"/>
        <v>48.874600000000001</v>
      </c>
    </row>
    <row r="176" spans="1:13" x14ac:dyDescent="0.25">
      <c r="A176" s="3">
        <v>45915</v>
      </c>
      <c r="B176">
        <v>50.64</v>
      </c>
      <c r="C176">
        <v>50.64</v>
      </c>
      <c r="D176">
        <v>50.64</v>
      </c>
      <c r="E176">
        <v>50.64</v>
      </c>
      <c r="F176">
        <f t="shared" si="17"/>
        <v>49.650000000000006</v>
      </c>
      <c r="G176">
        <f t="shared" si="12"/>
        <v>48.923599999999993</v>
      </c>
      <c r="H176">
        <f t="shared" si="19"/>
        <v>47.579200000000007</v>
      </c>
      <c r="I176">
        <f t="shared" si="18"/>
        <v>0.47566020600734255</v>
      </c>
      <c r="J176" s="8">
        <f t="shared" si="15"/>
        <v>50.601320412014694</v>
      </c>
      <c r="K176">
        <f t="shared" si="16"/>
        <v>48.698679587985318</v>
      </c>
      <c r="L176">
        <f t="shared" si="13"/>
        <v>48.923599999999993</v>
      </c>
      <c r="M176">
        <f t="shared" si="14"/>
        <v>48.923599999999993</v>
      </c>
    </row>
    <row r="177" spans="1:13" x14ac:dyDescent="0.25">
      <c r="A177" s="3">
        <v>45916</v>
      </c>
      <c r="B177">
        <v>50.66</v>
      </c>
      <c r="C177">
        <v>50.66</v>
      </c>
      <c r="D177">
        <v>50.66</v>
      </c>
      <c r="E177">
        <v>50.66</v>
      </c>
      <c r="F177">
        <f t="shared" si="17"/>
        <v>49.716499999999996</v>
      </c>
      <c r="G177">
        <f t="shared" si="12"/>
        <v>48.980999999999995</v>
      </c>
      <c r="H177">
        <f t="shared" si="19"/>
        <v>47.653100000000002</v>
      </c>
      <c r="I177">
        <f t="shared" si="18"/>
        <v>0.51951672887304323</v>
      </c>
      <c r="J177" s="8">
        <f t="shared" si="15"/>
        <v>50.755533457746083</v>
      </c>
      <c r="K177">
        <f t="shared" si="16"/>
        <v>48.67746654225391</v>
      </c>
      <c r="L177">
        <f t="shared" si="13"/>
        <v>48.980999999999995</v>
      </c>
      <c r="M177">
        <f t="shared" si="14"/>
        <v>48.980999999999995</v>
      </c>
    </row>
    <row r="178" spans="1:13" x14ac:dyDescent="0.25">
      <c r="A178" s="3">
        <v>45917</v>
      </c>
      <c r="B178">
        <v>50.58</v>
      </c>
      <c r="C178">
        <v>50.58</v>
      </c>
      <c r="D178">
        <v>50.58</v>
      </c>
      <c r="E178">
        <v>50.58</v>
      </c>
      <c r="F178">
        <f t="shared" si="17"/>
        <v>49.788500000000006</v>
      </c>
      <c r="G178">
        <f t="shared" si="12"/>
        <v>49.035399999999989</v>
      </c>
      <c r="H178">
        <f t="shared" si="19"/>
        <v>47.719699999999996</v>
      </c>
      <c r="I178">
        <f t="shared" si="18"/>
        <v>0.53496950232798546</v>
      </c>
      <c r="J178" s="8">
        <f t="shared" si="15"/>
        <v>50.858439004655978</v>
      </c>
      <c r="K178">
        <f t="shared" si="16"/>
        <v>48.718560995344035</v>
      </c>
      <c r="L178">
        <f t="shared" si="13"/>
        <v>49.035399999999989</v>
      </c>
      <c r="M178">
        <f t="shared" si="14"/>
        <v>49.035399999999989</v>
      </c>
    </row>
    <row r="179" spans="1:13" x14ac:dyDescent="0.25">
      <c r="A179" s="3">
        <v>45918</v>
      </c>
      <c r="B179">
        <v>50.76</v>
      </c>
      <c r="C179">
        <v>50.76</v>
      </c>
      <c r="D179">
        <v>50.76</v>
      </c>
      <c r="E179">
        <v>50.76</v>
      </c>
      <c r="F179">
        <f t="shared" si="17"/>
        <v>49.870999999999995</v>
      </c>
      <c r="G179">
        <f t="shared" si="12"/>
        <v>49.0886</v>
      </c>
      <c r="H179">
        <f t="shared" si="19"/>
        <v>47.786499999999997</v>
      </c>
      <c r="I179">
        <f t="shared" si="18"/>
        <v>0.55179038735641894</v>
      </c>
      <c r="J179" s="8">
        <f t="shared" si="15"/>
        <v>50.974580774712834</v>
      </c>
      <c r="K179">
        <f t="shared" si="16"/>
        <v>48.767419225287156</v>
      </c>
      <c r="L179">
        <f t="shared" si="13"/>
        <v>49.0886</v>
      </c>
      <c r="M179">
        <f t="shared" si="14"/>
        <v>49.0886</v>
      </c>
    </row>
    <row r="180" spans="1:13" x14ac:dyDescent="0.25">
      <c r="A180" s="3">
        <v>45919</v>
      </c>
      <c r="B180">
        <v>50.8</v>
      </c>
      <c r="C180">
        <v>50.8</v>
      </c>
      <c r="D180">
        <v>50.8</v>
      </c>
      <c r="E180">
        <v>50.8</v>
      </c>
      <c r="F180">
        <f t="shared" si="17"/>
        <v>49.962999999999994</v>
      </c>
      <c r="G180">
        <f t="shared" ref="G180:G243" si="20">AVERAGE(E131:E180)</f>
        <v>49.140600000000006</v>
      </c>
      <c r="H180">
        <f t="shared" si="19"/>
        <v>47.852299999999993</v>
      </c>
      <c r="I180">
        <f t="shared" si="18"/>
        <v>0.54525802679967317</v>
      </c>
      <c r="J180" s="8">
        <f t="shared" si="15"/>
        <v>51.053516053599338</v>
      </c>
      <c r="K180">
        <f t="shared" si="16"/>
        <v>48.872483946400649</v>
      </c>
      <c r="L180">
        <f t="shared" ref="L180:L243" si="21">AVERAGE(C131:C180)</f>
        <v>49.140600000000006</v>
      </c>
      <c r="M180">
        <f t="shared" ref="M180:M243" si="22">AVERAGE(D131:D180)</f>
        <v>49.140600000000006</v>
      </c>
    </row>
    <row r="181" spans="1:13" x14ac:dyDescent="0.25">
      <c r="A181" s="3">
        <v>45922</v>
      </c>
      <c r="B181">
        <v>50.96</v>
      </c>
      <c r="C181">
        <v>50.96</v>
      </c>
      <c r="D181">
        <v>50.96</v>
      </c>
      <c r="E181">
        <v>50.96</v>
      </c>
      <c r="F181">
        <f t="shared" si="17"/>
        <v>50.028499999999994</v>
      </c>
      <c r="G181">
        <f t="shared" si="20"/>
        <v>49.200599999999994</v>
      </c>
      <c r="H181">
        <f t="shared" si="19"/>
        <v>47.918099999999995</v>
      </c>
      <c r="I181">
        <f t="shared" si="18"/>
        <v>0.58305253893443787</v>
      </c>
      <c r="J181" s="8">
        <f t="shared" si="15"/>
        <v>51.194605077868871</v>
      </c>
      <c r="K181">
        <f t="shared" si="16"/>
        <v>48.862394922131116</v>
      </c>
      <c r="L181">
        <f t="shared" si="21"/>
        <v>49.200599999999994</v>
      </c>
      <c r="M181">
        <f t="shared" si="22"/>
        <v>49.200599999999994</v>
      </c>
    </row>
    <row r="182" spans="1:13" x14ac:dyDescent="0.25">
      <c r="A182" s="3">
        <v>45923</v>
      </c>
      <c r="B182">
        <v>50.81</v>
      </c>
      <c r="C182">
        <v>50.81</v>
      </c>
      <c r="D182">
        <v>50.81</v>
      </c>
      <c r="E182">
        <v>50.81</v>
      </c>
      <c r="F182">
        <f t="shared" si="17"/>
        <v>50.100499999999997</v>
      </c>
      <c r="G182">
        <f t="shared" si="20"/>
        <v>49.256399999999992</v>
      </c>
      <c r="H182">
        <f t="shared" si="19"/>
        <v>47.9818</v>
      </c>
      <c r="I182">
        <f t="shared" si="18"/>
        <v>0.58635784834500937</v>
      </c>
      <c r="J182" s="8">
        <f t="shared" si="15"/>
        <v>51.273215696690016</v>
      </c>
      <c r="K182">
        <f t="shared" si="16"/>
        <v>48.927784303309977</v>
      </c>
      <c r="L182">
        <f t="shared" si="21"/>
        <v>49.256399999999992</v>
      </c>
      <c r="M182">
        <f t="shared" si="22"/>
        <v>49.256399999999992</v>
      </c>
    </row>
    <row r="183" spans="1:13" x14ac:dyDescent="0.25">
      <c r="A183" s="3">
        <v>45924</v>
      </c>
      <c r="B183">
        <v>50.63</v>
      </c>
      <c r="C183">
        <v>50.63</v>
      </c>
      <c r="D183">
        <v>50.63</v>
      </c>
      <c r="E183">
        <v>50.63</v>
      </c>
      <c r="F183">
        <f t="shared" si="17"/>
        <v>50.157499999999999</v>
      </c>
      <c r="G183">
        <f t="shared" si="20"/>
        <v>49.313000000000002</v>
      </c>
      <c r="H183">
        <f t="shared" si="19"/>
        <v>48.043100000000003</v>
      </c>
      <c r="I183">
        <f t="shared" si="18"/>
        <v>0.57925428467624585</v>
      </c>
      <c r="J183" s="8">
        <f t="shared" si="15"/>
        <v>51.316008569352491</v>
      </c>
      <c r="K183">
        <f t="shared" si="16"/>
        <v>48.998991430647507</v>
      </c>
      <c r="L183">
        <f t="shared" si="21"/>
        <v>49.313000000000002</v>
      </c>
      <c r="M183">
        <f t="shared" si="22"/>
        <v>49.313000000000002</v>
      </c>
    </row>
    <row r="184" spans="1:13" x14ac:dyDescent="0.25">
      <c r="A184" s="3">
        <v>45925</v>
      </c>
      <c r="B184">
        <v>50.37</v>
      </c>
      <c r="C184">
        <v>50.37</v>
      </c>
      <c r="D184">
        <v>50.37</v>
      </c>
      <c r="E184">
        <v>50.37</v>
      </c>
      <c r="F184">
        <f t="shared" si="17"/>
        <v>50.2</v>
      </c>
      <c r="G184">
        <f t="shared" si="20"/>
        <v>49.361599999999996</v>
      </c>
      <c r="H184">
        <f t="shared" si="19"/>
        <v>48.096199999999989</v>
      </c>
      <c r="I184">
        <f t="shared" si="18"/>
        <v>0.56091091327552089</v>
      </c>
      <c r="J184" s="8">
        <f t="shared" si="15"/>
        <v>51.321821826551044</v>
      </c>
      <c r="K184">
        <f t="shared" si="16"/>
        <v>49.078178173448961</v>
      </c>
      <c r="L184">
        <f t="shared" si="21"/>
        <v>49.361599999999996</v>
      </c>
      <c r="M184">
        <f t="shared" si="22"/>
        <v>49.361599999999996</v>
      </c>
    </row>
    <row r="185" spans="1:13" x14ac:dyDescent="0.25">
      <c r="A185" s="3">
        <v>45926</v>
      </c>
      <c r="B185">
        <v>50.57</v>
      </c>
      <c r="C185">
        <v>50.57</v>
      </c>
      <c r="D185">
        <v>50.57</v>
      </c>
      <c r="E185">
        <v>50.57</v>
      </c>
      <c r="F185">
        <f t="shared" si="17"/>
        <v>50.244500000000002</v>
      </c>
      <c r="G185">
        <f t="shared" si="20"/>
        <v>49.409800000000011</v>
      </c>
      <c r="H185">
        <f t="shared" si="19"/>
        <v>48.152699999999996</v>
      </c>
      <c r="I185">
        <f t="shared" si="18"/>
        <v>0.55272982835911322</v>
      </c>
      <c r="J185" s="8">
        <f t="shared" si="15"/>
        <v>51.349959656718227</v>
      </c>
      <c r="K185">
        <f t="shared" si="16"/>
        <v>49.139040343281778</v>
      </c>
      <c r="L185">
        <f t="shared" si="21"/>
        <v>49.409800000000011</v>
      </c>
      <c r="M185">
        <f t="shared" si="22"/>
        <v>49.409800000000011</v>
      </c>
    </row>
    <row r="186" spans="1:13" x14ac:dyDescent="0.25">
      <c r="A186" s="3">
        <v>45929</v>
      </c>
      <c r="B186">
        <v>50.75</v>
      </c>
      <c r="C186">
        <v>50.75</v>
      </c>
      <c r="D186">
        <v>50.75</v>
      </c>
      <c r="E186">
        <v>50.75</v>
      </c>
      <c r="F186">
        <f t="shared" si="17"/>
        <v>50.310500000000005</v>
      </c>
      <c r="G186">
        <f t="shared" si="20"/>
        <v>49.461800000000018</v>
      </c>
      <c r="H186">
        <f t="shared" si="19"/>
        <v>48.212499999999999</v>
      </c>
      <c r="I186">
        <f t="shared" si="18"/>
        <v>0.52863752380903439</v>
      </c>
      <c r="J186" s="8">
        <f t="shared" si="15"/>
        <v>51.367775047618075</v>
      </c>
      <c r="K186">
        <f t="shared" si="16"/>
        <v>49.253224952381935</v>
      </c>
      <c r="L186">
        <f t="shared" si="21"/>
        <v>49.461800000000018</v>
      </c>
      <c r="M186">
        <f t="shared" si="22"/>
        <v>49.461800000000018</v>
      </c>
    </row>
    <row r="187" spans="1:13" x14ac:dyDescent="0.25">
      <c r="A187" s="3">
        <v>45930</v>
      </c>
      <c r="B187">
        <v>50.94</v>
      </c>
      <c r="C187">
        <v>50.94</v>
      </c>
      <c r="D187">
        <v>50.94</v>
      </c>
      <c r="E187">
        <v>50.94</v>
      </c>
      <c r="F187">
        <f t="shared" si="17"/>
        <v>50.4</v>
      </c>
      <c r="G187">
        <f t="shared" si="20"/>
        <v>49.515400000000021</v>
      </c>
      <c r="H187">
        <f t="shared" si="19"/>
        <v>48.274199999999979</v>
      </c>
      <c r="I187">
        <f t="shared" si="18"/>
        <v>0.47010637094172608</v>
      </c>
      <c r="J187" s="8">
        <f t="shared" si="15"/>
        <v>51.340212741883448</v>
      </c>
      <c r="K187">
        <f t="shared" si="16"/>
        <v>49.459787258116549</v>
      </c>
      <c r="L187">
        <f t="shared" si="21"/>
        <v>49.515400000000021</v>
      </c>
      <c r="M187">
        <f t="shared" si="22"/>
        <v>49.515400000000021</v>
      </c>
    </row>
    <row r="188" spans="1:13" x14ac:dyDescent="0.25">
      <c r="A188" s="3">
        <v>45931</v>
      </c>
      <c r="B188">
        <v>51.14</v>
      </c>
      <c r="C188">
        <v>51.14</v>
      </c>
      <c r="D188">
        <v>51.14</v>
      </c>
      <c r="E188">
        <v>51.14</v>
      </c>
      <c r="F188">
        <f t="shared" si="17"/>
        <v>50.491500000000002</v>
      </c>
      <c r="G188">
        <f t="shared" si="20"/>
        <v>49.570600000000013</v>
      </c>
      <c r="H188">
        <f t="shared" si="19"/>
        <v>48.336599999999997</v>
      </c>
      <c r="I188">
        <f t="shared" si="18"/>
        <v>0.42246488486898953</v>
      </c>
      <c r="J188" s="8">
        <f t="shared" si="15"/>
        <v>51.336429769737983</v>
      </c>
      <c r="K188">
        <f t="shared" si="16"/>
        <v>49.646570230262022</v>
      </c>
      <c r="L188">
        <f t="shared" si="21"/>
        <v>49.570600000000013</v>
      </c>
      <c r="M188">
        <f t="shared" si="22"/>
        <v>49.570600000000013</v>
      </c>
    </row>
    <row r="189" spans="1:13" x14ac:dyDescent="0.25">
      <c r="A189" s="3">
        <v>45932</v>
      </c>
      <c r="B189">
        <v>51.22</v>
      </c>
      <c r="C189">
        <v>51.22</v>
      </c>
      <c r="D189">
        <v>51.22</v>
      </c>
      <c r="E189">
        <v>51.22</v>
      </c>
      <c r="F189">
        <f t="shared" si="17"/>
        <v>50.5715</v>
      </c>
      <c r="G189">
        <f t="shared" si="20"/>
        <v>49.618199999999995</v>
      </c>
      <c r="H189">
        <f t="shared" si="19"/>
        <v>48.398999999999994</v>
      </c>
      <c r="I189">
        <f t="shared" si="18"/>
        <v>0.39962186073705636</v>
      </c>
      <c r="J189" s="8">
        <f t="shared" si="15"/>
        <v>51.370743721474113</v>
      </c>
      <c r="K189">
        <f t="shared" si="16"/>
        <v>49.772256278525887</v>
      </c>
      <c r="L189">
        <f t="shared" si="21"/>
        <v>49.618199999999995</v>
      </c>
      <c r="M189">
        <f t="shared" si="22"/>
        <v>49.618199999999995</v>
      </c>
    </row>
    <row r="190" spans="1:13" x14ac:dyDescent="0.25">
      <c r="A190" s="3">
        <v>45933</v>
      </c>
      <c r="B190">
        <v>51.33</v>
      </c>
      <c r="C190">
        <v>51.33</v>
      </c>
      <c r="D190">
        <v>51.33</v>
      </c>
      <c r="E190">
        <v>51.33</v>
      </c>
      <c r="F190">
        <f t="shared" si="17"/>
        <v>50.652500000000011</v>
      </c>
      <c r="G190">
        <f t="shared" si="20"/>
        <v>49.67</v>
      </c>
      <c r="H190">
        <f t="shared" si="19"/>
        <v>48.454199999999993</v>
      </c>
      <c r="I190">
        <f t="shared" si="18"/>
        <v>0.37948545496015484</v>
      </c>
      <c r="J190" s="8">
        <f t="shared" si="15"/>
        <v>51.411470909920318</v>
      </c>
      <c r="K190">
        <f t="shared" si="16"/>
        <v>49.893529090079703</v>
      </c>
      <c r="L190">
        <f t="shared" si="21"/>
        <v>49.67</v>
      </c>
      <c r="M190">
        <f t="shared" si="22"/>
        <v>49.67</v>
      </c>
    </row>
    <row r="191" spans="1:13" x14ac:dyDescent="0.25">
      <c r="A191" s="3">
        <v>45936</v>
      </c>
      <c r="B191">
        <v>51.47</v>
      </c>
      <c r="C191">
        <v>51.47</v>
      </c>
      <c r="D191">
        <v>51.47</v>
      </c>
      <c r="E191">
        <v>51.47</v>
      </c>
      <c r="F191">
        <f t="shared" si="17"/>
        <v>50.729000000000006</v>
      </c>
      <c r="G191">
        <f t="shared" si="20"/>
        <v>49.722999999999992</v>
      </c>
      <c r="H191">
        <f t="shared" si="19"/>
        <v>48.508699999999997</v>
      </c>
      <c r="I191">
        <f t="shared" si="18"/>
        <v>0.38249733401203662</v>
      </c>
      <c r="J191" s="8">
        <f t="shared" si="15"/>
        <v>51.493994668024079</v>
      </c>
      <c r="K191">
        <f t="shared" si="16"/>
        <v>49.964005331975933</v>
      </c>
      <c r="L191">
        <f t="shared" si="21"/>
        <v>49.722999999999992</v>
      </c>
      <c r="M191">
        <f t="shared" si="22"/>
        <v>49.722999999999992</v>
      </c>
    </row>
    <row r="192" spans="1:13" x14ac:dyDescent="0.25">
      <c r="A192" s="3">
        <v>45937</v>
      </c>
      <c r="B192">
        <v>51.22</v>
      </c>
      <c r="C192">
        <v>51.22</v>
      </c>
      <c r="D192">
        <v>51.22</v>
      </c>
      <c r="E192">
        <v>51.22</v>
      </c>
      <c r="F192">
        <f t="shared" si="17"/>
        <v>50.791500000000006</v>
      </c>
      <c r="G192">
        <f t="shared" si="20"/>
        <v>49.774999999999991</v>
      </c>
      <c r="H192">
        <f t="shared" si="19"/>
        <v>48.561199999999999</v>
      </c>
      <c r="I192">
        <f t="shared" si="18"/>
        <v>0.35293170652929984</v>
      </c>
      <c r="J192" s="8">
        <f t="shared" si="15"/>
        <v>51.497363413058608</v>
      </c>
      <c r="K192">
        <f t="shared" si="16"/>
        <v>50.085636586941405</v>
      </c>
      <c r="L192">
        <f t="shared" si="21"/>
        <v>49.774999999999991</v>
      </c>
      <c r="M192">
        <f t="shared" si="22"/>
        <v>49.774999999999991</v>
      </c>
    </row>
    <row r="193" spans="1:13" x14ac:dyDescent="0.25">
      <c r="A193" s="3">
        <v>45938</v>
      </c>
      <c r="B193">
        <v>51.46</v>
      </c>
      <c r="C193">
        <v>51.46</v>
      </c>
      <c r="D193">
        <v>51.46</v>
      </c>
      <c r="E193">
        <v>51.46</v>
      </c>
      <c r="F193">
        <f t="shared" si="17"/>
        <v>50.86</v>
      </c>
      <c r="G193">
        <f t="shared" si="20"/>
        <v>49.832599999999992</v>
      </c>
      <c r="H193">
        <f t="shared" si="19"/>
        <v>48.613600000000005</v>
      </c>
      <c r="I193">
        <f t="shared" si="18"/>
        <v>0.3424063452437146</v>
      </c>
      <c r="J193" s="8">
        <f t="shared" si="15"/>
        <v>51.544812690487426</v>
      </c>
      <c r="K193">
        <f t="shared" si="16"/>
        <v>50.175187309512573</v>
      </c>
      <c r="L193">
        <f t="shared" si="21"/>
        <v>49.832599999999992</v>
      </c>
      <c r="M193">
        <f t="shared" si="22"/>
        <v>49.832599999999992</v>
      </c>
    </row>
    <row r="194" spans="1:13" x14ac:dyDescent="0.25">
      <c r="A194" s="3">
        <v>45939</v>
      </c>
      <c r="B194">
        <v>51.24</v>
      </c>
      <c r="C194">
        <v>51.24</v>
      </c>
      <c r="D194">
        <v>51.24</v>
      </c>
      <c r="E194">
        <v>51.24</v>
      </c>
      <c r="F194">
        <f t="shared" si="17"/>
        <v>50.897500000000001</v>
      </c>
      <c r="G194">
        <f t="shared" si="20"/>
        <v>49.88959999999998</v>
      </c>
      <c r="H194">
        <f t="shared" si="19"/>
        <v>48.661799999999992</v>
      </c>
      <c r="I194">
        <f t="shared" si="18"/>
        <v>0.3408175156111678</v>
      </c>
      <c r="J194" s="8">
        <f t="shared" ref="J194:J257" si="23">F194 +I194*2</f>
        <v>51.579135031222336</v>
      </c>
      <c r="K194">
        <f t="shared" ref="K194:K251" si="24">F194-I194*2</f>
        <v>50.215864968777666</v>
      </c>
      <c r="L194">
        <f t="shared" si="21"/>
        <v>49.88959999999998</v>
      </c>
      <c r="M194">
        <f t="shared" si="22"/>
        <v>49.88959999999998</v>
      </c>
    </row>
    <row r="195" spans="1:13" x14ac:dyDescent="0.25">
      <c r="A195" s="3">
        <v>45940</v>
      </c>
      <c r="B195">
        <v>50.19</v>
      </c>
      <c r="C195">
        <v>50.19</v>
      </c>
      <c r="D195">
        <v>50.19</v>
      </c>
      <c r="E195">
        <v>50.19</v>
      </c>
      <c r="F195">
        <f t="shared" si="17"/>
        <v>50.887000000000015</v>
      </c>
      <c r="G195">
        <f t="shared" si="20"/>
        <v>49.929999999999978</v>
      </c>
      <c r="H195">
        <f t="shared" si="19"/>
        <v>48.698499999999989</v>
      </c>
      <c r="I195">
        <f t="shared" si="18"/>
        <v>0.35966504885576711</v>
      </c>
      <c r="J195" s="8">
        <f t="shared" si="23"/>
        <v>51.606330097711549</v>
      </c>
      <c r="K195">
        <f t="shared" si="24"/>
        <v>50.16766990228848</v>
      </c>
      <c r="L195">
        <f t="shared" si="21"/>
        <v>49.929999999999978</v>
      </c>
      <c r="M195">
        <f t="shared" si="22"/>
        <v>49.929999999999978</v>
      </c>
    </row>
    <row r="196" spans="1:13" x14ac:dyDescent="0.25">
      <c r="A196" s="3">
        <v>45943</v>
      </c>
      <c r="B196">
        <v>50.84</v>
      </c>
      <c r="C196">
        <v>50.84</v>
      </c>
      <c r="D196">
        <v>50.84</v>
      </c>
      <c r="E196">
        <v>50.84</v>
      </c>
      <c r="F196">
        <f t="shared" si="17"/>
        <v>50.897000000000006</v>
      </c>
      <c r="G196">
        <f t="shared" si="20"/>
        <v>49.990999999999985</v>
      </c>
      <c r="H196">
        <f t="shared" si="19"/>
        <v>48.742399999999989</v>
      </c>
      <c r="I196">
        <f t="shared" si="18"/>
        <v>0.35518860816251041</v>
      </c>
      <c r="J196" s="8">
        <f t="shared" si="23"/>
        <v>51.607377216325027</v>
      </c>
      <c r="K196">
        <f t="shared" si="24"/>
        <v>50.186622783674984</v>
      </c>
      <c r="L196">
        <f t="shared" si="21"/>
        <v>49.990999999999985</v>
      </c>
      <c r="M196">
        <f t="shared" si="22"/>
        <v>49.990999999999985</v>
      </c>
    </row>
    <row r="197" spans="1:13" x14ac:dyDescent="0.25">
      <c r="A197" s="3">
        <v>45944</v>
      </c>
      <c r="B197">
        <v>50.84</v>
      </c>
      <c r="C197">
        <v>50.84</v>
      </c>
      <c r="D197">
        <v>50.84</v>
      </c>
      <c r="E197">
        <v>50.84</v>
      </c>
      <c r="F197">
        <f t="shared" si="17"/>
        <v>50.90600000000002</v>
      </c>
      <c r="G197">
        <f t="shared" si="20"/>
        <v>50.040599999999998</v>
      </c>
      <c r="H197">
        <f t="shared" si="19"/>
        <v>48.791199999999989</v>
      </c>
      <c r="I197">
        <f t="shared" si="18"/>
        <v>0.35112450933056749</v>
      </c>
      <c r="J197" s="8">
        <f t="shared" si="23"/>
        <v>51.608249018661155</v>
      </c>
      <c r="K197">
        <f t="shared" si="24"/>
        <v>50.203750981338885</v>
      </c>
      <c r="L197">
        <f t="shared" si="21"/>
        <v>50.040599999999998</v>
      </c>
      <c r="M197">
        <f t="shared" si="22"/>
        <v>50.040599999999998</v>
      </c>
    </row>
    <row r="198" spans="1:13" x14ac:dyDescent="0.25">
      <c r="A198" s="3">
        <v>45945</v>
      </c>
      <c r="B198">
        <v>51.1</v>
      </c>
      <c r="C198">
        <v>51.1</v>
      </c>
      <c r="D198">
        <v>51.1</v>
      </c>
      <c r="E198">
        <v>51.1</v>
      </c>
      <c r="F198">
        <f t="shared" si="17"/>
        <v>50.932000000000009</v>
      </c>
      <c r="G198">
        <f t="shared" si="20"/>
        <v>50.096799999999995</v>
      </c>
      <c r="H198">
        <f t="shared" si="19"/>
        <v>48.84259999999999</v>
      </c>
      <c r="I198">
        <f t="shared" si="18"/>
        <v>0.34491188806174244</v>
      </c>
      <c r="J198" s="8">
        <f t="shared" si="23"/>
        <v>51.621823776123492</v>
      </c>
      <c r="K198">
        <f t="shared" si="24"/>
        <v>50.242176223876527</v>
      </c>
      <c r="L198">
        <f t="shared" si="21"/>
        <v>50.096799999999995</v>
      </c>
      <c r="M198">
        <f t="shared" si="22"/>
        <v>50.096799999999995</v>
      </c>
    </row>
    <row r="199" spans="1:13" x14ac:dyDescent="0.25">
      <c r="A199" s="3">
        <v>45946</v>
      </c>
      <c r="B199">
        <v>51</v>
      </c>
      <c r="C199">
        <v>51</v>
      </c>
      <c r="D199">
        <v>51</v>
      </c>
      <c r="E199">
        <v>51</v>
      </c>
      <c r="F199">
        <f t="shared" si="17"/>
        <v>50.94400000000001</v>
      </c>
      <c r="G199">
        <f t="shared" si="20"/>
        <v>50.145999999999994</v>
      </c>
      <c r="H199">
        <f t="shared" si="19"/>
        <v>48.893799999999992</v>
      </c>
      <c r="I199">
        <f t="shared" si="18"/>
        <v>0.34278119459565048</v>
      </c>
      <c r="J199" s="8">
        <f t="shared" si="23"/>
        <v>51.629562389191314</v>
      </c>
      <c r="K199">
        <f t="shared" si="24"/>
        <v>50.258437610808706</v>
      </c>
      <c r="L199">
        <f t="shared" si="21"/>
        <v>50.145999999999994</v>
      </c>
      <c r="M199">
        <f t="shared" si="22"/>
        <v>50.145999999999994</v>
      </c>
    </row>
    <row r="200" spans="1:13" x14ac:dyDescent="0.25">
      <c r="A200" s="3">
        <v>45947</v>
      </c>
      <c r="B200">
        <v>51.09</v>
      </c>
      <c r="C200">
        <v>51.09</v>
      </c>
      <c r="D200">
        <v>51.09</v>
      </c>
      <c r="E200">
        <v>51.09</v>
      </c>
      <c r="F200">
        <f t="shared" si="17"/>
        <v>50.958500000000001</v>
      </c>
      <c r="G200">
        <f t="shared" si="20"/>
        <v>50.195</v>
      </c>
      <c r="H200">
        <f t="shared" si="19"/>
        <v>48.939599999999992</v>
      </c>
      <c r="I200">
        <f t="shared" si="18"/>
        <v>0.34250278523646632</v>
      </c>
      <c r="J200" s="8">
        <f t="shared" si="23"/>
        <v>51.643505570472932</v>
      </c>
      <c r="K200">
        <f t="shared" si="24"/>
        <v>50.273494429527069</v>
      </c>
      <c r="L200">
        <f t="shared" si="21"/>
        <v>50.195</v>
      </c>
      <c r="M200">
        <f t="shared" si="22"/>
        <v>50.195</v>
      </c>
    </row>
    <row r="201" spans="1:13" x14ac:dyDescent="0.25">
      <c r="A201" s="3">
        <v>45950</v>
      </c>
      <c r="B201">
        <v>51.54</v>
      </c>
      <c r="C201">
        <v>51.54</v>
      </c>
      <c r="D201">
        <v>51.54</v>
      </c>
      <c r="E201">
        <v>51.54</v>
      </c>
      <c r="F201">
        <f t="shared" si="17"/>
        <v>50.987499999999997</v>
      </c>
      <c r="G201">
        <f t="shared" si="20"/>
        <v>50.249400000000009</v>
      </c>
      <c r="H201">
        <f t="shared" si="19"/>
        <v>48.992600000000003</v>
      </c>
      <c r="I201">
        <f t="shared" si="18"/>
        <v>0.36636011906607047</v>
      </c>
      <c r="J201" s="8">
        <f t="shared" si="23"/>
        <v>51.720220238132136</v>
      </c>
      <c r="K201">
        <f t="shared" si="24"/>
        <v>50.254779761867859</v>
      </c>
      <c r="L201">
        <f t="shared" si="21"/>
        <v>50.249400000000009</v>
      </c>
      <c r="M201">
        <f t="shared" si="22"/>
        <v>50.249400000000009</v>
      </c>
    </row>
    <row r="202" spans="1:13" x14ac:dyDescent="0.25">
      <c r="A202" s="3">
        <v>45951</v>
      </c>
      <c r="B202">
        <v>51.42</v>
      </c>
      <c r="C202">
        <v>51.42</v>
      </c>
      <c r="D202">
        <v>51.42</v>
      </c>
      <c r="E202">
        <v>51.42</v>
      </c>
      <c r="F202">
        <f t="shared" si="17"/>
        <v>51.018000000000001</v>
      </c>
      <c r="G202">
        <f t="shared" si="20"/>
        <v>50.303400000000003</v>
      </c>
      <c r="H202">
        <f t="shared" si="19"/>
        <v>49.042699999999996</v>
      </c>
      <c r="I202">
        <f t="shared" si="18"/>
        <v>0.37606830286671694</v>
      </c>
      <c r="J202" s="8">
        <f t="shared" si="23"/>
        <v>51.770136605733434</v>
      </c>
      <c r="K202">
        <f t="shared" si="24"/>
        <v>50.265863394266567</v>
      </c>
      <c r="L202">
        <f t="shared" si="21"/>
        <v>50.303400000000003</v>
      </c>
      <c r="M202">
        <f t="shared" si="22"/>
        <v>50.303400000000003</v>
      </c>
    </row>
    <row r="203" spans="1:13" x14ac:dyDescent="0.25">
      <c r="A203" s="3">
        <v>45952</v>
      </c>
      <c r="B203">
        <v>51.24</v>
      </c>
      <c r="C203">
        <v>51.24</v>
      </c>
      <c r="D203">
        <v>51.24</v>
      </c>
      <c r="E203">
        <v>51.24</v>
      </c>
      <c r="F203">
        <f t="shared" si="17"/>
        <v>51.048499999999997</v>
      </c>
      <c r="G203">
        <f t="shared" si="20"/>
        <v>50.3446</v>
      </c>
      <c r="H203">
        <f t="shared" si="19"/>
        <v>49.091000000000001</v>
      </c>
      <c r="I203">
        <f t="shared" si="18"/>
        <v>0.36758493468928599</v>
      </c>
      <c r="J203" s="8">
        <f t="shared" si="23"/>
        <v>51.783669869378571</v>
      </c>
      <c r="K203">
        <f t="shared" si="24"/>
        <v>50.313330130621424</v>
      </c>
      <c r="L203">
        <f t="shared" si="21"/>
        <v>50.3446</v>
      </c>
      <c r="M203">
        <f t="shared" si="22"/>
        <v>50.3446</v>
      </c>
    </row>
    <row r="204" spans="1:13" x14ac:dyDescent="0.25">
      <c r="A204" s="3">
        <v>45953</v>
      </c>
      <c r="B204">
        <v>51.51</v>
      </c>
      <c r="C204">
        <v>51.51</v>
      </c>
      <c r="D204">
        <v>51.51</v>
      </c>
      <c r="E204">
        <v>51.51</v>
      </c>
      <c r="F204">
        <f t="shared" si="17"/>
        <v>51.105499999999999</v>
      </c>
      <c r="G204">
        <f t="shared" si="20"/>
        <v>50.386200000000009</v>
      </c>
      <c r="H204">
        <f t="shared" si="19"/>
        <v>49.139799999999994</v>
      </c>
      <c r="I204">
        <f t="shared" si="18"/>
        <v>0.34449772743884138</v>
      </c>
      <c r="J204" s="8">
        <f t="shared" si="23"/>
        <v>51.794495454877683</v>
      </c>
      <c r="K204">
        <f t="shared" si="24"/>
        <v>50.416504545122315</v>
      </c>
      <c r="L204">
        <f t="shared" si="21"/>
        <v>50.386200000000009</v>
      </c>
      <c r="M204">
        <f t="shared" si="22"/>
        <v>50.386200000000009</v>
      </c>
    </row>
    <row r="205" spans="1:13" x14ac:dyDescent="0.25">
      <c r="A205" s="3">
        <v>45954</v>
      </c>
      <c r="B205">
        <v>51.77</v>
      </c>
      <c r="C205">
        <v>51.77</v>
      </c>
      <c r="D205">
        <v>51.77</v>
      </c>
      <c r="E205">
        <v>51.77</v>
      </c>
      <c r="F205">
        <f t="shared" si="17"/>
        <v>51.165500000000002</v>
      </c>
      <c r="G205">
        <f t="shared" si="20"/>
        <v>50.435000000000009</v>
      </c>
      <c r="H205">
        <f t="shared" si="19"/>
        <v>49.190399999999997</v>
      </c>
      <c r="I205">
        <f t="shared" si="18"/>
        <v>0.35076570377870259</v>
      </c>
      <c r="J205" s="8">
        <f t="shared" si="23"/>
        <v>51.867031407557405</v>
      </c>
      <c r="K205">
        <f t="shared" si="24"/>
        <v>50.463968592442598</v>
      </c>
      <c r="L205">
        <f t="shared" si="21"/>
        <v>50.435000000000009</v>
      </c>
      <c r="M205">
        <f t="shared" si="22"/>
        <v>50.435000000000009</v>
      </c>
    </row>
    <row r="206" spans="1:13" x14ac:dyDescent="0.25">
      <c r="A206" s="3">
        <v>45957</v>
      </c>
      <c r="B206">
        <v>52.2</v>
      </c>
      <c r="C206">
        <v>52.2</v>
      </c>
      <c r="D206">
        <v>52.2</v>
      </c>
      <c r="E206">
        <v>52.2</v>
      </c>
      <c r="F206">
        <f t="shared" si="17"/>
        <v>51.238</v>
      </c>
      <c r="G206">
        <f t="shared" si="20"/>
        <v>50.493000000000002</v>
      </c>
      <c r="H206">
        <f t="shared" si="19"/>
        <v>49.244</v>
      </c>
      <c r="I206">
        <f t="shared" si="18"/>
        <v>0.40588564632755514</v>
      </c>
      <c r="J206" s="8">
        <f t="shared" si="23"/>
        <v>52.049771292655109</v>
      </c>
      <c r="K206">
        <f t="shared" si="24"/>
        <v>50.42622870734489</v>
      </c>
      <c r="L206">
        <f t="shared" si="21"/>
        <v>50.493000000000002</v>
      </c>
      <c r="M206">
        <f t="shared" si="22"/>
        <v>50.493000000000002</v>
      </c>
    </row>
    <row r="207" spans="1:13" x14ac:dyDescent="0.25">
      <c r="A207" s="3">
        <v>45958</v>
      </c>
      <c r="B207">
        <v>52.23</v>
      </c>
      <c r="C207">
        <v>52.23</v>
      </c>
      <c r="D207">
        <v>52.23</v>
      </c>
      <c r="E207">
        <v>52.23</v>
      </c>
      <c r="F207">
        <f t="shared" si="17"/>
        <v>51.302499999999995</v>
      </c>
      <c r="G207">
        <f t="shared" si="20"/>
        <v>50.550999999999995</v>
      </c>
      <c r="H207">
        <f t="shared" si="19"/>
        <v>49.298999999999985</v>
      </c>
      <c r="I207">
        <f t="shared" si="18"/>
        <v>0.45550290310473546</v>
      </c>
      <c r="J207" s="8">
        <f t="shared" si="23"/>
        <v>52.213505806209469</v>
      </c>
      <c r="K207">
        <f t="shared" si="24"/>
        <v>50.391494193790521</v>
      </c>
      <c r="L207">
        <f t="shared" si="21"/>
        <v>50.550999999999995</v>
      </c>
      <c r="M207">
        <f t="shared" si="22"/>
        <v>50.550999999999995</v>
      </c>
    </row>
    <row r="208" spans="1:13" x14ac:dyDescent="0.25">
      <c r="A208" s="3">
        <v>45959</v>
      </c>
      <c r="B208">
        <v>52.08</v>
      </c>
      <c r="C208">
        <v>52.08</v>
      </c>
      <c r="D208">
        <v>52.08</v>
      </c>
      <c r="E208">
        <v>52.08</v>
      </c>
      <c r="F208">
        <f t="shared" si="17"/>
        <v>51.349499999999999</v>
      </c>
      <c r="G208">
        <f t="shared" si="20"/>
        <v>50.609799999999993</v>
      </c>
      <c r="H208">
        <f t="shared" si="19"/>
        <v>49.349899999999991</v>
      </c>
      <c r="I208">
        <f t="shared" si="18"/>
        <v>0.4853699077697553</v>
      </c>
      <c r="J208" s="8">
        <f t="shared" si="23"/>
        <v>52.320239815539509</v>
      </c>
      <c r="K208">
        <f t="shared" si="24"/>
        <v>50.378760184460489</v>
      </c>
      <c r="L208">
        <f t="shared" si="21"/>
        <v>50.609799999999993</v>
      </c>
      <c r="M208">
        <f t="shared" si="22"/>
        <v>50.609799999999993</v>
      </c>
    </row>
    <row r="209" spans="1:13" x14ac:dyDescent="0.25">
      <c r="A209" s="3">
        <v>45960</v>
      </c>
      <c r="B209">
        <v>51.73</v>
      </c>
      <c r="C209">
        <v>51.73</v>
      </c>
      <c r="D209">
        <v>51.73</v>
      </c>
      <c r="E209">
        <v>51.73</v>
      </c>
      <c r="F209">
        <f t="shared" si="17"/>
        <v>51.375</v>
      </c>
      <c r="G209">
        <f t="shared" si="20"/>
        <v>50.662199999999991</v>
      </c>
      <c r="H209">
        <f t="shared" si="19"/>
        <v>49.396399999999979</v>
      </c>
      <c r="I209">
        <f t="shared" si="18"/>
        <v>0.49156570476922279</v>
      </c>
      <c r="J209" s="8">
        <f t="shared" si="23"/>
        <v>52.358131409538444</v>
      </c>
      <c r="K209">
        <f t="shared" si="24"/>
        <v>50.391868590461556</v>
      </c>
      <c r="L209">
        <f t="shared" si="21"/>
        <v>50.662199999999991</v>
      </c>
      <c r="M209">
        <f t="shared" si="22"/>
        <v>50.662199999999991</v>
      </c>
    </row>
    <row r="210" spans="1:13" x14ac:dyDescent="0.25">
      <c r="A210" s="3">
        <v>45961</v>
      </c>
      <c r="B210">
        <v>51.8</v>
      </c>
      <c r="C210">
        <v>51.8</v>
      </c>
      <c r="D210">
        <v>51.8</v>
      </c>
      <c r="E210">
        <v>51.8</v>
      </c>
      <c r="F210">
        <f t="shared" si="17"/>
        <v>51.398499999999999</v>
      </c>
      <c r="G210">
        <f t="shared" si="20"/>
        <v>50.718999999999994</v>
      </c>
      <c r="H210">
        <f t="shared" si="19"/>
        <v>49.44189999999999</v>
      </c>
      <c r="I210">
        <f t="shared" si="18"/>
        <v>0.50045531900039675</v>
      </c>
      <c r="J210" s="8">
        <f t="shared" si="23"/>
        <v>52.399410638000795</v>
      </c>
      <c r="K210">
        <f t="shared" si="24"/>
        <v>50.397589361999202</v>
      </c>
      <c r="L210">
        <f t="shared" si="21"/>
        <v>50.718999999999994</v>
      </c>
      <c r="M210">
        <f t="shared" si="22"/>
        <v>50.718999999999994</v>
      </c>
    </row>
    <row r="211" spans="1:13" x14ac:dyDescent="0.25">
      <c r="A211" s="3">
        <v>45964</v>
      </c>
      <c r="B211">
        <v>51.88</v>
      </c>
      <c r="C211">
        <v>51.88</v>
      </c>
      <c r="D211">
        <v>51.88</v>
      </c>
      <c r="E211">
        <v>51.88</v>
      </c>
      <c r="F211">
        <f t="shared" si="17"/>
        <v>51.419000000000004</v>
      </c>
      <c r="G211">
        <f t="shared" si="20"/>
        <v>50.763599999999997</v>
      </c>
      <c r="H211">
        <f t="shared" si="19"/>
        <v>49.488499999999988</v>
      </c>
      <c r="I211">
        <f t="shared" si="18"/>
        <v>0.51180691260422928</v>
      </c>
      <c r="J211" s="8">
        <f t="shared" si="23"/>
        <v>52.442613825208461</v>
      </c>
      <c r="K211">
        <f t="shared" si="24"/>
        <v>50.395386174791547</v>
      </c>
      <c r="L211">
        <f t="shared" si="21"/>
        <v>50.763599999999997</v>
      </c>
      <c r="M211">
        <f t="shared" si="22"/>
        <v>50.763599999999997</v>
      </c>
    </row>
    <row r="212" spans="1:13" x14ac:dyDescent="0.25">
      <c r="A212" s="3">
        <v>45965</v>
      </c>
      <c r="B212">
        <v>51.34</v>
      </c>
      <c r="C212">
        <v>51.34</v>
      </c>
      <c r="D212">
        <v>51.34</v>
      </c>
      <c r="E212">
        <v>51.34</v>
      </c>
      <c r="F212">
        <f t="shared" si="17"/>
        <v>51.424999999999997</v>
      </c>
      <c r="G212">
        <f t="shared" si="20"/>
        <v>50.803000000000004</v>
      </c>
      <c r="H212">
        <f t="shared" si="19"/>
        <v>49.527799999999999</v>
      </c>
      <c r="I212">
        <f t="shared" si="18"/>
        <v>0.51005159697715563</v>
      </c>
      <c r="J212" s="8">
        <f t="shared" si="23"/>
        <v>52.44510319395431</v>
      </c>
      <c r="K212">
        <f t="shared" si="24"/>
        <v>50.404896806045684</v>
      </c>
      <c r="L212">
        <f t="shared" si="21"/>
        <v>50.803000000000004</v>
      </c>
      <c r="M212">
        <f t="shared" si="22"/>
        <v>50.803000000000004</v>
      </c>
    </row>
    <row r="213" spans="1:13" x14ac:dyDescent="0.25">
      <c r="A213" s="3">
        <v>45966</v>
      </c>
      <c r="B213">
        <v>51.52</v>
      </c>
      <c r="C213">
        <v>51.52</v>
      </c>
      <c r="D213">
        <v>51.52</v>
      </c>
      <c r="E213">
        <v>51.52</v>
      </c>
      <c r="F213">
        <f t="shared" si="17"/>
        <v>51.428000000000011</v>
      </c>
      <c r="G213">
        <f t="shared" si="20"/>
        <v>50.843600000000009</v>
      </c>
      <c r="H213">
        <f t="shared" si="19"/>
        <v>49.573999999999998</v>
      </c>
      <c r="I213">
        <f t="shared" si="18"/>
        <v>0.51044459465305914</v>
      </c>
      <c r="J213" s="8">
        <f t="shared" si="23"/>
        <v>52.448889189306129</v>
      </c>
      <c r="K213">
        <f t="shared" si="24"/>
        <v>50.407110810693894</v>
      </c>
      <c r="L213">
        <f t="shared" si="21"/>
        <v>50.843600000000009</v>
      </c>
      <c r="M213">
        <f t="shared" si="22"/>
        <v>50.843600000000009</v>
      </c>
    </row>
    <row r="214" spans="1:13" x14ac:dyDescent="0.25">
      <c r="A214" s="3">
        <v>45967</v>
      </c>
      <c r="B214">
        <v>51.19</v>
      </c>
      <c r="C214">
        <v>51.19</v>
      </c>
      <c r="D214">
        <v>51.19</v>
      </c>
      <c r="E214">
        <v>51.19</v>
      </c>
      <c r="F214">
        <f t="shared" ref="F214:F251" si="25">AVERAGE(E195:E214)</f>
        <v>51.425500000000014</v>
      </c>
      <c r="G214">
        <f t="shared" si="20"/>
        <v>50.87700000000001</v>
      </c>
      <c r="H214">
        <f t="shared" si="19"/>
        <v>49.613799999999991</v>
      </c>
      <c r="I214">
        <f t="shared" ref="I214:I251" si="26">_xlfn.STDEV.S(E195:E214)</f>
        <v>0.51153509937709696</v>
      </c>
      <c r="J214" s="8">
        <f t="shared" si="23"/>
        <v>52.448570198754204</v>
      </c>
      <c r="K214">
        <f t="shared" si="24"/>
        <v>50.402429801245823</v>
      </c>
      <c r="L214">
        <f t="shared" si="21"/>
        <v>50.87700000000001</v>
      </c>
      <c r="M214">
        <f t="shared" si="22"/>
        <v>50.87700000000001</v>
      </c>
    </row>
    <row r="215" spans="1:13" x14ac:dyDescent="0.25">
      <c r="A215" s="3">
        <v>45968</v>
      </c>
      <c r="B215">
        <v>51.27</v>
      </c>
      <c r="C215">
        <v>51.27</v>
      </c>
      <c r="D215">
        <v>51.27</v>
      </c>
      <c r="E215">
        <v>51.27</v>
      </c>
      <c r="F215">
        <f t="shared" si="25"/>
        <v>51.479500000000009</v>
      </c>
      <c r="G215">
        <f t="shared" si="20"/>
        <v>50.908799999999999</v>
      </c>
      <c r="H215">
        <f t="shared" si="19"/>
        <v>49.657899999999991</v>
      </c>
      <c r="I215">
        <f t="shared" si="26"/>
        <v>0.42371135905174029</v>
      </c>
      <c r="J215" s="8">
        <f t="shared" si="23"/>
        <v>52.326922718103489</v>
      </c>
      <c r="K215">
        <f t="shared" si="24"/>
        <v>50.632077281896528</v>
      </c>
      <c r="L215">
        <f t="shared" si="21"/>
        <v>50.908799999999999</v>
      </c>
      <c r="M215">
        <f t="shared" si="22"/>
        <v>50.908799999999999</v>
      </c>
    </row>
    <row r="216" spans="1:13" x14ac:dyDescent="0.25">
      <c r="A216" s="3">
        <v>45971</v>
      </c>
      <c r="B216">
        <v>51.85</v>
      </c>
      <c r="C216">
        <v>51.85</v>
      </c>
      <c r="D216">
        <v>51.85</v>
      </c>
      <c r="E216">
        <v>51.85</v>
      </c>
      <c r="F216">
        <f t="shared" si="25"/>
        <v>51.529999999999994</v>
      </c>
      <c r="G216">
        <f t="shared" si="20"/>
        <v>50.9572</v>
      </c>
      <c r="H216">
        <f t="shared" si="19"/>
        <v>49.707599999999992</v>
      </c>
      <c r="I216">
        <f t="shared" si="26"/>
        <v>0.40317163642926557</v>
      </c>
      <c r="J216" s="8">
        <f t="shared" si="23"/>
        <v>52.336343272858528</v>
      </c>
      <c r="K216">
        <f t="shared" si="24"/>
        <v>50.72365672714146</v>
      </c>
      <c r="L216">
        <f t="shared" si="21"/>
        <v>50.9572</v>
      </c>
      <c r="M216">
        <f t="shared" si="22"/>
        <v>50.9572</v>
      </c>
    </row>
    <row r="217" spans="1:13" x14ac:dyDescent="0.25">
      <c r="A217" s="3">
        <v>45972</v>
      </c>
      <c r="B217">
        <v>52</v>
      </c>
      <c r="C217">
        <v>52</v>
      </c>
      <c r="D217">
        <v>52</v>
      </c>
      <c r="E217">
        <v>52</v>
      </c>
      <c r="F217">
        <f t="shared" si="25"/>
        <v>51.587999999999987</v>
      </c>
      <c r="G217">
        <f t="shared" si="20"/>
        <v>51.01420000000001</v>
      </c>
      <c r="H217">
        <f t="shared" si="19"/>
        <v>49.76039999999999</v>
      </c>
      <c r="I217">
        <f t="shared" si="26"/>
        <v>0.38154257539900416</v>
      </c>
      <c r="J217" s="8">
        <f t="shared" si="23"/>
        <v>52.351085150797992</v>
      </c>
      <c r="K217">
        <f t="shared" si="24"/>
        <v>50.824914849201981</v>
      </c>
      <c r="L217">
        <f t="shared" si="21"/>
        <v>51.01420000000001</v>
      </c>
      <c r="M217">
        <f t="shared" si="22"/>
        <v>51.01420000000001</v>
      </c>
    </row>
    <row r="218" spans="1:13" x14ac:dyDescent="0.25">
      <c r="A218" s="3">
        <v>45973</v>
      </c>
      <c r="B218">
        <v>52.1</v>
      </c>
      <c r="C218">
        <v>52.1</v>
      </c>
      <c r="D218">
        <v>52.1</v>
      </c>
      <c r="E218">
        <v>52.1</v>
      </c>
      <c r="F218">
        <f t="shared" si="25"/>
        <v>51.637999999999998</v>
      </c>
      <c r="G218">
        <f t="shared" si="20"/>
        <v>51.07</v>
      </c>
      <c r="H218">
        <f t="shared" si="19"/>
        <v>49.810900000000004</v>
      </c>
      <c r="I218">
        <f t="shared" si="26"/>
        <v>0.37974506684020704</v>
      </c>
      <c r="J218" s="8">
        <f t="shared" si="23"/>
        <v>52.397490133680414</v>
      </c>
      <c r="K218">
        <f t="shared" si="24"/>
        <v>50.878509866319582</v>
      </c>
      <c r="L218">
        <f t="shared" si="21"/>
        <v>51.07</v>
      </c>
      <c r="M218">
        <f t="shared" si="22"/>
        <v>51.07</v>
      </c>
    </row>
    <row r="219" spans="1:13" x14ac:dyDescent="0.25">
      <c r="A219" s="3">
        <v>45974</v>
      </c>
      <c r="B219">
        <v>51.46</v>
      </c>
      <c r="C219">
        <v>51.46</v>
      </c>
      <c r="D219">
        <v>51.46</v>
      </c>
      <c r="E219">
        <v>51.46</v>
      </c>
      <c r="F219">
        <f t="shared" si="25"/>
        <v>51.661000000000001</v>
      </c>
      <c r="G219">
        <f t="shared" si="20"/>
        <v>51.1068</v>
      </c>
      <c r="H219">
        <f t="shared" si="19"/>
        <v>49.854999999999997</v>
      </c>
      <c r="I219">
        <f t="shared" si="26"/>
        <v>0.35198534658494784</v>
      </c>
      <c r="J219" s="8">
        <f t="shared" si="23"/>
        <v>52.364970693169894</v>
      </c>
      <c r="K219">
        <f t="shared" si="24"/>
        <v>50.957029306830108</v>
      </c>
      <c r="L219">
        <f t="shared" si="21"/>
        <v>51.1068</v>
      </c>
      <c r="M219">
        <f t="shared" si="22"/>
        <v>51.1068</v>
      </c>
    </row>
    <row r="220" spans="1:13" x14ac:dyDescent="0.25">
      <c r="A220" s="3">
        <v>45975</v>
      </c>
      <c r="B220">
        <v>51.39</v>
      </c>
      <c r="C220">
        <v>51.39</v>
      </c>
      <c r="D220">
        <v>51.39</v>
      </c>
      <c r="E220">
        <v>51.39</v>
      </c>
      <c r="F220">
        <f t="shared" si="25"/>
        <v>51.676000000000009</v>
      </c>
      <c r="G220">
        <f t="shared" si="20"/>
        <v>51.1404</v>
      </c>
      <c r="H220">
        <f t="shared" si="19"/>
        <v>49.893799999999999</v>
      </c>
      <c r="I220">
        <f t="shared" si="26"/>
        <v>0.33220792474466587</v>
      </c>
      <c r="J220" s="8">
        <f t="shared" si="23"/>
        <v>52.340415849489339</v>
      </c>
      <c r="K220">
        <f t="shared" si="24"/>
        <v>51.011584150510679</v>
      </c>
      <c r="L220">
        <f t="shared" si="21"/>
        <v>51.1404</v>
      </c>
      <c r="M220">
        <f t="shared" si="22"/>
        <v>51.1404</v>
      </c>
    </row>
    <row r="221" spans="1:13" x14ac:dyDescent="0.25">
      <c r="A221" s="3">
        <v>45978</v>
      </c>
      <c r="B221">
        <v>50.95</v>
      </c>
      <c r="C221">
        <v>50.95</v>
      </c>
      <c r="D221">
        <v>50.95</v>
      </c>
      <c r="E221">
        <v>50.95</v>
      </c>
      <c r="F221">
        <f t="shared" si="25"/>
        <v>51.646500000000003</v>
      </c>
      <c r="G221">
        <f t="shared" si="20"/>
        <v>51.160599999999995</v>
      </c>
      <c r="H221">
        <f t="shared" si="19"/>
        <v>49.924400000000006</v>
      </c>
      <c r="I221">
        <f t="shared" si="26"/>
        <v>0.36907102440130829</v>
      </c>
      <c r="J221" s="8">
        <f t="shared" si="23"/>
        <v>52.384642048802618</v>
      </c>
      <c r="K221">
        <f t="shared" si="24"/>
        <v>50.908357951197388</v>
      </c>
      <c r="L221">
        <f t="shared" si="21"/>
        <v>51.160599999999995</v>
      </c>
      <c r="M221">
        <f t="shared" si="22"/>
        <v>51.160599999999995</v>
      </c>
    </row>
    <row r="222" spans="1:13" x14ac:dyDescent="0.25">
      <c r="A222" s="3">
        <v>45979</v>
      </c>
      <c r="B222">
        <v>50.62</v>
      </c>
      <c r="C222">
        <v>50.62</v>
      </c>
      <c r="D222">
        <v>50.62</v>
      </c>
      <c r="E222">
        <v>50.62</v>
      </c>
      <c r="F222">
        <f t="shared" si="25"/>
        <v>51.606500000000004</v>
      </c>
      <c r="G222">
        <f t="shared" si="20"/>
        <v>51.173599999999986</v>
      </c>
      <c r="H222">
        <f t="shared" si="19"/>
        <v>49.95</v>
      </c>
      <c r="I222">
        <f t="shared" si="26"/>
        <v>0.43276680240420223</v>
      </c>
      <c r="J222" s="8">
        <f t="shared" si="23"/>
        <v>52.472033604808409</v>
      </c>
      <c r="K222">
        <f t="shared" si="24"/>
        <v>50.740966395191599</v>
      </c>
      <c r="L222">
        <f t="shared" si="21"/>
        <v>51.173599999999986</v>
      </c>
      <c r="M222">
        <f t="shared" si="22"/>
        <v>51.173599999999986</v>
      </c>
    </row>
    <row r="223" spans="1:13" x14ac:dyDescent="0.25">
      <c r="A223" s="3">
        <v>45980</v>
      </c>
      <c r="B223">
        <v>50.65</v>
      </c>
      <c r="C223">
        <v>50.65</v>
      </c>
      <c r="D223">
        <v>50.65</v>
      </c>
      <c r="E223">
        <v>50.65</v>
      </c>
      <c r="F223">
        <f t="shared" si="25"/>
        <v>51.577000000000012</v>
      </c>
      <c r="G223">
        <f t="shared" si="20"/>
        <v>51.184799999999989</v>
      </c>
      <c r="H223">
        <f t="shared" si="19"/>
        <v>49.978400000000001</v>
      </c>
      <c r="I223">
        <f t="shared" si="26"/>
        <v>0.47692104609728264</v>
      </c>
      <c r="J223" s="8">
        <f t="shared" si="23"/>
        <v>52.530842092194575</v>
      </c>
      <c r="K223">
        <f t="shared" si="24"/>
        <v>50.623157907805449</v>
      </c>
      <c r="L223">
        <f t="shared" si="21"/>
        <v>51.184799999999989</v>
      </c>
      <c r="M223">
        <f t="shared" si="22"/>
        <v>51.184799999999989</v>
      </c>
    </row>
    <row r="224" spans="1:13" x14ac:dyDescent="0.25">
      <c r="A224" s="3">
        <v>45981</v>
      </c>
      <c r="B224">
        <v>50.05</v>
      </c>
      <c r="C224">
        <v>50.05</v>
      </c>
      <c r="D224">
        <v>50.05</v>
      </c>
      <c r="E224">
        <v>50.05</v>
      </c>
      <c r="F224">
        <f t="shared" si="25"/>
        <v>51.504000000000005</v>
      </c>
      <c r="G224">
        <f t="shared" si="20"/>
        <v>51.175999999999995</v>
      </c>
      <c r="H224">
        <f t="shared" si="19"/>
        <v>50.001000000000005</v>
      </c>
      <c r="I224">
        <f t="shared" si="26"/>
        <v>0.5867968356388692</v>
      </c>
      <c r="J224" s="8">
        <f t="shared" si="23"/>
        <v>52.677593671277741</v>
      </c>
      <c r="K224">
        <f t="shared" si="24"/>
        <v>50.330406328722269</v>
      </c>
      <c r="L224">
        <f t="shared" si="21"/>
        <v>51.175999999999995</v>
      </c>
      <c r="M224">
        <f t="shared" si="22"/>
        <v>51.175999999999995</v>
      </c>
    </row>
    <row r="225" spans="1:13" x14ac:dyDescent="0.25">
      <c r="A225" s="3">
        <v>45982</v>
      </c>
      <c r="B225">
        <v>50.5</v>
      </c>
      <c r="C225">
        <v>50.5</v>
      </c>
      <c r="D225">
        <v>50.5</v>
      </c>
      <c r="E225">
        <v>50.5</v>
      </c>
      <c r="F225">
        <f t="shared" si="25"/>
        <v>51.4405</v>
      </c>
      <c r="G225">
        <f t="shared" si="20"/>
        <v>51.17799999999999</v>
      </c>
      <c r="H225">
        <f t="shared" si="19"/>
        <v>50.026300000000013</v>
      </c>
      <c r="I225">
        <f t="shared" si="26"/>
        <v>0.62403167092367196</v>
      </c>
      <c r="J225" s="8">
        <f t="shared" si="23"/>
        <v>52.688563341847342</v>
      </c>
      <c r="K225">
        <f t="shared" si="24"/>
        <v>50.192436658152658</v>
      </c>
      <c r="L225">
        <f t="shared" si="21"/>
        <v>51.17799999999999</v>
      </c>
      <c r="M225">
        <f t="shared" si="22"/>
        <v>51.17799999999999</v>
      </c>
    </row>
    <row r="226" spans="1:13" x14ac:dyDescent="0.25">
      <c r="A226" s="3">
        <v>45985</v>
      </c>
      <c r="B226">
        <v>50.98</v>
      </c>
      <c r="C226">
        <v>50.98</v>
      </c>
      <c r="D226">
        <v>50.98</v>
      </c>
      <c r="E226">
        <v>50.98</v>
      </c>
      <c r="F226">
        <f t="shared" si="25"/>
        <v>51.379499999999993</v>
      </c>
      <c r="G226">
        <f t="shared" si="20"/>
        <v>51.184799999999996</v>
      </c>
      <c r="H226">
        <f t="shared" si="19"/>
        <v>50.054200000000002</v>
      </c>
      <c r="I226">
        <f t="shared" si="26"/>
        <v>0.60522701265071244</v>
      </c>
      <c r="J226" s="8">
        <f t="shared" si="23"/>
        <v>52.589954025301417</v>
      </c>
      <c r="K226">
        <f t="shared" si="24"/>
        <v>50.16904597469857</v>
      </c>
      <c r="L226">
        <f t="shared" si="21"/>
        <v>51.184799999999996</v>
      </c>
      <c r="M226">
        <f t="shared" si="22"/>
        <v>51.184799999999996</v>
      </c>
    </row>
    <row r="227" spans="1:13" x14ac:dyDescent="0.25">
      <c r="A227" s="3">
        <v>45986</v>
      </c>
      <c r="B227">
        <v>51.4</v>
      </c>
      <c r="C227">
        <v>51.4</v>
      </c>
      <c r="D227">
        <v>51.4</v>
      </c>
      <c r="E227">
        <v>51.4</v>
      </c>
      <c r="F227">
        <f t="shared" si="25"/>
        <v>51.338000000000008</v>
      </c>
      <c r="G227">
        <f t="shared" si="20"/>
        <v>51.199600000000004</v>
      </c>
      <c r="H227">
        <f t="shared" si="19"/>
        <v>50.090299999999999</v>
      </c>
      <c r="I227">
        <f t="shared" si="26"/>
        <v>0.57134743784919773</v>
      </c>
      <c r="J227" s="8">
        <f t="shared" si="23"/>
        <v>52.480694875698404</v>
      </c>
      <c r="K227">
        <f t="shared" si="24"/>
        <v>50.195305124301612</v>
      </c>
      <c r="L227">
        <f t="shared" si="21"/>
        <v>51.199600000000004</v>
      </c>
      <c r="M227">
        <f t="shared" si="22"/>
        <v>51.199600000000004</v>
      </c>
    </row>
    <row r="228" spans="1:13" x14ac:dyDescent="0.25">
      <c r="A228" s="3">
        <v>45987</v>
      </c>
      <c r="B228">
        <v>51.76</v>
      </c>
      <c r="C228">
        <v>51.76</v>
      </c>
      <c r="D228">
        <v>51.76</v>
      </c>
      <c r="E228">
        <v>51.76</v>
      </c>
      <c r="F228">
        <f t="shared" si="25"/>
        <v>51.322000000000003</v>
      </c>
      <c r="G228">
        <f t="shared" si="20"/>
        <v>51.223200000000006</v>
      </c>
      <c r="H228">
        <f t="shared" si="19"/>
        <v>50.129300000000001</v>
      </c>
      <c r="I228">
        <f t="shared" si="26"/>
        <v>0.55368240944273872</v>
      </c>
      <c r="J228" s="8">
        <f t="shared" si="23"/>
        <v>52.429364818885482</v>
      </c>
      <c r="K228">
        <f t="shared" si="24"/>
        <v>50.214635181114524</v>
      </c>
      <c r="L228">
        <f t="shared" si="21"/>
        <v>51.223200000000006</v>
      </c>
      <c r="M228">
        <f t="shared" si="22"/>
        <v>51.223200000000006</v>
      </c>
    </row>
    <row r="229" spans="1:13" x14ac:dyDescent="0.25">
      <c r="A229" s="3">
        <v>45989</v>
      </c>
      <c r="B229">
        <v>51.95</v>
      </c>
      <c r="C229">
        <v>51.95</v>
      </c>
      <c r="D229">
        <v>51.95</v>
      </c>
      <c r="E229">
        <v>51.95</v>
      </c>
      <c r="F229">
        <f t="shared" si="25"/>
        <v>51.333000000000006</v>
      </c>
      <c r="G229">
        <f t="shared" si="20"/>
        <v>51.247</v>
      </c>
      <c r="H229">
        <f t="shared" si="19"/>
        <v>50.1678</v>
      </c>
      <c r="I229">
        <f t="shared" si="26"/>
        <v>0.56429835333708744</v>
      </c>
      <c r="J229" s="8">
        <f t="shared" si="23"/>
        <v>52.461596706674179</v>
      </c>
      <c r="K229">
        <f t="shared" si="24"/>
        <v>50.204403293325832</v>
      </c>
      <c r="L229">
        <f t="shared" si="21"/>
        <v>51.247</v>
      </c>
      <c r="M229">
        <f t="shared" si="22"/>
        <v>51.247</v>
      </c>
    </row>
    <row r="230" spans="1:13" x14ac:dyDescent="0.25">
      <c r="A230" s="3">
        <v>45992</v>
      </c>
      <c r="B230">
        <v>51.71</v>
      </c>
      <c r="C230">
        <v>51.71</v>
      </c>
      <c r="D230">
        <v>51.71</v>
      </c>
      <c r="E230">
        <v>51.71</v>
      </c>
      <c r="F230">
        <f t="shared" si="25"/>
        <v>51.328499999999998</v>
      </c>
      <c r="G230">
        <f t="shared" si="20"/>
        <v>51.265200000000007</v>
      </c>
      <c r="H230">
        <f t="shared" ref="H230:H251" si="27">AVERAGE(E131:E230)</f>
        <v>50.2029</v>
      </c>
      <c r="I230">
        <f t="shared" si="26"/>
        <v>0.56072579845467496</v>
      </c>
      <c r="J230" s="8">
        <f t="shared" si="23"/>
        <v>52.449951596909351</v>
      </c>
      <c r="K230">
        <f t="shared" si="24"/>
        <v>50.207048403090646</v>
      </c>
      <c r="L230">
        <f t="shared" si="21"/>
        <v>51.265200000000007</v>
      </c>
      <c r="M230">
        <f t="shared" si="22"/>
        <v>51.265200000000007</v>
      </c>
    </row>
    <row r="231" spans="1:13" x14ac:dyDescent="0.25">
      <c r="A231" s="3">
        <v>45993</v>
      </c>
      <c r="B231">
        <v>51.83</v>
      </c>
      <c r="C231">
        <v>51.83</v>
      </c>
      <c r="D231">
        <v>51.83</v>
      </c>
      <c r="E231">
        <v>51.83</v>
      </c>
      <c r="F231">
        <f t="shared" si="25"/>
        <v>51.326000000000001</v>
      </c>
      <c r="G231">
        <f t="shared" si="20"/>
        <v>51.282600000000002</v>
      </c>
      <c r="H231">
        <f t="shared" si="27"/>
        <v>50.241599999999998</v>
      </c>
      <c r="I231">
        <f t="shared" si="26"/>
        <v>0.55824348583184125</v>
      </c>
      <c r="J231" s="8">
        <f t="shared" si="23"/>
        <v>52.442486971663683</v>
      </c>
      <c r="K231">
        <f t="shared" si="24"/>
        <v>50.209513028336318</v>
      </c>
      <c r="L231">
        <f t="shared" si="21"/>
        <v>51.282600000000002</v>
      </c>
      <c r="M231">
        <f t="shared" si="22"/>
        <v>51.282600000000002</v>
      </c>
    </row>
    <row r="232" spans="1:13" x14ac:dyDescent="0.25">
      <c r="A232" s="3">
        <v>45994</v>
      </c>
      <c r="B232">
        <v>52</v>
      </c>
      <c r="C232">
        <v>52</v>
      </c>
      <c r="D232">
        <v>52</v>
      </c>
      <c r="E232">
        <v>52</v>
      </c>
      <c r="F232">
        <f t="shared" si="25"/>
        <v>51.359000000000002</v>
      </c>
      <c r="G232">
        <f t="shared" si="20"/>
        <v>51.306400000000004</v>
      </c>
      <c r="H232">
        <f t="shared" si="27"/>
        <v>50.281399999999991</v>
      </c>
      <c r="I232">
        <f t="shared" si="26"/>
        <v>0.5782632800486579</v>
      </c>
      <c r="J232" s="8">
        <f t="shared" si="23"/>
        <v>52.515526560097321</v>
      </c>
      <c r="K232">
        <f t="shared" si="24"/>
        <v>50.202473439902683</v>
      </c>
      <c r="L232">
        <f t="shared" si="21"/>
        <v>51.306400000000004</v>
      </c>
      <c r="M232">
        <f t="shared" si="22"/>
        <v>51.306400000000004</v>
      </c>
    </row>
    <row r="233" spans="1:13" x14ac:dyDescent="0.25">
      <c r="A233" s="3">
        <v>45995</v>
      </c>
      <c r="B233">
        <v>52.06</v>
      </c>
      <c r="C233">
        <v>52.06</v>
      </c>
      <c r="D233">
        <v>52.06</v>
      </c>
      <c r="E233">
        <v>52.06</v>
      </c>
      <c r="F233">
        <f t="shared" si="25"/>
        <v>51.386000000000003</v>
      </c>
      <c r="G233">
        <f t="shared" si="20"/>
        <v>51.335000000000001</v>
      </c>
      <c r="H233">
        <f t="shared" si="27"/>
        <v>50.324000000000005</v>
      </c>
      <c r="I233">
        <f t="shared" si="26"/>
        <v>0.59843128260477918</v>
      </c>
      <c r="J233" s="8">
        <f t="shared" si="23"/>
        <v>52.58286256520956</v>
      </c>
      <c r="K233">
        <f t="shared" si="24"/>
        <v>50.189137434790446</v>
      </c>
      <c r="L233">
        <f t="shared" si="21"/>
        <v>51.335000000000001</v>
      </c>
      <c r="M233">
        <f t="shared" si="22"/>
        <v>51.335000000000001</v>
      </c>
    </row>
    <row r="234" spans="1:13" x14ac:dyDescent="0.25">
      <c r="A234" s="3">
        <v>45996</v>
      </c>
      <c r="B234">
        <v>52.12</v>
      </c>
      <c r="C234">
        <v>52.12</v>
      </c>
      <c r="D234">
        <v>52.12</v>
      </c>
      <c r="E234">
        <v>52.12</v>
      </c>
      <c r="F234">
        <f t="shared" si="25"/>
        <v>51.43249999999999</v>
      </c>
      <c r="G234">
        <f t="shared" si="20"/>
        <v>51.37</v>
      </c>
      <c r="H234">
        <f t="shared" si="27"/>
        <v>50.3658</v>
      </c>
      <c r="I234">
        <f t="shared" si="26"/>
        <v>0.61820516948578508</v>
      </c>
      <c r="J234" s="8">
        <f t="shared" si="23"/>
        <v>52.668910338971557</v>
      </c>
      <c r="K234">
        <f t="shared" si="24"/>
        <v>50.196089661028424</v>
      </c>
      <c r="L234">
        <f t="shared" si="21"/>
        <v>51.37</v>
      </c>
      <c r="M234">
        <f t="shared" si="22"/>
        <v>51.37</v>
      </c>
    </row>
    <row r="235" spans="1:13" x14ac:dyDescent="0.25">
      <c r="A235" s="3">
        <v>45999</v>
      </c>
      <c r="B235">
        <v>51.99</v>
      </c>
      <c r="C235">
        <v>51.99</v>
      </c>
      <c r="D235">
        <v>51.99</v>
      </c>
      <c r="E235">
        <v>51.99</v>
      </c>
      <c r="F235">
        <f t="shared" si="25"/>
        <v>51.468499999999992</v>
      </c>
      <c r="G235">
        <f t="shared" si="20"/>
        <v>51.398399999999995</v>
      </c>
      <c r="H235">
        <f t="shared" si="27"/>
        <v>50.4041</v>
      </c>
      <c r="I235">
        <f t="shared" si="26"/>
        <v>0.6291119471964145</v>
      </c>
      <c r="J235" s="8">
        <f t="shared" si="23"/>
        <v>52.726723894392819</v>
      </c>
      <c r="K235">
        <f t="shared" si="24"/>
        <v>50.210276105607164</v>
      </c>
      <c r="L235">
        <f t="shared" si="21"/>
        <v>51.398399999999995</v>
      </c>
      <c r="M235">
        <f t="shared" si="22"/>
        <v>51.398399999999995</v>
      </c>
    </row>
    <row r="236" spans="1:13" x14ac:dyDescent="0.25">
      <c r="A236" s="3">
        <v>46000</v>
      </c>
      <c r="B236">
        <v>51.92</v>
      </c>
      <c r="C236">
        <v>51.92</v>
      </c>
      <c r="D236">
        <v>51.92</v>
      </c>
      <c r="E236">
        <v>51.92</v>
      </c>
      <c r="F236">
        <f t="shared" si="25"/>
        <v>51.472000000000001</v>
      </c>
      <c r="G236">
        <f t="shared" si="20"/>
        <v>51.42179999999999</v>
      </c>
      <c r="H236">
        <f t="shared" si="27"/>
        <v>50.441800000000001</v>
      </c>
      <c r="I236">
        <f t="shared" si="26"/>
        <v>0.63153613890009752</v>
      </c>
      <c r="J236" s="8">
        <f t="shared" si="23"/>
        <v>52.735072277800199</v>
      </c>
      <c r="K236">
        <f t="shared" si="24"/>
        <v>50.208927722199803</v>
      </c>
      <c r="L236">
        <f t="shared" si="21"/>
        <v>51.42179999999999</v>
      </c>
      <c r="M236">
        <f t="shared" si="22"/>
        <v>51.42179999999999</v>
      </c>
    </row>
    <row r="237" spans="1:13" x14ac:dyDescent="0.25">
      <c r="A237" s="3">
        <v>46001</v>
      </c>
      <c r="B237">
        <v>52.32</v>
      </c>
      <c r="C237">
        <v>52.32</v>
      </c>
      <c r="D237">
        <v>52.32</v>
      </c>
      <c r="E237">
        <v>52.32</v>
      </c>
      <c r="F237">
        <f t="shared" si="25"/>
        <v>51.488</v>
      </c>
      <c r="G237">
        <f t="shared" si="20"/>
        <v>51.449399999999997</v>
      </c>
      <c r="H237">
        <f t="shared" si="27"/>
        <v>50.482399999999991</v>
      </c>
      <c r="I237">
        <f t="shared" si="26"/>
        <v>0.64941755280769697</v>
      </c>
      <c r="J237" s="8">
        <f t="shared" si="23"/>
        <v>52.786835105615395</v>
      </c>
      <c r="K237">
        <f t="shared" si="24"/>
        <v>50.189164894384604</v>
      </c>
      <c r="L237">
        <f t="shared" si="21"/>
        <v>51.449399999999997</v>
      </c>
      <c r="M237">
        <f t="shared" si="22"/>
        <v>51.449399999999997</v>
      </c>
    </row>
    <row r="238" spans="1:13" x14ac:dyDescent="0.25">
      <c r="A238" s="3">
        <v>46002</v>
      </c>
      <c r="B238">
        <v>52.43</v>
      </c>
      <c r="C238">
        <v>52.43</v>
      </c>
      <c r="D238">
        <v>52.43</v>
      </c>
      <c r="E238">
        <v>52.43</v>
      </c>
      <c r="F238">
        <f t="shared" si="25"/>
        <v>51.504500000000007</v>
      </c>
      <c r="G238">
        <f t="shared" si="20"/>
        <v>51.475199999999994</v>
      </c>
      <c r="H238">
        <f t="shared" si="27"/>
        <v>50.522899999999993</v>
      </c>
      <c r="I238">
        <f t="shared" si="26"/>
        <v>0.66966193356286796</v>
      </c>
      <c r="J238" s="8">
        <f t="shared" si="23"/>
        <v>52.843823867125742</v>
      </c>
      <c r="K238">
        <f t="shared" si="24"/>
        <v>50.165176132874272</v>
      </c>
      <c r="L238">
        <f t="shared" si="21"/>
        <v>51.475199999999994</v>
      </c>
      <c r="M238">
        <f t="shared" si="22"/>
        <v>51.475199999999994</v>
      </c>
    </row>
    <row r="239" spans="1:13" x14ac:dyDescent="0.25">
      <c r="A239" s="3">
        <v>46003</v>
      </c>
      <c r="B239">
        <v>52.03</v>
      </c>
      <c r="C239">
        <v>52.03</v>
      </c>
      <c r="D239">
        <v>52.03</v>
      </c>
      <c r="E239">
        <v>52.03</v>
      </c>
      <c r="F239">
        <f t="shared" si="25"/>
        <v>51.533000000000001</v>
      </c>
      <c r="G239">
        <f t="shared" si="20"/>
        <v>51.491399999999992</v>
      </c>
      <c r="H239">
        <f t="shared" si="27"/>
        <v>50.554799999999986</v>
      </c>
      <c r="I239">
        <f t="shared" si="26"/>
        <v>0.67972207942890817</v>
      </c>
      <c r="J239" s="8">
        <f t="shared" si="23"/>
        <v>52.89244415885782</v>
      </c>
      <c r="K239">
        <f t="shared" si="24"/>
        <v>50.173555841142182</v>
      </c>
      <c r="L239">
        <f t="shared" si="21"/>
        <v>51.491399999999992</v>
      </c>
      <c r="M239">
        <f t="shared" si="22"/>
        <v>51.491399999999992</v>
      </c>
    </row>
    <row r="240" spans="1:13" x14ac:dyDescent="0.25">
      <c r="A240" s="3">
        <v>46006</v>
      </c>
      <c r="B240">
        <v>52.03</v>
      </c>
      <c r="C240">
        <v>52.03</v>
      </c>
      <c r="D240">
        <v>52.03</v>
      </c>
      <c r="E240">
        <v>52.03</v>
      </c>
      <c r="F240">
        <f t="shared" si="25"/>
        <v>51.564999999999998</v>
      </c>
      <c r="G240">
        <f t="shared" si="20"/>
        <v>51.505400000000002</v>
      </c>
      <c r="H240">
        <f t="shared" si="27"/>
        <v>50.587699999999984</v>
      </c>
      <c r="I240">
        <f t="shared" si="26"/>
        <v>0.68765428890732061</v>
      </c>
      <c r="J240" s="8">
        <f t="shared" si="23"/>
        <v>52.940308577814641</v>
      </c>
      <c r="K240">
        <f t="shared" si="24"/>
        <v>50.189691422185355</v>
      </c>
      <c r="L240">
        <f t="shared" si="21"/>
        <v>51.505400000000002</v>
      </c>
      <c r="M240">
        <f t="shared" si="22"/>
        <v>51.505400000000002</v>
      </c>
    </row>
    <row r="241" spans="1:13" x14ac:dyDescent="0.25">
      <c r="A241" s="3">
        <v>46007</v>
      </c>
      <c r="B241">
        <v>51.87</v>
      </c>
      <c r="C241">
        <v>51.87</v>
      </c>
      <c r="D241">
        <v>51.87</v>
      </c>
      <c r="E241">
        <v>51.87</v>
      </c>
      <c r="F241">
        <f t="shared" si="25"/>
        <v>51.61099999999999</v>
      </c>
      <c r="G241">
        <f t="shared" si="20"/>
        <v>51.513400000000004</v>
      </c>
      <c r="H241">
        <f t="shared" si="27"/>
        <v>50.61819999999998</v>
      </c>
      <c r="I241">
        <f t="shared" si="26"/>
        <v>0.67500409355483959</v>
      </c>
      <c r="J241" s="8">
        <f t="shared" si="23"/>
        <v>52.96100818710967</v>
      </c>
      <c r="K241">
        <f t="shared" si="24"/>
        <v>50.26099181289031</v>
      </c>
      <c r="L241">
        <f t="shared" si="21"/>
        <v>51.513400000000004</v>
      </c>
      <c r="M241">
        <f t="shared" si="22"/>
        <v>51.513400000000004</v>
      </c>
    </row>
    <row r="242" spans="1:13" x14ac:dyDescent="0.25">
      <c r="A242" s="3">
        <v>46008</v>
      </c>
      <c r="B242">
        <v>51.49</v>
      </c>
      <c r="C242">
        <v>51.49</v>
      </c>
      <c r="D242">
        <v>51.49</v>
      </c>
      <c r="E242">
        <v>51.49</v>
      </c>
      <c r="F242">
        <f t="shared" si="25"/>
        <v>51.654499999999985</v>
      </c>
      <c r="G242">
        <f t="shared" si="20"/>
        <v>51.518799999999999</v>
      </c>
      <c r="H242">
        <f t="shared" si="27"/>
        <v>50.646899999999981</v>
      </c>
      <c r="I242">
        <f t="shared" si="26"/>
        <v>0.63460285964820962</v>
      </c>
      <c r="J242" s="8">
        <f t="shared" si="23"/>
        <v>52.923705719296407</v>
      </c>
      <c r="K242">
        <f t="shared" si="24"/>
        <v>50.385294280703562</v>
      </c>
      <c r="L242">
        <f t="shared" si="21"/>
        <v>51.518799999999999</v>
      </c>
      <c r="M242">
        <f t="shared" si="22"/>
        <v>51.518799999999999</v>
      </c>
    </row>
    <row r="243" spans="1:13" x14ac:dyDescent="0.25">
      <c r="A243" s="3">
        <v>46009</v>
      </c>
      <c r="B243">
        <v>51.83</v>
      </c>
      <c r="C243">
        <v>51.83</v>
      </c>
      <c r="D243">
        <v>51.83</v>
      </c>
      <c r="E243">
        <v>51.83</v>
      </c>
      <c r="F243">
        <f t="shared" si="25"/>
        <v>51.713499999999996</v>
      </c>
      <c r="G243">
        <f t="shared" si="20"/>
        <v>51.526199999999996</v>
      </c>
      <c r="H243">
        <f t="shared" si="27"/>
        <v>50.67939999999998</v>
      </c>
      <c r="I243">
        <f t="shared" si="26"/>
        <v>0.58955179228756038</v>
      </c>
      <c r="J243" s="8">
        <f t="shared" si="23"/>
        <v>52.89260358457512</v>
      </c>
      <c r="K243">
        <f t="shared" si="24"/>
        <v>50.534396415424872</v>
      </c>
      <c r="L243">
        <f t="shared" si="21"/>
        <v>51.526199999999996</v>
      </c>
      <c r="M243">
        <f t="shared" si="22"/>
        <v>51.526199999999996</v>
      </c>
    </row>
    <row r="244" spans="1:13" x14ac:dyDescent="0.25">
      <c r="A244" s="3">
        <v>46010</v>
      </c>
      <c r="B244">
        <v>52.14</v>
      </c>
      <c r="C244">
        <v>52.14</v>
      </c>
      <c r="D244">
        <v>52.14</v>
      </c>
      <c r="E244">
        <v>52.14</v>
      </c>
      <c r="F244">
        <f t="shared" si="25"/>
        <v>51.817999999999998</v>
      </c>
      <c r="G244">
        <f t="shared" ref="G244:G251" si="28">AVERAGE(E195:E244)</f>
        <v>51.544200000000004</v>
      </c>
      <c r="H244">
        <f t="shared" si="27"/>
        <v>50.716899999999988</v>
      </c>
      <c r="I244">
        <f t="shared" si="26"/>
        <v>0.44722065671150985</v>
      </c>
      <c r="J244" s="8">
        <f t="shared" si="23"/>
        <v>52.712441313423021</v>
      </c>
      <c r="K244">
        <f t="shared" si="24"/>
        <v>50.923558686576975</v>
      </c>
      <c r="L244">
        <f t="shared" ref="L244:L251" si="29">AVERAGE(C195:C244)</f>
        <v>51.544200000000004</v>
      </c>
      <c r="M244">
        <f t="shared" ref="M244:M251" si="30">AVERAGE(D195:D244)</f>
        <v>51.544200000000004</v>
      </c>
    </row>
    <row r="245" spans="1:13" x14ac:dyDescent="0.25">
      <c r="A245" s="3">
        <v>46013</v>
      </c>
      <c r="B245">
        <v>52.43</v>
      </c>
      <c r="C245">
        <v>52.43</v>
      </c>
      <c r="D245">
        <v>52.43</v>
      </c>
      <c r="E245">
        <v>52.43</v>
      </c>
      <c r="F245">
        <f t="shared" si="25"/>
        <v>51.914499999999997</v>
      </c>
      <c r="G245">
        <f t="shared" si="28"/>
        <v>51.588999999999999</v>
      </c>
      <c r="H245">
        <f t="shared" si="27"/>
        <v>50.759499999999989</v>
      </c>
      <c r="I245">
        <f t="shared" si="26"/>
        <v>0.3442226176855846</v>
      </c>
      <c r="J245" s="8">
        <f t="shared" si="23"/>
        <v>52.602945235371166</v>
      </c>
      <c r="K245">
        <f t="shared" si="24"/>
        <v>51.226054764628827</v>
      </c>
      <c r="L245">
        <f t="shared" si="29"/>
        <v>51.588999999999999</v>
      </c>
      <c r="M245">
        <f t="shared" si="30"/>
        <v>51.588999999999999</v>
      </c>
    </row>
    <row r="246" spans="1:13" x14ac:dyDescent="0.25">
      <c r="A246" s="3">
        <v>46014</v>
      </c>
      <c r="B246">
        <v>50.99</v>
      </c>
      <c r="C246">
        <v>50.99</v>
      </c>
      <c r="D246">
        <v>50.99</v>
      </c>
      <c r="E246">
        <v>50.99</v>
      </c>
      <c r="F246">
        <f t="shared" si="25"/>
        <v>51.914999999999999</v>
      </c>
      <c r="G246">
        <f t="shared" si="28"/>
        <v>51.591999999999992</v>
      </c>
      <c r="H246">
        <f t="shared" si="27"/>
        <v>50.791499999999985</v>
      </c>
      <c r="I246">
        <f t="shared" si="26"/>
        <v>0.3427980838858195</v>
      </c>
      <c r="J246" s="8">
        <f t="shared" si="23"/>
        <v>52.600596167771641</v>
      </c>
      <c r="K246">
        <f t="shared" si="24"/>
        <v>51.229403832228357</v>
      </c>
      <c r="L246">
        <f t="shared" si="29"/>
        <v>51.591999999999992</v>
      </c>
      <c r="M246">
        <f t="shared" si="30"/>
        <v>51.591999999999992</v>
      </c>
    </row>
    <row r="247" spans="1:13" x14ac:dyDescent="0.25">
      <c r="A247" s="3">
        <v>46015</v>
      </c>
      <c r="B247">
        <v>51.09</v>
      </c>
      <c r="C247">
        <v>51.09</v>
      </c>
      <c r="D247">
        <v>51.09</v>
      </c>
      <c r="E247">
        <v>51.09</v>
      </c>
      <c r="F247">
        <f t="shared" si="25"/>
        <v>51.899500000000003</v>
      </c>
      <c r="G247">
        <f t="shared" si="28"/>
        <v>51.596999999999987</v>
      </c>
      <c r="H247">
        <f t="shared" si="27"/>
        <v>50.818800000000003</v>
      </c>
      <c r="I247">
        <f t="shared" si="26"/>
        <v>0.37298899377016975</v>
      </c>
      <c r="J247" s="8">
        <f t="shared" si="23"/>
        <v>52.645477987540346</v>
      </c>
      <c r="K247">
        <f t="shared" si="24"/>
        <v>51.153522012459661</v>
      </c>
      <c r="L247">
        <f t="shared" si="29"/>
        <v>51.596999999999987</v>
      </c>
      <c r="M247">
        <f t="shared" si="30"/>
        <v>51.596999999999987</v>
      </c>
    </row>
    <row r="248" spans="1:13" x14ac:dyDescent="0.25">
      <c r="A248" s="3">
        <v>46017</v>
      </c>
      <c r="B248">
        <v>51.12</v>
      </c>
      <c r="C248">
        <v>51.12</v>
      </c>
      <c r="D248">
        <v>51.12</v>
      </c>
      <c r="E248">
        <v>51.12</v>
      </c>
      <c r="F248">
        <f t="shared" si="25"/>
        <v>51.867499999999993</v>
      </c>
      <c r="G248">
        <f t="shared" si="28"/>
        <v>51.597399999999986</v>
      </c>
      <c r="H248">
        <f t="shared" si="27"/>
        <v>50.847099999999998</v>
      </c>
      <c r="I248">
        <f t="shared" si="26"/>
        <v>0.4110944954758286</v>
      </c>
      <c r="J248" s="8">
        <f t="shared" si="23"/>
        <v>52.689688990951652</v>
      </c>
      <c r="K248">
        <f t="shared" si="24"/>
        <v>51.045311009048334</v>
      </c>
      <c r="L248">
        <f t="shared" si="29"/>
        <v>51.597399999999986</v>
      </c>
      <c r="M248">
        <f t="shared" si="30"/>
        <v>51.597399999999986</v>
      </c>
    </row>
    <row r="249" spans="1:13" x14ac:dyDescent="0.25">
      <c r="A249" s="3">
        <v>46020</v>
      </c>
      <c r="B249">
        <v>51</v>
      </c>
      <c r="C249">
        <v>51</v>
      </c>
      <c r="D249">
        <v>51</v>
      </c>
      <c r="E249">
        <v>51</v>
      </c>
      <c r="F249">
        <f t="shared" si="25"/>
        <v>51.820000000000007</v>
      </c>
      <c r="G249">
        <f t="shared" si="28"/>
        <v>51.597399999999986</v>
      </c>
      <c r="H249">
        <f t="shared" si="27"/>
        <v>50.87169999999999</v>
      </c>
      <c r="I249">
        <f t="shared" si="26"/>
        <v>0.45373305391003427</v>
      </c>
      <c r="J249" s="8">
        <f t="shared" si="23"/>
        <v>52.727466107820078</v>
      </c>
      <c r="K249">
        <f t="shared" si="24"/>
        <v>50.912533892179937</v>
      </c>
      <c r="L249">
        <f t="shared" si="29"/>
        <v>51.597399999999986</v>
      </c>
      <c r="M249">
        <f t="shared" si="30"/>
        <v>51.597399999999986</v>
      </c>
    </row>
    <row r="250" spans="1:13" x14ac:dyDescent="0.25">
      <c r="A250" s="3">
        <v>46021</v>
      </c>
      <c r="B250">
        <v>50.98</v>
      </c>
      <c r="C250">
        <v>50.98</v>
      </c>
      <c r="D250">
        <v>50.98</v>
      </c>
      <c r="E250">
        <v>50.98</v>
      </c>
      <c r="F250">
        <f t="shared" si="25"/>
        <v>51.783500000000004</v>
      </c>
      <c r="G250">
        <f t="shared" si="28"/>
        <v>51.595199999999984</v>
      </c>
      <c r="H250">
        <f t="shared" si="27"/>
        <v>50.895099999999992</v>
      </c>
      <c r="I250">
        <f t="shared" si="26"/>
        <v>0.49088829257731714</v>
      </c>
      <c r="J250" s="8">
        <f t="shared" si="23"/>
        <v>52.765276585154638</v>
      </c>
      <c r="K250">
        <f t="shared" si="24"/>
        <v>50.80172341484537</v>
      </c>
      <c r="L250">
        <f t="shared" si="29"/>
        <v>51.595199999999984</v>
      </c>
      <c r="M250">
        <f t="shared" si="30"/>
        <v>51.595199999999984</v>
      </c>
    </row>
    <row r="251" spans="1:13" x14ac:dyDescent="0.25">
      <c r="A251" s="3">
        <v>46022</v>
      </c>
      <c r="B251">
        <v>50.73</v>
      </c>
      <c r="C251">
        <v>50.73</v>
      </c>
      <c r="D251">
        <v>50.73</v>
      </c>
      <c r="E251">
        <v>50.73</v>
      </c>
      <c r="F251">
        <f t="shared" si="25"/>
        <v>51.728499999999997</v>
      </c>
      <c r="G251">
        <f t="shared" si="28"/>
        <v>51.578999999999986</v>
      </c>
      <c r="H251">
        <f t="shared" si="27"/>
        <v>50.914199999999994</v>
      </c>
      <c r="I251">
        <f t="shared" si="26"/>
        <v>0.5441388657899362</v>
      </c>
      <c r="J251" s="8">
        <f t="shared" si="23"/>
        <v>52.816777731579869</v>
      </c>
      <c r="K251">
        <f t="shared" si="24"/>
        <v>50.640222268420125</v>
      </c>
      <c r="L251">
        <f t="shared" si="29"/>
        <v>51.578999999999986</v>
      </c>
      <c r="M251">
        <f t="shared" si="30"/>
        <v>51.578999999999986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1686-F455-4344-9F52-F2DAFD9659D1}">
  <dimension ref="A1"/>
  <sheetViews>
    <sheetView workbookViewId="0"/>
  </sheetViews>
  <sheetFormatPr defaultRowHeight="15" x14ac:dyDescent="0.25"/>
  <cols>
    <col min="1" max="1" width="11.28515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E5159C-740E-4B42-9983-C11F064E4C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vasgx</vt:lpstr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2026-01-03T00:12:52Z</dcterms:created>
  <dcterms:modified xsi:type="dcterms:W3CDTF">2026-01-03T02:39:52Z</dcterms:modified>
</cp:coreProperties>
</file>